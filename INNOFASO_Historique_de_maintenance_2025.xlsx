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tables/table7.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I:\50 MAINTENANCE\DEPARTEMENT TECHNIQUE 2026\PROCESSUS MAINTENIR LES EQUIPEMENTS INDUSTRIELS\DIGITALISATION PROCESSUS\"/>
    </mc:Choice>
  </mc:AlternateContent>
  <xr:revisionPtr revIDLastSave="0" documentId="13_ncr:1_{82C0961E-B182-4DB6-A6DA-B03201ECF0C2}" xr6:coauthVersionLast="47" xr6:coauthVersionMax="47" xr10:uidLastSave="{00000000-0000-0000-0000-000000000000}"/>
  <bookViews>
    <workbookView xWindow="384" yWindow="384" windowWidth="21996" windowHeight="11688" firstSheet="5" activeTab="5" xr2:uid="{67A405E8-D4C8-4D1E-BD5E-E759E595030D}"/>
  </bookViews>
  <sheets>
    <sheet name="Sales" sheetId="1" state="hidden" r:id="rId1"/>
    <sheet name="Procurement" sheetId="2" state="hidden" r:id="rId2"/>
    <sheet name="Achat - Purchase FP" sheetId="6" state="hidden" r:id="rId3"/>
    <sheet name="Monthly Production data" sheetId="7" state="hidden" r:id="rId4"/>
    <sheet name="Monthly Production shutdown" sheetId="8" state="hidden" r:id="rId5"/>
    <sheet name="T_Maint_Innofaso" sheetId="15" r:id="rId6"/>
    <sheet name="compilation" sheetId="18" r:id="rId7"/>
    <sheet name="analyse-maint-corrective" sheetId="19" r:id="rId8"/>
    <sheet name="Dispo jan25" sheetId="28" r:id="rId9"/>
    <sheet name="Dispo fevr25" sheetId="30" r:id="rId10"/>
    <sheet name="Dispo mars25" sheetId="31" r:id="rId11"/>
    <sheet name="Dispoavril25" sheetId="32" r:id="rId12"/>
    <sheet name="DispoMai25" sheetId="33" r:id="rId13"/>
    <sheet name="Dispojuin25" sheetId="36" r:id="rId14"/>
    <sheet name="Dispojuil25" sheetId="38" r:id="rId15"/>
    <sheet name="Dispaout25" sheetId="41" r:id="rId16"/>
    <sheet name="Sept25" sheetId="42" r:id="rId17"/>
    <sheet name="Oct25" sheetId="43" r:id="rId18"/>
    <sheet name="Nov25" sheetId="44" r:id="rId19"/>
    <sheet name="Dec25" sheetId="45" r:id="rId20"/>
    <sheet name="Recap de dispo" sheetId="46" r:id="rId21"/>
    <sheet name="n" sheetId="21" r:id="rId22"/>
    <sheet name="Maintenance" sheetId="9" state="hidden" r:id="rId23"/>
    <sheet name="Management- staff" sheetId="3" state="hidden" r:id="rId24"/>
    <sheet name="Management-training" sheetId="4" state="hidden" r:id="rId25"/>
  </sheets>
  <externalReferences>
    <externalReference r:id="rId26"/>
    <externalReference r:id="rId27"/>
  </externalReferences>
  <definedNames>
    <definedName name="DonnéesExternes_1" localSheetId="5" hidden="1">T_Maint_Innofaso!$A$1:$H$1275</definedName>
    <definedName name="DonnéesExternes_2" localSheetId="5" hidden="1">T_Maint_Innofaso!$A$1:$H$1973</definedName>
    <definedName name="liste_Country_Origin">#REF!</definedName>
    <definedName name="Liste_equipment">[1]!T_equipment_list[List equipement - Eng]</definedName>
    <definedName name="Liste_Maintenance_type">[2]!T_Type_maintenance[Maintenance type]</definedName>
    <definedName name="liste_RMPACK">#REF!</definedName>
    <definedName name="liste_supplier_RM">#REF!</definedName>
    <definedName name="Liste_Unité">#REF!</definedName>
    <definedName name="Partenaire">#REF!</definedName>
    <definedName name="Purchase_type">#REF!</definedName>
    <definedName name="Selec_annee">#REF!</definedName>
    <definedName name="selec_mois">#REF!</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_Staff_Innofaso_cf5d78c2-ddd1-457e-b9a1-fc983d08f1fe" name="T_Staff_Innofaso" connection="Requête - T_Staff_Innofaso"/>
          <x15:modelTable id="Conso trainings_5bc10bed-6806-4983-b3b9-606ecce7a021" name="Conso trainings" connection="Requête - Conso training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8" l="1"/>
  <c r="E9" i="18"/>
  <c r="F9" i="18"/>
  <c r="G9" i="18"/>
  <c r="H9" i="18"/>
  <c r="I9" i="18"/>
  <c r="J9" i="18"/>
  <c r="K9" i="18"/>
  <c r="L9" i="18"/>
  <c r="M9" i="18"/>
  <c r="N9" i="18"/>
  <c r="O9" i="18"/>
  <c r="D10" i="18"/>
  <c r="E10" i="18"/>
  <c r="F10" i="18"/>
  <c r="G10" i="18"/>
  <c r="H10" i="18"/>
  <c r="I10" i="18"/>
  <c r="J10" i="18"/>
  <c r="K10" i="18"/>
  <c r="L10" i="18"/>
  <c r="M10" i="18"/>
  <c r="N10" i="18"/>
  <c r="O10" i="18"/>
  <c r="D11" i="18"/>
  <c r="E11" i="18"/>
  <c r="F11" i="18"/>
  <c r="G11" i="18"/>
  <c r="H11" i="18"/>
  <c r="I11" i="18"/>
  <c r="J11" i="18"/>
  <c r="K11" i="18"/>
  <c r="L11" i="18"/>
  <c r="M11" i="18"/>
  <c r="N11" i="18"/>
  <c r="O11" i="18"/>
  <c r="D12" i="18"/>
  <c r="E12" i="18"/>
  <c r="F12" i="18"/>
  <c r="G12" i="18"/>
  <c r="H12" i="18"/>
  <c r="I12" i="18"/>
  <c r="J12" i="18"/>
  <c r="K12" i="18"/>
  <c r="L12" i="18"/>
  <c r="M12" i="18"/>
  <c r="N12" i="18"/>
  <c r="O12" i="18"/>
  <c r="D13" i="18"/>
  <c r="E13" i="18"/>
  <c r="F13" i="18"/>
  <c r="G13" i="18"/>
  <c r="H13" i="18"/>
  <c r="I13" i="18"/>
  <c r="J13" i="18"/>
  <c r="K13" i="18"/>
  <c r="L13" i="18"/>
  <c r="M13" i="18"/>
  <c r="N13" i="18"/>
  <c r="O13" i="18"/>
  <c r="D14" i="18"/>
  <c r="E14" i="18"/>
  <c r="F14" i="18"/>
  <c r="G14" i="18"/>
  <c r="H14" i="18"/>
  <c r="I14" i="18"/>
  <c r="J14" i="18"/>
  <c r="K14" i="18"/>
  <c r="L14" i="18"/>
  <c r="M14" i="18"/>
  <c r="N14" i="18"/>
  <c r="O14" i="18"/>
  <c r="D15" i="18"/>
  <c r="E15" i="18"/>
  <c r="F15" i="18"/>
  <c r="G15" i="18"/>
  <c r="H15" i="18"/>
  <c r="I15" i="18"/>
  <c r="J15" i="18"/>
  <c r="K15" i="18"/>
  <c r="L15" i="18"/>
  <c r="M15" i="18"/>
  <c r="N15" i="18"/>
  <c r="O15" i="18"/>
  <c r="D16" i="18"/>
  <c r="E16" i="18"/>
  <c r="F16" i="18"/>
  <c r="G16" i="18"/>
  <c r="H16" i="18"/>
  <c r="I16" i="18"/>
  <c r="J16" i="18"/>
  <c r="K16" i="18"/>
  <c r="L16" i="18"/>
  <c r="M16" i="18"/>
  <c r="N16" i="18"/>
  <c r="O16" i="18"/>
  <c r="D17" i="18"/>
  <c r="E17" i="18"/>
  <c r="F17" i="18"/>
  <c r="G17" i="18"/>
  <c r="H17" i="18"/>
  <c r="I17" i="18"/>
  <c r="J17" i="18"/>
  <c r="J33" i="18" s="1"/>
  <c r="K17" i="18"/>
  <c r="L17" i="18"/>
  <c r="M17" i="18"/>
  <c r="N17" i="18"/>
  <c r="O17" i="18"/>
  <c r="D18" i="18"/>
  <c r="E18" i="18"/>
  <c r="F18" i="18"/>
  <c r="G18" i="18"/>
  <c r="H18" i="18"/>
  <c r="I18" i="18"/>
  <c r="J18" i="18"/>
  <c r="K18" i="18"/>
  <c r="L18" i="18"/>
  <c r="M18" i="18"/>
  <c r="N18" i="18"/>
  <c r="O18" i="18"/>
  <c r="D19" i="18"/>
  <c r="E19" i="18"/>
  <c r="F19" i="18"/>
  <c r="G19" i="18"/>
  <c r="H19" i="18"/>
  <c r="I19" i="18"/>
  <c r="I33" i="18" s="1"/>
  <c r="J19" i="18"/>
  <c r="K19" i="18"/>
  <c r="L19" i="18"/>
  <c r="M19" i="18"/>
  <c r="N19" i="18"/>
  <c r="O19" i="18"/>
  <c r="D20" i="18"/>
  <c r="E20" i="18"/>
  <c r="F20" i="18"/>
  <c r="G20" i="18"/>
  <c r="H20" i="18"/>
  <c r="I20" i="18"/>
  <c r="J20" i="18"/>
  <c r="K20" i="18"/>
  <c r="L20" i="18"/>
  <c r="M20" i="18"/>
  <c r="N20" i="18"/>
  <c r="O20" i="18"/>
  <c r="D21" i="18"/>
  <c r="E21" i="18"/>
  <c r="F21" i="18"/>
  <c r="G21" i="18"/>
  <c r="H21" i="18"/>
  <c r="I21" i="18"/>
  <c r="J21" i="18"/>
  <c r="K21" i="18"/>
  <c r="L21" i="18"/>
  <c r="M21" i="18"/>
  <c r="N21" i="18"/>
  <c r="O21" i="18"/>
  <c r="D22" i="18"/>
  <c r="E22" i="18"/>
  <c r="F22" i="18"/>
  <c r="G22" i="18"/>
  <c r="H22" i="18"/>
  <c r="I22" i="18"/>
  <c r="J22" i="18"/>
  <c r="K22" i="18"/>
  <c r="L22" i="18"/>
  <c r="M22" i="18"/>
  <c r="N22" i="18"/>
  <c r="O22" i="18"/>
  <c r="D23" i="18"/>
  <c r="E23" i="18"/>
  <c r="F23" i="18"/>
  <c r="G23" i="18"/>
  <c r="H23" i="18"/>
  <c r="I23" i="18"/>
  <c r="J23" i="18"/>
  <c r="K23" i="18"/>
  <c r="L23" i="18"/>
  <c r="M23" i="18"/>
  <c r="N23" i="18"/>
  <c r="O23" i="18"/>
  <c r="D24" i="18"/>
  <c r="E24" i="18"/>
  <c r="F24" i="18"/>
  <c r="G24" i="18"/>
  <c r="H24" i="18"/>
  <c r="I24" i="18"/>
  <c r="J24" i="18"/>
  <c r="K24" i="18"/>
  <c r="L24" i="18"/>
  <c r="M24" i="18"/>
  <c r="N24" i="18"/>
  <c r="O24" i="18"/>
  <c r="D25" i="18"/>
  <c r="E25" i="18"/>
  <c r="F25" i="18"/>
  <c r="G25" i="18"/>
  <c r="H25" i="18"/>
  <c r="I25" i="18"/>
  <c r="J25" i="18"/>
  <c r="K25" i="18"/>
  <c r="L25" i="18"/>
  <c r="M25" i="18"/>
  <c r="N25" i="18"/>
  <c r="O25" i="18"/>
  <c r="D26" i="18"/>
  <c r="E26" i="18"/>
  <c r="F26" i="18"/>
  <c r="G26" i="18"/>
  <c r="H26" i="18"/>
  <c r="I26" i="18"/>
  <c r="J26" i="18"/>
  <c r="K26" i="18"/>
  <c r="L26" i="18"/>
  <c r="M26" i="18"/>
  <c r="N26" i="18"/>
  <c r="O26" i="18"/>
  <c r="D27" i="18"/>
  <c r="E27" i="18"/>
  <c r="F27" i="18"/>
  <c r="G27" i="18"/>
  <c r="H27" i="18"/>
  <c r="I27" i="18"/>
  <c r="J27" i="18"/>
  <c r="K27" i="18"/>
  <c r="L27" i="18"/>
  <c r="M27" i="18"/>
  <c r="N27" i="18"/>
  <c r="O27" i="18"/>
  <c r="D28" i="18"/>
  <c r="E28" i="18"/>
  <c r="F28" i="18"/>
  <c r="G28" i="18"/>
  <c r="H28" i="18"/>
  <c r="I28" i="18"/>
  <c r="J28" i="18"/>
  <c r="K28" i="18"/>
  <c r="L28" i="18"/>
  <c r="M28" i="18"/>
  <c r="N28" i="18"/>
  <c r="O28" i="18"/>
  <c r="D29" i="18"/>
  <c r="E29" i="18"/>
  <c r="F29" i="18"/>
  <c r="G29" i="18"/>
  <c r="H29" i="18"/>
  <c r="I29" i="18"/>
  <c r="J29" i="18"/>
  <c r="K29" i="18"/>
  <c r="L29" i="18"/>
  <c r="M29" i="18"/>
  <c r="N29" i="18"/>
  <c r="O29" i="18"/>
  <c r="D30" i="18"/>
  <c r="E30" i="18"/>
  <c r="F30" i="18"/>
  <c r="G30" i="18"/>
  <c r="H30" i="18"/>
  <c r="I30" i="18"/>
  <c r="J30" i="18"/>
  <c r="K30" i="18"/>
  <c r="L30" i="18"/>
  <c r="M30" i="18"/>
  <c r="N30" i="18"/>
  <c r="O30" i="18"/>
  <c r="D31" i="18"/>
  <c r="E31" i="18"/>
  <c r="F31" i="18"/>
  <c r="G31" i="18"/>
  <c r="G33" i="18" s="1"/>
  <c r="H31" i="18"/>
  <c r="I31" i="18"/>
  <c r="J31" i="18"/>
  <c r="K31" i="18"/>
  <c r="L31" i="18"/>
  <c r="M31" i="18"/>
  <c r="N31" i="18"/>
  <c r="O31" i="18"/>
  <c r="D32" i="18"/>
  <c r="D33" i="18" s="1"/>
  <c r="E32" i="18"/>
  <c r="E33" i="18" s="1"/>
  <c r="F32" i="18"/>
  <c r="F33" i="18" s="1"/>
  <c r="G32" i="18"/>
  <c r="H32" i="18"/>
  <c r="H33" i="18" s="1"/>
  <c r="I32" i="18"/>
  <c r="J32" i="18"/>
  <c r="K32" i="18"/>
  <c r="K33" i="18" s="1"/>
  <c r="L32" i="18"/>
  <c r="M32" i="18"/>
  <c r="M33" i="18" s="1"/>
  <c r="N32" i="18"/>
  <c r="O32" i="18"/>
  <c r="M6" i="46"/>
  <c r="M9" i="46" s="1"/>
  <c r="M7" i="46"/>
  <c r="M8" i="46"/>
  <c r="L6" i="46"/>
  <c r="L9" i="46" s="1"/>
  <c r="L7" i="46"/>
  <c r="L8" i="46"/>
  <c r="K6" i="46"/>
  <c r="K9" i="46" s="1"/>
  <c r="K7" i="46"/>
  <c r="K8" i="46"/>
  <c r="J6" i="46"/>
  <c r="J9" i="46" s="1"/>
  <c r="J7" i="46"/>
  <c r="J8" i="46"/>
  <c r="I6" i="46"/>
  <c r="I9" i="46" s="1"/>
  <c r="I7" i="46"/>
  <c r="I8" i="46"/>
  <c r="H6" i="46"/>
  <c r="H9" i="46" s="1"/>
  <c r="H7" i="46"/>
  <c r="H8" i="46"/>
  <c r="G6" i="46"/>
  <c r="G9" i="46" s="1"/>
  <c r="G7" i="46"/>
  <c r="G8" i="46"/>
  <c r="F6" i="46"/>
  <c r="F9" i="46" s="1"/>
  <c r="F7" i="46"/>
  <c r="F8" i="46"/>
  <c r="E6" i="46"/>
  <c r="E9" i="46" s="1"/>
  <c r="E7" i="46"/>
  <c r="E8" i="46"/>
  <c r="D6" i="46"/>
  <c r="D9" i="46" s="1"/>
  <c r="D7" i="46"/>
  <c r="D8" i="46"/>
  <c r="C6" i="46"/>
  <c r="C9" i="46" s="1"/>
  <c r="C7" i="46"/>
  <c r="C8" i="46"/>
  <c r="B6" i="46"/>
  <c r="B7" i="46"/>
  <c r="N7" i="46" s="1"/>
  <c r="B8" i="46"/>
  <c r="N8" i="46" s="1"/>
  <c r="O59" i="45"/>
  <c r="O58" i="45"/>
  <c r="O57" i="45"/>
  <c r="O36" i="45"/>
  <c r="O38" i="45"/>
  <c r="O37" i="45"/>
  <c r="O52" i="45"/>
  <c r="O51" i="45"/>
  <c r="O50" i="45"/>
  <c r="O43" i="45"/>
  <c r="O45" i="45"/>
  <c r="O44" i="45"/>
  <c r="O31" i="45"/>
  <c r="O30" i="45"/>
  <c r="O29" i="45"/>
  <c r="O50" i="44"/>
  <c r="O49" i="44"/>
  <c r="O48" i="44"/>
  <c r="O34" i="44"/>
  <c r="O43" i="44"/>
  <c r="O42" i="44"/>
  <c r="O41" i="44"/>
  <c r="O36" i="44"/>
  <c r="O35" i="44"/>
  <c r="O24" i="44"/>
  <c r="O26" i="44"/>
  <c r="O25" i="44"/>
  <c r="I295" i="44"/>
  <c r="I293" i="44"/>
  <c r="I163" i="44"/>
  <c r="I162" i="44"/>
  <c r="I161" i="44"/>
  <c r="I97" i="44"/>
  <c r="I96" i="44"/>
  <c r="I95" i="44"/>
  <c r="I31" i="44"/>
  <c r="I30" i="44"/>
  <c r="I29" i="44"/>
  <c r="I270" i="44"/>
  <c r="I271" i="44"/>
  <c r="I22" i="45"/>
  <c r="I21" i="45"/>
  <c r="I20" i="45"/>
  <c r="I77" i="45"/>
  <c r="I143" i="45"/>
  <c r="I144" i="45"/>
  <c r="I23" i="45"/>
  <c r="I19" i="45"/>
  <c r="I18" i="45"/>
  <c r="I17" i="45"/>
  <c r="I16" i="45"/>
  <c r="I15" i="45"/>
  <c r="I14" i="45"/>
  <c r="I13" i="45"/>
  <c r="I12" i="45"/>
  <c r="I11" i="45"/>
  <c r="I283" i="44"/>
  <c r="I282" i="44"/>
  <c r="I281" i="44"/>
  <c r="I280" i="44"/>
  <c r="I279" i="44"/>
  <c r="I278" i="44"/>
  <c r="I277" i="44"/>
  <c r="I276" i="44"/>
  <c r="I275" i="44"/>
  <c r="I292" i="44"/>
  <c r="I291" i="44"/>
  <c r="I290" i="44"/>
  <c r="I289" i="44"/>
  <c r="I288" i="44"/>
  <c r="I287" i="44"/>
  <c r="I286" i="44"/>
  <c r="I285" i="44"/>
  <c r="I284" i="44"/>
  <c r="I274" i="44"/>
  <c r="I273" i="44"/>
  <c r="I272" i="44"/>
  <c r="I269" i="44"/>
  <c r="I268" i="44"/>
  <c r="I267" i="44"/>
  <c r="I266" i="44"/>
  <c r="O47" i="43"/>
  <c r="O46" i="43"/>
  <c r="O45" i="43"/>
  <c r="O38" i="43"/>
  <c r="I313" i="45"/>
  <c r="I312" i="45"/>
  <c r="I311" i="45"/>
  <c r="I310" i="45"/>
  <c r="I309" i="45"/>
  <c r="I308" i="45"/>
  <c r="I307" i="45"/>
  <c r="I306" i="45"/>
  <c r="I305" i="45"/>
  <c r="I304" i="45"/>
  <c r="I303" i="45"/>
  <c r="I302" i="45"/>
  <c r="I301" i="45"/>
  <c r="I300" i="45"/>
  <c r="I299" i="45"/>
  <c r="I298" i="45"/>
  <c r="I297" i="45"/>
  <c r="I296" i="45"/>
  <c r="I295" i="45"/>
  <c r="I294" i="45"/>
  <c r="I293" i="45"/>
  <c r="I292" i="45"/>
  <c r="I291" i="45"/>
  <c r="I290" i="45"/>
  <c r="I289" i="45"/>
  <c r="I288" i="45"/>
  <c r="I287" i="45"/>
  <c r="I286" i="45"/>
  <c r="I285" i="45"/>
  <c r="I284" i="45"/>
  <c r="I283" i="45"/>
  <c r="I282" i="45"/>
  <c r="I281" i="45"/>
  <c r="I280" i="45"/>
  <c r="I279" i="45"/>
  <c r="I278" i="45"/>
  <c r="I274" i="45"/>
  <c r="I273" i="45"/>
  <c r="I272" i="45"/>
  <c r="I271" i="45"/>
  <c r="I270" i="45"/>
  <c r="I269" i="45"/>
  <c r="I268" i="45"/>
  <c r="I267" i="45"/>
  <c r="I266" i="45"/>
  <c r="I265" i="45"/>
  <c r="I264" i="45"/>
  <c r="I263" i="45"/>
  <c r="I262" i="45"/>
  <c r="I261" i="45"/>
  <c r="I260" i="45"/>
  <c r="I259" i="45"/>
  <c r="I258" i="45"/>
  <c r="I257" i="45"/>
  <c r="I256" i="45"/>
  <c r="I255" i="45"/>
  <c r="I254" i="45"/>
  <c r="I253" i="45"/>
  <c r="I252" i="45"/>
  <c r="I251" i="45"/>
  <c r="I250" i="45"/>
  <c r="I249" i="45"/>
  <c r="I248" i="45"/>
  <c r="I247" i="45"/>
  <c r="I246" i="45"/>
  <c r="I245" i="45"/>
  <c r="I244" i="45"/>
  <c r="I243" i="45"/>
  <c r="I242" i="45"/>
  <c r="I241" i="45"/>
  <c r="I240" i="45"/>
  <c r="I239" i="45"/>
  <c r="I238" i="45"/>
  <c r="I237" i="45"/>
  <c r="I236" i="45"/>
  <c r="I235" i="45"/>
  <c r="I234" i="45"/>
  <c r="I233" i="45"/>
  <c r="I232" i="45"/>
  <c r="I231" i="45"/>
  <c r="I230" i="45"/>
  <c r="I229" i="45"/>
  <c r="I228" i="45"/>
  <c r="I227" i="45"/>
  <c r="I226" i="45"/>
  <c r="I225" i="45"/>
  <c r="I224" i="45"/>
  <c r="I223" i="45"/>
  <c r="I222" i="45"/>
  <c r="I221" i="45"/>
  <c r="I220" i="45"/>
  <c r="I219" i="45"/>
  <c r="I218" i="45"/>
  <c r="I217" i="45"/>
  <c r="I216" i="45"/>
  <c r="I215" i="45"/>
  <c r="I214" i="45"/>
  <c r="I213" i="45"/>
  <c r="I212" i="45"/>
  <c r="I208" i="45"/>
  <c r="I207" i="45"/>
  <c r="I206" i="45"/>
  <c r="I205" i="45"/>
  <c r="I204" i="45"/>
  <c r="I203" i="45"/>
  <c r="I202" i="45"/>
  <c r="I201" i="45"/>
  <c r="I200" i="45"/>
  <c r="I199" i="45"/>
  <c r="I198" i="45"/>
  <c r="I197" i="45"/>
  <c r="I196" i="45"/>
  <c r="I195" i="45"/>
  <c r="I194" i="45"/>
  <c r="I193" i="45"/>
  <c r="I192" i="45"/>
  <c r="I191" i="45"/>
  <c r="I190" i="45"/>
  <c r="I189" i="45"/>
  <c r="I188" i="45"/>
  <c r="I187" i="45"/>
  <c r="I186" i="45"/>
  <c r="I185" i="45"/>
  <c r="I184" i="45"/>
  <c r="I183" i="45"/>
  <c r="I182" i="45"/>
  <c r="I181" i="45"/>
  <c r="I180" i="45"/>
  <c r="I179" i="45"/>
  <c r="I178" i="45"/>
  <c r="I177" i="45"/>
  <c r="I176" i="45"/>
  <c r="I175" i="45"/>
  <c r="I174" i="45"/>
  <c r="I173" i="45"/>
  <c r="I172" i="45"/>
  <c r="I171" i="45"/>
  <c r="I170" i="45"/>
  <c r="I169" i="45"/>
  <c r="I168" i="45"/>
  <c r="I167" i="45"/>
  <c r="I166" i="45"/>
  <c r="I165" i="45"/>
  <c r="I164" i="45"/>
  <c r="I163" i="45"/>
  <c r="I162" i="45"/>
  <c r="I161" i="45"/>
  <c r="I160" i="45"/>
  <c r="I159" i="45"/>
  <c r="I158" i="45"/>
  <c r="I157" i="45"/>
  <c r="I156" i="45"/>
  <c r="I155" i="45"/>
  <c r="I154" i="45"/>
  <c r="I153" i="45"/>
  <c r="I152" i="45"/>
  <c r="I151" i="45"/>
  <c r="I150" i="45"/>
  <c r="I149" i="45"/>
  <c r="I148" i="45"/>
  <c r="I147" i="45"/>
  <c r="I146" i="45"/>
  <c r="I142" i="45"/>
  <c r="I141" i="45"/>
  <c r="I140" i="45"/>
  <c r="I139" i="45"/>
  <c r="I138" i="45"/>
  <c r="I137" i="45"/>
  <c r="I136" i="45"/>
  <c r="I135" i="45"/>
  <c r="I134" i="45"/>
  <c r="I133" i="45"/>
  <c r="I132" i="45"/>
  <c r="I131" i="45"/>
  <c r="I130" i="45"/>
  <c r="I129" i="45"/>
  <c r="I128" i="45"/>
  <c r="I127" i="45"/>
  <c r="I126" i="45"/>
  <c r="I125" i="45"/>
  <c r="I124" i="45"/>
  <c r="I123" i="45"/>
  <c r="I122" i="45"/>
  <c r="I121" i="45"/>
  <c r="I120" i="45"/>
  <c r="I119" i="45"/>
  <c r="I118" i="45"/>
  <c r="I117" i="45"/>
  <c r="I116" i="45"/>
  <c r="I115" i="45"/>
  <c r="I114" i="45"/>
  <c r="I113" i="45"/>
  <c r="I112" i="45"/>
  <c r="I111" i="45"/>
  <c r="I110" i="45"/>
  <c r="I109" i="45"/>
  <c r="I108" i="45"/>
  <c r="I107" i="45"/>
  <c r="I106" i="45"/>
  <c r="I105" i="45"/>
  <c r="I104" i="45"/>
  <c r="I103" i="45"/>
  <c r="I102" i="45"/>
  <c r="I101" i="45"/>
  <c r="I100" i="45"/>
  <c r="I99" i="45"/>
  <c r="I98" i="45"/>
  <c r="I97" i="45"/>
  <c r="I96" i="45"/>
  <c r="I95" i="45"/>
  <c r="I94" i="45"/>
  <c r="I93" i="45"/>
  <c r="I92" i="45"/>
  <c r="I91" i="45"/>
  <c r="I90" i="45"/>
  <c r="I89" i="45"/>
  <c r="I88" i="45"/>
  <c r="I87" i="45"/>
  <c r="I86" i="45"/>
  <c r="I85" i="45"/>
  <c r="I84" i="45"/>
  <c r="I83" i="45"/>
  <c r="I82" i="45"/>
  <c r="I81" i="45"/>
  <c r="I80" i="45"/>
  <c r="I76" i="45"/>
  <c r="I75" i="45"/>
  <c r="I74" i="45"/>
  <c r="I73" i="45"/>
  <c r="I72" i="45"/>
  <c r="I71" i="45"/>
  <c r="I70" i="45"/>
  <c r="I69" i="45"/>
  <c r="I68" i="45"/>
  <c r="I67" i="45"/>
  <c r="I66" i="45"/>
  <c r="I65" i="45"/>
  <c r="I64" i="45"/>
  <c r="I63" i="45"/>
  <c r="I62" i="45"/>
  <c r="I61" i="45"/>
  <c r="I60" i="45"/>
  <c r="I59" i="45"/>
  <c r="I58" i="45"/>
  <c r="I57" i="45"/>
  <c r="I56" i="45"/>
  <c r="I55" i="45"/>
  <c r="I54" i="45"/>
  <c r="I53" i="45"/>
  <c r="I52" i="45"/>
  <c r="I51" i="45"/>
  <c r="I50" i="45"/>
  <c r="I49" i="45"/>
  <c r="I48" i="45"/>
  <c r="I47" i="45"/>
  <c r="I46" i="45"/>
  <c r="I45" i="45"/>
  <c r="I44" i="45"/>
  <c r="I43" i="45"/>
  <c r="I42" i="45"/>
  <c r="I41" i="45"/>
  <c r="I40" i="45"/>
  <c r="I39" i="45"/>
  <c r="I38" i="45"/>
  <c r="I37" i="45"/>
  <c r="I36" i="45"/>
  <c r="I35" i="45"/>
  <c r="I34" i="45"/>
  <c r="I33" i="45"/>
  <c r="I32" i="45"/>
  <c r="I31" i="45"/>
  <c r="I30" i="45"/>
  <c r="I29" i="45"/>
  <c r="I28" i="45"/>
  <c r="I27" i="45"/>
  <c r="I26" i="45"/>
  <c r="I25" i="45"/>
  <c r="I24" i="45"/>
  <c r="N33" i="18" l="1"/>
  <c r="O33" i="18"/>
  <c r="L33" i="18"/>
  <c r="B9" i="46"/>
  <c r="N9" i="46" s="1"/>
  <c r="N6" i="46"/>
  <c r="O60" i="45"/>
  <c r="I78" i="45"/>
  <c r="I79" i="45"/>
  <c r="O46" i="45"/>
  <c r="O39" i="45"/>
  <c r="I316" i="45"/>
  <c r="I315" i="45"/>
  <c r="I314" i="45"/>
  <c r="I276" i="45"/>
  <c r="I275" i="45"/>
  <c r="I277" i="45"/>
  <c r="I210" i="45"/>
  <c r="I209" i="45"/>
  <c r="I211" i="45"/>
  <c r="I145" i="45"/>
  <c r="O53" i="45"/>
  <c r="O40" i="42"/>
  <c r="O39" i="42"/>
  <c r="O38" i="42"/>
  <c r="I169" i="43"/>
  <c r="I301" i="43" l="1"/>
  <c r="I300" i="43"/>
  <c r="I299" i="43"/>
  <c r="I298" i="43"/>
  <c r="I297" i="43"/>
  <c r="I296" i="43"/>
  <c r="I295" i="43"/>
  <c r="I294" i="43"/>
  <c r="I293" i="43"/>
  <c r="I265" i="44"/>
  <c r="I264" i="44"/>
  <c r="I263" i="44"/>
  <c r="I262" i="44"/>
  <c r="I261" i="44"/>
  <c r="I260" i="44"/>
  <c r="I259" i="44"/>
  <c r="I258" i="44"/>
  <c r="I257" i="44"/>
  <c r="I256" i="44"/>
  <c r="I255" i="44"/>
  <c r="I254" i="44"/>
  <c r="I253" i="44"/>
  <c r="I252" i="44"/>
  <c r="I251" i="44"/>
  <c r="I250" i="44"/>
  <c r="I249" i="44"/>
  <c r="I248" i="44"/>
  <c r="I247" i="44"/>
  <c r="I246" i="44"/>
  <c r="I245" i="44"/>
  <c r="I244" i="44"/>
  <c r="I243" i="44"/>
  <c r="I242" i="44"/>
  <c r="I241" i="44"/>
  <c r="I240" i="44"/>
  <c r="I294" i="44" s="1"/>
  <c r="O18" i="44" s="1"/>
  <c r="I239" i="44"/>
  <c r="I238" i="44"/>
  <c r="I237" i="44"/>
  <c r="I236" i="44"/>
  <c r="I235" i="44"/>
  <c r="I234" i="44"/>
  <c r="I233" i="44"/>
  <c r="I232" i="44"/>
  <c r="I231" i="44"/>
  <c r="I230" i="44"/>
  <c r="I226" i="44"/>
  <c r="I225" i="44"/>
  <c r="I224" i="44"/>
  <c r="I223" i="44"/>
  <c r="I222" i="44"/>
  <c r="I221" i="44"/>
  <c r="I220" i="44"/>
  <c r="I219" i="44"/>
  <c r="I218" i="44"/>
  <c r="I217" i="44"/>
  <c r="I216" i="44"/>
  <c r="I215" i="44"/>
  <c r="I214" i="44"/>
  <c r="I213" i="44"/>
  <c r="I212" i="44"/>
  <c r="I211" i="44"/>
  <c r="I210" i="44"/>
  <c r="I209" i="44"/>
  <c r="I208" i="44"/>
  <c r="I207" i="44"/>
  <c r="I206" i="44"/>
  <c r="I205" i="44"/>
  <c r="I204" i="44"/>
  <c r="I203" i="44"/>
  <c r="I202" i="44"/>
  <c r="I201" i="44"/>
  <c r="I200" i="44"/>
  <c r="I199" i="44"/>
  <c r="I198" i="44"/>
  <c r="I197" i="44"/>
  <c r="I196" i="44"/>
  <c r="I195" i="44"/>
  <c r="I194" i="44"/>
  <c r="I193" i="44"/>
  <c r="I192" i="44"/>
  <c r="I191" i="44"/>
  <c r="I190" i="44"/>
  <c r="I229" i="44" s="1"/>
  <c r="O19" i="44" s="1"/>
  <c r="I189" i="44"/>
  <c r="I228" i="44" s="1"/>
  <c r="I188" i="44"/>
  <c r="I227" i="44" s="1"/>
  <c r="O17" i="44" s="1"/>
  <c r="I187" i="44"/>
  <c r="I186" i="44"/>
  <c r="I185" i="44"/>
  <c r="I184" i="44"/>
  <c r="I183" i="44"/>
  <c r="I182" i="44"/>
  <c r="I181" i="44"/>
  <c r="I180" i="44"/>
  <c r="I179" i="44"/>
  <c r="I178" i="44"/>
  <c r="I177" i="44"/>
  <c r="I176" i="44"/>
  <c r="I175" i="44"/>
  <c r="I174" i="44"/>
  <c r="I173" i="44"/>
  <c r="I172" i="44"/>
  <c r="I171" i="44"/>
  <c r="I170" i="44"/>
  <c r="I169" i="44"/>
  <c r="I168" i="44"/>
  <c r="I167" i="44"/>
  <c r="I166" i="44"/>
  <c r="I165" i="44"/>
  <c r="I164" i="44"/>
  <c r="I142" i="44"/>
  <c r="I141" i="44"/>
  <c r="I140" i="44"/>
  <c r="I139" i="44"/>
  <c r="I138" i="44"/>
  <c r="I137" i="44"/>
  <c r="I136" i="44"/>
  <c r="I135" i="44"/>
  <c r="I134" i="44"/>
  <c r="I133" i="44"/>
  <c r="I132" i="44"/>
  <c r="I131" i="44"/>
  <c r="I130" i="44"/>
  <c r="I129" i="44"/>
  <c r="I128" i="44"/>
  <c r="I127" i="44"/>
  <c r="I126" i="44"/>
  <c r="I125" i="44"/>
  <c r="I124" i="44"/>
  <c r="I123" i="44"/>
  <c r="I122" i="44"/>
  <c r="I121" i="44"/>
  <c r="I120" i="44"/>
  <c r="I119" i="44"/>
  <c r="I118" i="44"/>
  <c r="I117" i="44"/>
  <c r="I116" i="44"/>
  <c r="I115" i="44"/>
  <c r="I114" i="44"/>
  <c r="I113" i="44"/>
  <c r="I112" i="44"/>
  <c r="I111" i="44"/>
  <c r="I110" i="44"/>
  <c r="I109" i="44"/>
  <c r="I108" i="44"/>
  <c r="I107" i="44"/>
  <c r="I106" i="44"/>
  <c r="I105" i="44"/>
  <c r="I104" i="44"/>
  <c r="I103" i="44"/>
  <c r="I102" i="44"/>
  <c r="I101" i="44"/>
  <c r="I100" i="44"/>
  <c r="I99" i="44"/>
  <c r="I98" i="44"/>
  <c r="I94" i="44"/>
  <c r="I93" i="44"/>
  <c r="I92" i="44"/>
  <c r="I91" i="44"/>
  <c r="I90" i="44"/>
  <c r="I89" i="44"/>
  <c r="I88" i="44"/>
  <c r="I87" i="44"/>
  <c r="I86" i="44"/>
  <c r="I85" i="44"/>
  <c r="I84" i="44"/>
  <c r="I83" i="44"/>
  <c r="I82" i="44"/>
  <c r="I81" i="44"/>
  <c r="I80" i="44"/>
  <c r="I79" i="44"/>
  <c r="I78" i="44"/>
  <c r="I77" i="44"/>
  <c r="I76" i="44"/>
  <c r="I75" i="44"/>
  <c r="I74" i="44"/>
  <c r="I73" i="44"/>
  <c r="I72" i="44"/>
  <c r="I71" i="44"/>
  <c r="I70" i="44"/>
  <c r="I69" i="44"/>
  <c r="I68" i="44"/>
  <c r="I67" i="44"/>
  <c r="I66" i="44"/>
  <c r="I65" i="44"/>
  <c r="I64" i="44"/>
  <c r="I63" i="44"/>
  <c r="I62" i="44"/>
  <c r="I61" i="44"/>
  <c r="I60" i="44"/>
  <c r="I59" i="44"/>
  <c r="I58" i="44"/>
  <c r="I57" i="44"/>
  <c r="I56" i="44"/>
  <c r="I55" i="44"/>
  <c r="I54" i="44"/>
  <c r="I53" i="44"/>
  <c r="I52" i="44"/>
  <c r="I51" i="44"/>
  <c r="I50" i="44"/>
  <c r="I49" i="44"/>
  <c r="I48" i="44"/>
  <c r="I47" i="44"/>
  <c r="I46" i="44"/>
  <c r="I45" i="44"/>
  <c r="I44" i="44"/>
  <c r="I43" i="44"/>
  <c r="I42" i="44"/>
  <c r="I41" i="44"/>
  <c r="I40" i="44"/>
  <c r="I39" i="44"/>
  <c r="I38" i="44"/>
  <c r="I37" i="44"/>
  <c r="I36" i="44"/>
  <c r="I35" i="44"/>
  <c r="I34" i="44"/>
  <c r="I33" i="44"/>
  <c r="I32" i="44"/>
  <c r="I28" i="44"/>
  <c r="I27" i="44"/>
  <c r="I26" i="44"/>
  <c r="I25" i="44"/>
  <c r="I24" i="44"/>
  <c r="I23" i="44"/>
  <c r="I22" i="44"/>
  <c r="I21" i="44"/>
  <c r="I20" i="44"/>
  <c r="I19" i="44"/>
  <c r="I18" i="44"/>
  <c r="I17" i="44"/>
  <c r="I16" i="44"/>
  <c r="I15" i="44"/>
  <c r="I14" i="44"/>
  <c r="I13" i="44"/>
  <c r="I12" i="44"/>
  <c r="I11" i="44"/>
  <c r="I73" i="42"/>
  <c r="I72" i="42"/>
  <c r="I71" i="42"/>
  <c r="I70" i="42"/>
  <c r="I69" i="42"/>
  <c r="I68" i="42"/>
  <c r="I67" i="42"/>
  <c r="I66" i="42"/>
  <c r="I65" i="42"/>
  <c r="O40" i="41"/>
  <c r="O39" i="41"/>
  <c r="O38" i="41"/>
  <c r="O24" i="41"/>
  <c r="O17" i="41"/>
  <c r="I259" i="41"/>
  <c r="I260" i="41"/>
  <c r="I261" i="41"/>
  <c r="I262" i="41"/>
  <c r="I274" i="41"/>
  <c r="I231" i="41"/>
  <c r="I232" i="41"/>
  <c r="I230" i="41"/>
  <c r="I126" i="41"/>
  <c r="I127" i="41"/>
  <c r="I128" i="41"/>
  <c r="I129" i="41"/>
  <c r="I130" i="41"/>
  <c r="I131" i="41"/>
  <c r="I132" i="41"/>
  <c r="I133" i="41"/>
  <c r="I125" i="41"/>
  <c r="I292" i="43"/>
  <c r="I291" i="43"/>
  <c r="I290" i="43"/>
  <c r="I289" i="43"/>
  <c r="I288" i="43"/>
  <c r="I287" i="43"/>
  <c r="I286" i="43"/>
  <c r="I285" i="43"/>
  <c r="I284" i="43"/>
  <c r="I283" i="43"/>
  <c r="I282" i="43"/>
  <c r="I281" i="43"/>
  <c r="I280" i="43"/>
  <c r="I279" i="43"/>
  <c r="I278" i="43"/>
  <c r="I277" i="43"/>
  <c r="I276" i="43"/>
  <c r="I275" i="43"/>
  <c r="I274" i="43"/>
  <c r="I273" i="43"/>
  <c r="I272" i="43"/>
  <c r="I271" i="43"/>
  <c r="I270" i="43"/>
  <c r="I269" i="43"/>
  <c r="I268" i="43"/>
  <c r="I267" i="43"/>
  <c r="I266" i="43"/>
  <c r="I265" i="43"/>
  <c r="I264" i="43"/>
  <c r="I263" i="43"/>
  <c r="I262" i="43"/>
  <c r="I261" i="43"/>
  <c r="I260" i="43"/>
  <c r="I259" i="43"/>
  <c r="I258" i="43"/>
  <c r="I257" i="43"/>
  <c r="I253" i="43"/>
  <c r="I252" i="43"/>
  <c r="I251" i="43"/>
  <c r="I250" i="43"/>
  <c r="I249" i="43"/>
  <c r="I248" i="43"/>
  <c r="I247" i="43"/>
  <c r="I246" i="43"/>
  <c r="I245" i="43"/>
  <c r="I244" i="43"/>
  <c r="I243" i="43"/>
  <c r="I242" i="43"/>
  <c r="I241" i="43"/>
  <c r="I240" i="43"/>
  <c r="I239" i="43"/>
  <c r="I238" i="43"/>
  <c r="I237" i="43"/>
  <c r="I236" i="43"/>
  <c r="I235" i="43"/>
  <c r="I234" i="43"/>
  <c r="I233" i="43"/>
  <c r="I232" i="43"/>
  <c r="I231" i="43"/>
  <c r="I230" i="43"/>
  <c r="I229" i="43"/>
  <c r="I228" i="43"/>
  <c r="I227" i="43"/>
  <c r="I226" i="43"/>
  <c r="I225" i="43"/>
  <c r="I224" i="43"/>
  <c r="I223" i="43"/>
  <c r="I222" i="43"/>
  <c r="I221" i="43"/>
  <c r="I220" i="43"/>
  <c r="I219" i="43"/>
  <c r="I218" i="43"/>
  <c r="I217" i="43"/>
  <c r="I216" i="43"/>
  <c r="I215" i="43"/>
  <c r="I214" i="43"/>
  <c r="I213" i="43"/>
  <c r="I212" i="43"/>
  <c r="I211" i="43"/>
  <c r="I210" i="43"/>
  <c r="I209" i="43"/>
  <c r="I208" i="43"/>
  <c r="I207" i="43"/>
  <c r="I206" i="43"/>
  <c r="I205" i="43"/>
  <c r="I204" i="43"/>
  <c r="I203" i="43"/>
  <c r="I202" i="43"/>
  <c r="I201" i="43"/>
  <c r="I200" i="43"/>
  <c r="I199" i="43"/>
  <c r="I198" i="43"/>
  <c r="I197" i="43"/>
  <c r="I196" i="43"/>
  <c r="I195" i="43"/>
  <c r="I194" i="43"/>
  <c r="I193" i="43"/>
  <c r="I192" i="43"/>
  <c r="I191" i="43"/>
  <c r="I187" i="43"/>
  <c r="I186" i="43"/>
  <c r="I185" i="43"/>
  <c r="I184" i="43"/>
  <c r="I183" i="43"/>
  <c r="I182" i="43"/>
  <c r="I181" i="43"/>
  <c r="I180" i="43"/>
  <c r="I179" i="43"/>
  <c r="I178" i="43"/>
  <c r="I177" i="43"/>
  <c r="I176" i="43"/>
  <c r="I175" i="43"/>
  <c r="I174" i="43"/>
  <c r="I173" i="43"/>
  <c r="I172" i="43"/>
  <c r="I171" i="43"/>
  <c r="I170" i="43"/>
  <c r="I168" i="43"/>
  <c r="I167" i="43"/>
  <c r="I166" i="43"/>
  <c r="I165" i="43"/>
  <c r="I164" i="43"/>
  <c r="I163" i="43"/>
  <c r="I162" i="43"/>
  <c r="I161" i="43"/>
  <c r="I160" i="43"/>
  <c r="I159" i="43"/>
  <c r="I158" i="43"/>
  <c r="I157" i="43"/>
  <c r="I156" i="43"/>
  <c r="I155" i="43"/>
  <c r="I154" i="43"/>
  <c r="I153" i="43"/>
  <c r="I152" i="43"/>
  <c r="I151" i="43"/>
  <c r="I150" i="43"/>
  <c r="I149" i="43"/>
  <c r="I148" i="43"/>
  <c r="I147" i="43"/>
  <c r="I146" i="43"/>
  <c r="I145" i="43"/>
  <c r="I144" i="43"/>
  <c r="I143" i="43"/>
  <c r="I142" i="43"/>
  <c r="I141" i="43"/>
  <c r="I140" i="43"/>
  <c r="I139" i="43"/>
  <c r="I138" i="43"/>
  <c r="I137" i="43"/>
  <c r="I136" i="43"/>
  <c r="I135" i="43"/>
  <c r="I134" i="43"/>
  <c r="I133" i="43"/>
  <c r="I132" i="43"/>
  <c r="I131" i="43"/>
  <c r="I130" i="43"/>
  <c r="I129" i="43"/>
  <c r="I128" i="43"/>
  <c r="I127" i="43"/>
  <c r="I126" i="43"/>
  <c r="I125" i="43"/>
  <c r="I121" i="43"/>
  <c r="I120" i="43"/>
  <c r="I119" i="43"/>
  <c r="I118" i="43"/>
  <c r="I117" i="43"/>
  <c r="I116" i="43"/>
  <c r="I115" i="43"/>
  <c r="I114" i="43"/>
  <c r="I113" i="43"/>
  <c r="I112" i="43"/>
  <c r="I111" i="43"/>
  <c r="I110" i="43"/>
  <c r="I109" i="43"/>
  <c r="I108" i="43"/>
  <c r="I107" i="43"/>
  <c r="I106" i="43"/>
  <c r="I105" i="43"/>
  <c r="I104" i="43"/>
  <c r="I103" i="43"/>
  <c r="I102" i="43"/>
  <c r="I101" i="43"/>
  <c r="I100" i="43"/>
  <c r="I99" i="43"/>
  <c r="I98" i="43"/>
  <c r="I97" i="43"/>
  <c r="I96" i="43"/>
  <c r="I95" i="43"/>
  <c r="I94" i="43"/>
  <c r="I93" i="43"/>
  <c r="I92" i="43"/>
  <c r="I91" i="43"/>
  <c r="I90" i="43"/>
  <c r="I89" i="43"/>
  <c r="I88" i="43"/>
  <c r="I87" i="43"/>
  <c r="I86" i="43"/>
  <c r="I85" i="43"/>
  <c r="I84" i="43"/>
  <c r="I83" i="43"/>
  <c r="I82" i="43"/>
  <c r="I81" i="43"/>
  <c r="I80" i="43"/>
  <c r="I79" i="43"/>
  <c r="I78" i="43"/>
  <c r="I77" i="43"/>
  <c r="I76" i="43"/>
  <c r="I75" i="43"/>
  <c r="I74" i="43"/>
  <c r="I73" i="43"/>
  <c r="I72" i="43"/>
  <c r="I71" i="43"/>
  <c r="I70" i="43"/>
  <c r="I69" i="43"/>
  <c r="I68" i="43"/>
  <c r="I67" i="43"/>
  <c r="I66" i="43"/>
  <c r="I65" i="43"/>
  <c r="I64" i="43"/>
  <c r="I63" i="43"/>
  <c r="I62" i="43"/>
  <c r="I61" i="43"/>
  <c r="I60" i="43"/>
  <c r="I59" i="43"/>
  <c r="I55" i="43"/>
  <c r="I54" i="43"/>
  <c r="I53" i="43"/>
  <c r="I52" i="43"/>
  <c r="I51" i="43"/>
  <c r="I50" i="43"/>
  <c r="I49" i="43"/>
  <c r="I48" i="43"/>
  <c r="I47" i="43"/>
  <c r="I46" i="43"/>
  <c r="I45" i="43"/>
  <c r="I44" i="43"/>
  <c r="I43" i="43"/>
  <c r="I42" i="43"/>
  <c r="I41" i="43"/>
  <c r="I40" i="43"/>
  <c r="I39" i="43"/>
  <c r="I38" i="43"/>
  <c r="I37" i="43"/>
  <c r="I36" i="43"/>
  <c r="I35" i="43"/>
  <c r="I34" i="43"/>
  <c r="I33" i="43"/>
  <c r="O32" i="43"/>
  <c r="I32" i="43"/>
  <c r="O31" i="43"/>
  <c r="I31" i="43"/>
  <c r="I30" i="43"/>
  <c r="I29" i="43"/>
  <c r="I28" i="43"/>
  <c r="I27" i="43"/>
  <c r="O26" i="43"/>
  <c r="I26" i="43"/>
  <c r="O25" i="43"/>
  <c r="I25" i="43"/>
  <c r="I24" i="43"/>
  <c r="I23" i="43"/>
  <c r="I22" i="43"/>
  <c r="O40" i="43" s="1"/>
  <c r="I21" i="43"/>
  <c r="O39" i="43" s="1"/>
  <c r="I20" i="43"/>
  <c r="I19" i="43"/>
  <c r="O33" i="43" s="1"/>
  <c r="I18" i="43"/>
  <c r="I17" i="43"/>
  <c r="I16" i="43"/>
  <c r="I15" i="43"/>
  <c r="I14" i="43"/>
  <c r="I13" i="43"/>
  <c r="I12" i="43"/>
  <c r="I11" i="43"/>
  <c r="O24" i="43" s="1"/>
  <c r="I292" i="42"/>
  <c r="I291" i="42"/>
  <c r="I290" i="42"/>
  <c r="I289" i="42"/>
  <c r="I288" i="42"/>
  <c r="I287" i="42"/>
  <c r="I286" i="42"/>
  <c r="I285" i="42"/>
  <c r="I284" i="42"/>
  <c r="I283" i="42"/>
  <c r="I282" i="42"/>
  <c r="I281" i="42"/>
  <c r="I280" i="42"/>
  <c r="I279" i="42"/>
  <c r="I278" i="42"/>
  <c r="I277" i="42"/>
  <c r="I276" i="42"/>
  <c r="I275" i="42"/>
  <c r="I271" i="42"/>
  <c r="I270" i="42"/>
  <c r="I269" i="42"/>
  <c r="I268" i="42"/>
  <c r="I267" i="42"/>
  <c r="I266" i="42"/>
  <c r="I265" i="42"/>
  <c r="I264" i="42"/>
  <c r="I263" i="42"/>
  <c r="I262" i="42"/>
  <c r="I261" i="42"/>
  <c r="I260" i="42"/>
  <c r="I259" i="42"/>
  <c r="I258" i="42"/>
  <c r="I257" i="42"/>
  <c r="I256" i="42"/>
  <c r="I255" i="42"/>
  <c r="I254" i="42"/>
  <c r="I253" i="42"/>
  <c r="I252" i="42"/>
  <c r="I251" i="42"/>
  <c r="I250" i="42"/>
  <c r="I249" i="42"/>
  <c r="I248" i="42"/>
  <c r="I247" i="42"/>
  <c r="I246" i="42"/>
  <c r="I245" i="42"/>
  <c r="I244" i="42"/>
  <c r="I243" i="42"/>
  <c r="I242" i="42"/>
  <c r="I241" i="42"/>
  <c r="I240" i="42"/>
  <c r="I239" i="42"/>
  <c r="I238" i="42"/>
  <c r="I237" i="42"/>
  <c r="I236" i="42"/>
  <c r="I235" i="42"/>
  <c r="I234" i="42"/>
  <c r="I233" i="42"/>
  <c r="I232" i="42"/>
  <c r="I231" i="42"/>
  <c r="I230" i="42"/>
  <c r="I229" i="42"/>
  <c r="I228" i="42"/>
  <c r="I227" i="42"/>
  <c r="I226" i="42"/>
  <c r="I225" i="42"/>
  <c r="I224" i="42"/>
  <c r="I223" i="42"/>
  <c r="I222" i="42"/>
  <c r="I221" i="42"/>
  <c r="I220" i="42"/>
  <c r="I219" i="42"/>
  <c r="I218" i="42"/>
  <c r="I217" i="42"/>
  <c r="I216" i="42"/>
  <c r="I215" i="42"/>
  <c r="I214" i="42"/>
  <c r="I213" i="42"/>
  <c r="I212" i="42"/>
  <c r="I211" i="42"/>
  <c r="I210" i="42"/>
  <c r="I209" i="42"/>
  <c r="I205" i="42"/>
  <c r="I204" i="42"/>
  <c r="I203" i="42"/>
  <c r="I202" i="42"/>
  <c r="I201" i="42"/>
  <c r="I200" i="42"/>
  <c r="I199" i="42"/>
  <c r="I198" i="42"/>
  <c r="I197" i="42"/>
  <c r="I196" i="42"/>
  <c r="I195" i="42"/>
  <c r="I194" i="42"/>
  <c r="I193" i="42"/>
  <c r="I192" i="42"/>
  <c r="I191" i="42"/>
  <c r="I190" i="42"/>
  <c r="I189" i="42"/>
  <c r="I188" i="42"/>
  <c r="I187" i="42"/>
  <c r="I186" i="42"/>
  <c r="I185" i="42"/>
  <c r="I184" i="42"/>
  <c r="I183" i="42"/>
  <c r="I182" i="42"/>
  <c r="I181" i="42"/>
  <c r="I180" i="42"/>
  <c r="I179" i="42"/>
  <c r="I178" i="42"/>
  <c r="I177" i="42"/>
  <c r="I176" i="42"/>
  <c r="I175" i="42"/>
  <c r="I174" i="42"/>
  <c r="I173" i="42"/>
  <c r="I172" i="42"/>
  <c r="I171" i="42"/>
  <c r="I170" i="42"/>
  <c r="I169" i="42"/>
  <c r="I168" i="42"/>
  <c r="I167" i="42"/>
  <c r="I166" i="42"/>
  <c r="I165" i="42"/>
  <c r="I164" i="42"/>
  <c r="I163" i="42"/>
  <c r="I162" i="42"/>
  <c r="I161" i="42"/>
  <c r="I160" i="42"/>
  <c r="I159" i="42"/>
  <c r="I158" i="42"/>
  <c r="I157" i="42"/>
  <c r="I156" i="42"/>
  <c r="I155" i="42"/>
  <c r="I154" i="42"/>
  <c r="I153" i="42"/>
  <c r="I152" i="42"/>
  <c r="I151" i="42"/>
  <c r="I150" i="42"/>
  <c r="I149" i="42"/>
  <c r="I148" i="42"/>
  <c r="I147" i="42"/>
  <c r="I146" i="42"/>
  <c r="I145" i="42"/>
  <c r="I144" i="42"/>
  <c r="I143" i="42"/>
  <c r="I139" i="42"/>
  <c r="I138" i="42"/>
  <c r="I137" i="42"/>
  <c r="I136" i="42"/>
  <c r="I135" i="42"/>
  <c r="I134" i="42"/>
  <c r="I133" i="42"/>
  <c r="I132" i="42"/>
  <c r="I131" i="42"/>
  <c r="I130" i="42"/>
  <c r="I129" i="42"/>
  <c r="I128" i="42"/>
  <c r="I127" i="42"/>
  <c r="I126" i="42"/>
  <c r="I125" i="42"/>
  <c r="I124" i="42"/>
  <c r="I123" i="42"/>
  <c r="I122" i="42"/>
  <c r="I121" i="42"/>
  <c r="I120" i="42"/>
  <c r="I119" i="42"/>
  <c r="I118" i="42"/>
  <c r="I117" i="42"/>
  <c r="I116" i="42"/>
  <c r="I115" i="42"/>
  <c r="I114" i="42"/>
  <c r="I113" i="42"/>
  <c r="I112" i="42"/>
  <c r="I111" i="42"/>
  <c r="I110" i="42"/>
  <c r="I109" i="42"/>
  <c r="I108" i="42"/>
  <c r="I107" i="42"/>
  <c r="I106" i="42"/>
  <c r="I105" i="42"/>
  <c r="I104" i="42"/>
  <c r="I103" i="42"/>
  <c r="I102" i="42"/>
  <c r="I101" i="42"/>
  <c r="I100" i="42"/>
  <c r="I99" i="42"/>
  <c r="I98" i="42"/>
  <c r="I97" i="42"/>
  <c r="I96" i="42"/>
  <c r="I95" i="42"/>
  <c r="I94" i="42"/>
  <c r="I93" i="42"/>
  <c r="I92" i="42"/>
  <c r="I91" i="42"/>
  <c r="I90" i="42"/>
  <c r="I89" i="42"/>
  <c r="I88" i="42"/>
  <c r="I87" i="42"/>
  <c r="I86" i="42"/>
  <c r="I85" i="42"/>
  <c r="I84" i="42"/>
  <c r="I83" i="42"/>
  <c r="I82" i="42"/>
  <c r="I81" i="42"/>
  <c r="I80" i="42"/>
  <c r="I79" i="42"/>
  <c r="I78" i="42"/>
  <c r="I77" i="42"/>
  <c r="I64" i="42"/>
  <c r="I63" i="42"/>
  <c r="I62" i="42"/>
  <c r="I61" i="42"/>
  <c r="I60" i="42"/>
  <c r="I59" i="42"/>
  <c r="I58" i="42"/>
  <c r="I57" i="42"/>
  <c r="I56" i="42"/>
  <c r="I55" i="42"/>
  <c r="I54" i="42"/>
  <c r="I53" i="42"/>
  <c r="I52" i="42"/>
  <c r="I51" i="42"/>
  <c r="I50" i="42"/>
  <c r="I49" i="42"/>
  <c r="I48" i="42"/>
  <c r="O47" i="42"/>
  <c r="I47" i="42"/>
  <c r="O46" i="42"/>
  <c r="I46" i="42"/>
  <c r="O45" i="42"/>
  <c r="I45" i="42"/>
  <c r="I44" i="42"/>
  <c r="I43" i="42"/>
  <c r="I42" i="42"/>
  <c r="I41" i="42"/>
  <c r="I40" i="42"/>
  <c r="I39" i="42"/>
  <c r="I38" i="42"/>
  <c r="I37" i="42"/>
  <c r="I36" i="42"/>
  <c r="I35" i="42"/>
  <c r="I34" i="42"/>
  <c r="O33" i="42"/>
  <c r="I33" i="42"/>
  <c r="O32" i="42"/>
  <c r="I32" i="42"/>
  <c r="O31" i="42"/>
  <c r="I31" i="42"/>
  <c r="I30" i="42"/>
  <c r="I29" i="42"/>
  <c r="I28" i="42"/>
  <c r="I27" i="42"/>
  <c r="O26" i="42"/>
  <c r="I26" i="42"/>
  <c r="O25" i="42"/>
  <c r="I25" i="42"/>
  <c r="O24" i="42"/>
  <c r="I24" i="42"/>
  <c r="I23" i="42"/>
  <c r="I22" i="42"/>
  <c r="I21" i="42"/>
  <c r="I20" i="42"/>
  <c r="I19" i="42"/>
  <c r="I18" i="42"/>
  <c r="I17" i="42"/>
  <c r="I16" i="42"/>
  <c r="I15" i="42"/>
  <c r="I14" i="42"/>
  <c r="I13" i="42"/>
  <c r="I12" i="42"/>
  <c r="I11" i="42"/>
  <c r="I273" i="41"/>
  <c r="I272" i="41"/>
  <c r="I271" i="41"/>
  <c r="I270" i="41"/>
  <c r="I269" i="41"/>
  <c r="I268" i="41"/>
  <c r="I267" i="41"/>
  <c r="I266" i="41"/>
  <c r="I265" i="41"/>
  <c r="I264" i="41"/>
  <c r="I263" i="41"/>
  <c r="I258" i="41"/>
  <c r="I257" i="41"/>
  <c r="I256" i="41"/>
  <c r="I255" i="41"/>
  <c r="I254" i="41"/>
  <c r="I253" i="41"/>
  <c r="I252" i="41"/>
  <c r="I251" i="41"/>
  <c r="I250" i="41"/>
  <c r="I249" i="41"/>
  <c r="I248" i="41"/>
  <c r="I247" i="41"/>
  <c r="I246" i="41"/>
  <c r="I245" i="41"/>
  <c r="I244" i="41"/>
  <c r="I243" i="41"/>
  <c r="I242" i="41"/>
  <c r="I241" i="41"/>
  <c r="I240" i="41"/>
  <c r="I239" i="41"/>
  <c r="I235" i="41"/>
  <c r="I234" i="41"/>
  <c r="I233" i="41"/>
  <c r="I229" i="41"/>
  <c r="I228" i="41"/>
  <c r="I227" i="41"/>
  <c r="I226" i="41"/>
  <c r="I225" i="41"/>
  <c r="I224" i="41"/>
  <c r="I223" i="41"/>
  <c r="I222" i="41"/>
  <c r="I221" i="41"/>
  <c r="I220" i="41"/>
  <c r="I219" i="41"/>
  <c r="I218" i="41"/>
  <c r="I217" i="41"/>
  <c r="I216" i="41"/>
  <c r="I215" i="41"/>
  <c r="I214" i="41"/>
  <c r="I213" i="41"/>
  <c r="I212" i="41"/>
  <c r="I211" i="41"/>
  <c r="I210" i="41"/>
  <c r="I209" i="41"/>
  <c r="I208" i="41"/>
  <c r="I207" i="41"/>
  <c r="I206" i="41"/>
  <c r="I205" i="41"/>
  <c r="I204" i="41"/>
  <c r="I203" i="41"/>
  <c r="I202" i="41"/>
  <c r="I201" i="41"/>
  <c r="I200" i="41"/>
  <c r="I199" i="41"/>
  <c r="I198" i="41"/>
  <c r="I197" i="41"/>
  <c r="I196" i="41"/>
  <c r="I195" i="41"/>
  <c r="I194" i="41"/>
  <c r="I193" i="41"/>
  <c r="I192" i="41"/>
  <c r="I191" i="41"/>
  <c r="I190" i="41"/>
  <c r="I189" i="41"/>
  <c r="I188" i="41"/>
  <c r="I187" i="41"/>
  <c r="I186" i="41"/>
  <c r="I185" i="41"/>
  <c r="I184" i="41"/>
  <c r="I183" i="41"/>
  <c r="I182" i="41"/>
  <c r="I181" i="41"/>
  <c r="I180" i="41"/>
  <c r="I179" i="41"/>
  <c r="I178" i="41"/>
  <c r="I177" i="41"/>
  <c r="I176" i="41"/>
  <c r="I175" i="41"/>
  <c r="I174" i="41"/>
  <c r="I173" i="41"/>
  <c r="I169" i="41"/>
  <c r="I168" i="41"/>
  <c r="I167" i="41"/>
  <c r="I166" i="41"/>
  <c r="I165" i="41"/>
  <c r="I164" i="41"/>
  <c r="I163" i="41"/>
  <c r="I162" i="41"/>
  <c r="I161" i="41"/>
  <c r="I160" i="41"/>
  <c r="I159" i="41"/>
  <c r="I158" i="41"/>
  <c r="I157" i="41"/>
  <c r="I156" i="41"/>
  <c r="I155" i="41"/>
  <c r="I154" i="41"/>
  <c r="I153" i="41"/>
  <c r="I152" i="41"/>
  <c r="I151" i="41"/>
  <c r="I150" i="41"/>
  <c r="I149" i="41"/>
  <c r="I148" i="41"/>
  <c r="I147" i="41"/>
  <c r="I146" i="41"/>
  <c r="I145" i="41"/>
  <c r="I144" i="41"/>
  <c r="I143" i="41"/>
  <c r="I142" i="41"/>
  <c r="I141" i="41"/>
  <c r="I140" i="41"/>
  <c r="I139" i="41"/>
  <c r="I138" i="41"/>
  <c r="I137" i="41"/>
  <c r="I136" i="41"/>
  <c r="I135" i="41"/>
  <c r="I134" i="41"/>
  <c r="I124" i="41"/>
  <c r="I123" i="41"/>
  <c r="I122" i="41"/>
  <c r="I121" i="41"/>
  <c r="I120" i="41"/>
  <c r="I119" i="41"/>
  <c r="I118" i="41"/>
  <c r="I117" i="41"/>
  <c r="I116" i="41"/>
  <c r="I115" i="41"/>
  <c r="I114" i="41"/>
  <c r="I113" i="41"/>
  <c r="I112" i="41"/>
  <c r="I111" i="41"/>
  <c r="I110" i="41"/>
  <c r="I109" i="41"/>
  <c r="I108" i="41"/>
  <c r="I107" i="41"/>
  <c r="I103" i="41"/>
  <c r="I102" i="41"/>
  <c r="I101" i="41"/>
  <c r="I100" i="41"/>
  <c r="I99" i="41"/>
  <c r="I98" i="41"/>
  <c r="I97" i="41"/>
  <c r="I96" i="41"/>
  <c r="I95" i="41"/>
  <c r="I94" i="41"/>
  <c r="I93" i="41"/>
  <c r="I92" i="41"/>
  <c r="I91" i="41"/>
  <c r="I90" i="41"/>
  <c r="I89" i="41"/>
  <c r="I88" i="41"/>
  <c r="I87" i="41"/>
  <c r="I86" i="41"/>
  <c r="I85" i="41"/>
  <c r="I84" i="41"/>
  <c r="I83" i="41"/>
  <c r="I82" i="41"/>
  <c r="I81" i="41"/>
  <c r="I80" i="41"/>
  <c r="I79" i="41"/>
  <c r="I78" i="41"/>
  <c r="I77" i="41"/>
  <c r="I76" i="41"/>
  <c r="I75" i="41"/>
  <c r="I74" i="41"/>
  <c r="I73" i="41"/>
  <c r="I72" i="41"/>
  <c r="I71" i="41"/>
  <c r="I70" i="41"/>
  <c r="I69" i="41"/>
  <c r="I68" i="41"/>
  <c r="I67" i="41"/>
  <c r="I66" i="41"/>
  <c r="I65" i="41"/>
  <c r="I64" i="41"/>
  <c r="I63" i="41"/>
  <c r="I62" i="41"/>
  <c r="I61" i="41"/>
  <c r="I60" i="41"/>
  <c r="I59" i="41"/>
  <c r="I58" i="41"/>
  <c r="I57" i="41"/>
  <c r="I56" i="41"/>
  <c r="I55" i="41"/>
  <c r="I54" i="41"/>
  <c r="I53" i="41"/>
  <c r="I52" i="41"/>
  <c r="I51" i="41"/>
  <c r="I50" i="41"/>
  <c r="I49" i="41"/>
  <c r="I48" i="41"/>
  <c r="I47" i="41"/>
  <c r="I46" i="41"/>
  <c r="I45" i="41"/>
  <c r="I44" i="41"/>
  <c r="I43" i="41"/>
  <c r="I42" i="41"/>
  <c r="I41" i="41"/>
  <c r="I37" i="41"/>
  <c r="I36" i="41"/>
  <c r="I35" i="41"/>
  <c r="I34" i="41"/>
  <c r="I33" i="41"/>
  <c r="O32" i="41"/>
  <c r="I32" i="41"/>
  <c r="I31" i="41"/>
  <c r="I30" i="41"/>
  <c r="I29" i="41"/>
  <c r="I28" i="41"/>
  <c r="I27" i="41"/>
  <c r="I26" i="41"/>
  <c r="O25" i="41"/>
  <c r="I25" i="41"/>
  <c r="I24" i="41"/>
  <c r="I23" i="41"/>
  <c r="I22" i="41"/>
  <c r="I21" i="41"/>
  <c r="I20" i="41"/>
  <c r="I19" i="41"/>
  <c r="I18" i="41"/>
  <c r="I17" i="41"/>
  <c r="I16" i="41"/>
  <c r="I15" i="41"/>
  <c r="I14" i="41"/>
  <c r="I13" i="41"/>
  <c r="O33" i="41" s="1"/>
  <c r="I12" i="41"/>
  <c r="I11" i="41"/>
  <c r="O31" i="41" s="1"/>
  <c r="O47" i="38"/>
  <c r="O46" i="38"/>
  <c r="O45" i="38"/>
  <c r="O40" i="38"/>
  <c r="O39" i="38"/>
  <c r="O38" i="38"/>
  <c r="O31" i="38"/>
  <c r="O33" i="38"/>
  <c r="O32" i="38"/>
  <c r="O26" i="38"/>
  <c r="O25" i="38"/>
  <c r="O24" i="38"/>
  <c r="O36" i="36"/>
  <c r="O19" i="38"/>
  <c r="O18" i="38"/>
  <c r="O17" i="38"/>
  <c r="I304" i="38"/>
  <c r="I303" i="38"/>
  <c r="I302" i="38"/>
  <c r="I265" i="38"/>
  <c r="I264" i="38"/>
  <c r="I263" i="38"/>
  <c r="I199" i="38"/>
  <c r="I198" i="38"/>
  <c r="I197" i="38"/>
  <c r="I133" i="38"/>
  <c r="I132" i="38"/>
  <c r="I131" i="38"/>
  <c r="I67" i="38"/>
  <c r="I66" i="38"/>
  <c r="I65" i="38"/>
  <c r="I153" i="38"/>
  <c r="O59" i="36"/>
  <c r="O58" i="36"/>
  <c r="O57" i="36"/>
  <c r="O52" i="36"/>
  <c r="O51" i="36"/>
  <c r="O50" i="36"/>
  <c r="O45" i="36"/>
  <c r="O44" i="36"/>
  <c r="O43" i="36"/>
  <c r="O38" i="36"/>
  <c r="O37" i="36"/>
  <c r="O24" i="33"/>
  <c r="O31" i="36"/>
  <c r="O30" i="36"/>
  <c r="O29" i="36"/>
  <c r="I22" i="36"/>
  <c r="I21" i="36"/>
  <c r="I20" i="36"/>
  <c r="I86" i="36"/>
  <c r="I88" i="36"/>
  <c r="I87" i="36"/>
  <c r="I154" i="36"/>
  <c r="I153" i="36"/>
  <c r="I152" i="36"/>
  <c r="I220" i="36"/>
  <c r="I219" i="36"/>
  <c r="I218" i="36"/>
  <c r="I286" i="36"/>
  <c r="I285" i="36"/>
  <c r="I284" i="36"/>
  <c r="I298" i="36"/>
  <c r="I297" i="36"/>
  <c r="I296" i="36"/>
  <c r="I167" i="36"/>
  <c r="I168" i="36"/>
  <c r="I169" i="36"/>
  <c r="I134" i="36"/>
  <c r="I19" i="36"/>
  <c r="I23" i="36"/>
  <c r="I24" i="36"/>
  <c r="I11" i="36"/>
  <c r="I18" i="36"/>
  <c r="I17" i="36"/>
  <c r="I16" i="36"/>
  <c r="I15" i="36"/>
  <c r="I14" i="36"/>
  <c r="I13" i="36"/>
  <c r="I12" i="36"/>
  <c r="O47" i="33"/>
  <c r="O46" i="33"/>
  <c r="O45" i="33"/>
  <c r="O38" i="33"/>
  <c r="O40" i="33"/>
  <c r="O39" i="33"/>
  <c r="O31" i="33"/>
  <c r="O33" i="33"/>
  <c r="O32" i="33"/>
  <c r="O17" i="33"/>
  <c r="I303" i="33"/>
  <c r="I302" i="33"/>
  <c r="I247" i="33"/>
  <c r="I245" i="33"/>
  <c r="I181" i="33"/>
  <c r="I180" i="33"/>
  <c r="I179" i="33"/>
  <c r="I115" i="33"/>
  <c r="I113" i="33"/>
  <c r="I49" i="33"/>
  <c r="I48" i="33"/>
  <c r="I47" i="33"/>
  <c r="O26" i="33"/>
  <c r="O25" i="33"/>
  <c r="I304" i="33"/>
  <c r="P29" i="45" l="1"/>
  <c r="O27" i="44"/>
  <c r="O51" i="44"/>
  <c r="O44" i="44"/>
  <c r="O37" i="44"/>
  <c r="I256" i="43"/>
  <c r="O27" i="43"/>
  <c r="I57" i="43"/>
  <c r="O18" i="43" s="1"/>
  <c r="I123" i="43"/>
  <c r="I302" i="43"/>
  <c r="O34" i="43"/>
  <c r="I188" i="43"/>
  <c r="I255" i="43"/>
  <c r="I254" i="43"/>
  <c r="I122" i="43"/>
  <c r="I304" i="43"/>
  <c r="O41" i="43"/>
  <c r="I190" i="43"/>
  <c r="I58" i="43"/>
  <c r="O19" i="43" s="1"/>
  <c r="I124" i="43"/>
  <c r="I303" i="43"/>
  <c r="O48" i="43"/>
  <c r="I189" i="43"/>
  <c r="I56" i="43"/>
  <c r="O17" i="43" s="1"/>
  <c r="O27" i="42"/>
  <c r="O48" i="42"/>
  <c r="I74" i="42"/>
  <c r="I274" i="42"/>
  <c r="I295" i="42"/>
  <c r="I293" i="42"/>
  <c r="O34" i="42"/>
  <c r="I75" i="42"/>
  <c r="I272" i="42"/>
  <c r="O41" i="42"/>
  <c r="I206" i="42"/>
  <c r="I273" i="42"/>
  <c r="I76" i="42"/>
  <c r="I140" i="42"/>
  <c r="I207" i="42"/>
  <c r="I141" i="42"/>
  <c r="I208" i="42"/>
  <c r="I142" i="42"/>
  <c r="I294" i="42"/>
  <c r="O41" i="41"/>
  <c r="I39" i="41"/>
  <c r="I105" i="41"/>
  <c r="I172" i="41"/>
  <c r="I106" i="41"/>
  <c r="I304" i="41"/>
  <c r="I237" i="41"/>
  <c r="I302" i="41"/>
  <c r="I104" i="41"/>
  <c r="I236" i="41"/>
  <c r="I303" i="41"/>
  <c r="I40" i="41"/>
  <c r="I170" i="41"/>
  <c r="I171" i="41"/>
  <c r="I238" i="41"/>
  <c r="O34" i="41"/>
  <c r="I38" i="41"/>
  <c r="O26" i="41"/>
  <c r="O27" i="41" s="1"/>
  <c r="O48" i="33"/>
  <c r="O18" i="33"/>
  <c r="O19" i="33"/>
  <c r="I246" i="33"/>
  <c r="I114" i="33"/>
  <c r="I244" i="33"/>
  <c r="I243" i="33"/>
  <c r="I242" i="33"/>
  <c r="I241" i="33"/>
  <c r="I240" i="33"/>
  <c r="I239" i="33"/>
  <c r="I238" i="33"/>
  <c r="I237" i="33"/>
  <c r="I236" i="33"/>
  <c r="I235" i="33"/>
  <c r="I234" i="33"/>
  <c r="I233" i="33"/>
  <c r="I232" i="33"/>
  <c r="I231" i="33"/>
  <c r="I230" i="33"/>
  <c r="I229" i="33"/>
  <c r="I228" i="33"/>
  <c r="I227" i="33"/>
  <c r="I226" i="33"/>
  <c r="I225" i="33"/>
  <c r="I224" i="33"/>
  <c r="I223" i="33"/>
  <c r="I222" i="33"/>
  <c r="I221" i="33"/>
  <c r="I220" i="33"/>
  <c r="I219" i="33"/>
  <c r="I218" i="33"/>
  <c r="I39" i="33"/>
  <c r="I40" i="33"/>
  <c r="O17" i="42" l="1"/>
  <c r="O19" i="42"/>
  <c r="O18" i="42"/>
  <c r="O19" i="41"/>
  <c r="O18" i="41"/>
  <c r="P17" i="33"/>
  <c r="I30" i="33"/>
  <c r="I31" i="33"/>
  <c r="I29" i="33"/>
  <c r="O47" i="32"/>
  <c r="O46" i="32"/>
  <c r="O45" i="32"/>
  <c r="O38" i="32"/>
  <c r="O41" i="32" s="1"/>
  <c r="O40" i="32"/>
  <c r="O39" i="32"/>
  <c r="O33" i="32"/>
  <c r="O31" i="32"/>
  <c r="O32" i="32"/>
  <c r="O19" i="32"/>
  <c r="O18" i="32"/>
  <c r="O17" i="32"/>
  <c r="I278" i="32"/>
  <c r="I225" i="32"/>
  <c r="I266" i="32"/>
  <c r="I267" i="32"/>
  <c r="I268" i="32"/>
  <c r="I269" i="32"/>
  <c r="I270" i="32"/>
  <c r="I271" i="32"/>
  <c r="I272" i="32"/>
  <c r="I273" i="32"/>
  <c r="I274" i="32"/>
  <c r="I275" i="32"/>
  <c r="I276" i="32"/>
  <c r="I277" i="32"/>
  <c r="I279" i="32"/>
  <c r="I280" i="32"/>
  <c r="I281" i="32"/>
  <c r="I282" i="32"/>
  <c r="I283" i="32"/>
  <c r="I284" i="32"/>
  <c r="I285" i="32"/>
  <c r="I286" i="32"/>
  <c r="I287" i="32"/>
  <c r="I288" i="32"/>
  <c r="I289" i="32"/>
  <c r="I290" i="32"/>
  <c r="I291" i="32"/>
  <c r="I292" i="32"/>
  <c r="I294" i="32"/>
  <c r="I295" i="32"/>
  <c r="I301" i="38"/>
  <c r="I300" i="38"/>
  <c r="I299" i="38"/>
  <c r="I298" i="38"/>
  <c r="I297" i="38"/>
  <c r="I296" i="38"/>
  <c r="I295" i="38"/>
  <c r="I294" i="38"/>
  <c r="I293" i="38"/>
  <c r="I292" i="38"/>
  <c r="I291" i="38"/>
  <c r="I290" i="38"/>
  <c r="I289" i="38"/>
  <c r="I288" i="38"/>
  <c r="I287" i="38"/>
  <c r="I286" i="38"/>
  <c r="I285" i="38"/>
  <c r="I284" i="38"/>
  <c r="I283" i="38"/>
  <c r="I282" i="38"/>
  <c r="I281" i="38"/>
  <c r="I280" i="38"/>
  <c r="I279" i="38"/>
  <c r="I278" i="38"/>
  <c r="I277" i="38"/>
  <c r="I276" i="38"/>
  <c r="I275" i="38"/>
  <c r="I274" i="38"/>
  <c r="I273" i="38"/>
  <c r="I272" i="38"/>
  <c r="I271" i="38"/>
  <c r="I270" i="38"/>
  <c r="I269" i="38"/>
  <c r="I268" i="38"/>
  <c r="I267" i="38"/>
  <c r="I266" i="38"/>
  <c r="I262" i="38"/>
  <c r="I261" i="38"/>
  <c r="I260" i="38"/>
  <c r="I259" i="38"/>
  <c r="I258" i="38"/>
  <c r="I257" i="38"/>
  <c r="I256" i="38"/>
  <c r="I255" i="38"/>
  <c r="I254" i="38"/>
  <c r="I253" i="38"/>
  <c r="I252" i="38"/>
  <c r="I251" i="38"/>
  <c r="I250" i="38"/>
  <c r="I249" i="38"/>
  <c r="I248" i="38"/>
  <c r="I247" i="38"/>
  <c r="I246" i="38"/>
  <c r="I245" i="38"/>
  <c r="I244" i="38"/>
  <c r="I243" i="38"/>
  <c r="I242" i="38"/>
  <c r="I241" i="38"/>
  <c r="I240" i="38"/>
  <c r="I239" i="38"/>
  <c r="I238" i="38"/>
  <c r="I237" i="38"/>
  <c r="I236" i="38"/>
  <c r="I235" i="38"/>
  <c r="I234" i="38"/>
  <c r="I233" i="38"/>
  <c r="I232" i="38"/>
  <c r="I231" i="38"/>
  <c r="I230" i="38"/>
  <c r="I229" i="38"/>
  <c r="I228" i="38"/>
  <c r="I227" i="38"/>
  <c r="I226" i="38"/>
  <c r="I225" i="38"/>
  <c r="I224" i="38"/>
  <c r="I223" i="38"/>
  <c r="I222" i="38"/>
  <c r="I221" i="38"/>
  <c r="I220" i="38"/>
  <c r="I219" i="38"/>
  <c r="I218" i="38"/>
  <c r="I217" i="38"/>
  <c r="I216" i="38"/>
  <c r="I215" i="38"/>
  <c r="I214" i="38"/>
  <c r="I213" i="38"/>
  <c r="I212" i="38"/>
  <c r="I211" i="38"/>
  <c r="I210" i="38"/>
  <c r="I209" i="38"/>
  <c r="I208" i="38"/>
  <c r="I207" i="38"/>
  <c r="I206" i="38"/>
  <c r="I205" i="38"/>
  <c r="I204" i="38"/>
  <c r="I203" i="38"/>
  <c r="I202" i="38"/>
  <c r="I201" i="38"/>
  <c r="I200" i="38"/>
  <c r="I196" i="38"/>
  <c r="I195" i="38"/>
  <c r="I194" i="38"/>
  <c r="I193" i="38"/>
  <c r="I192" i="38"/>
  <c r="I191" i="38"/>
  <c r="I190" i="38"/>
  <c r="I189" i="38"/>
  <c r="I188" i="38"/>
  <c r="I187" i="38"/>
  <c r="I186" i="38"/>
  <c r="I185" i="38"/>
  <c r="I184" i="38"/>
  <c r="I183" i="38"/>
  <c r="I182" i="38"/>
  <c r="I181" i="38"/>
  <c r="I180" i="38"/>
  <c r="I179" i="38"/>
  <c r="I178" i="38"/>
  <c r="I177" i="38"/>
  <c r="I176" i="38"/>
  <c r="I175" i="38"/>
  <c r="I174" i="38"/>
  <c r="I173" i="38"/>
  <c r="I172" i="38"/>
  <c r="I171" i="38"/>
  <c r="I170" i="38"/>
  <c r="I169" i="38"/>
  <c r="I168" i="38"/>
  <c r="I167" i="38"/>
  <c r="I166" i="38"/>
  <c r="I165" i="38"/>
  <c r="I164" i="38"/>
  <c r="I163" i="38"/>
  <c r="I162" i="38"/>
  <c r="I161" i="38"/>
  <c r="I160" i="38"/>
  <c r="I159" i="38"/>
  <c r="I158" i="38"/>
  <c r="I157" i="38"/>
  <c r="I156" i="38"/>
  <c r="I155" i="38"/>
  <c r="I154" i="38"/>
  <c r="I152" i="38"/>
  <c r="I151" i="38"/>
  <c r="I150" i="38"/>
  <c r="I149" i="38"/>
  <c r="I148" i="38"/>
  <c r="I147" i="38"/>
  <c r="I146" i="38"/>
  <c r="I145" i="38"/>
  <c r="I144" i="38"/>
  <c r="I143" i="38"/>
  <c r="I142" i="38"/>
  <c r="I141" i="38"/>
  <c r="I140" i="38"/>
  <c r="I139" i="38"/>
  <c r="I138" i="38"/>
  <c r="I137" i="38"/>
  <c r="I136" i="38"/>
  <c r="I135" i="38"/>
  <c r="I134" i="38"/>
  <c r="I130" i="38"/>
  <c r="I129" i="38"/>
  <c r="I128" i="38"/>
  <c r="I127" i="38"/>
  <c r="I126" i="38"/>
  <c r="I125" i="38"/>
  <c r="I124" i="38"/>
  <c r="I123" i="38"/>
  <c r="I122" i="38"/>
  <c r="I121" i="38"/>
  <c r="I120" i="38"/>
  <c r="I119" i="38"/>
  <c r="I118" i="38"/>
  <c r="I117" i="38"/>
  <c r="I116" i="38"/>
  <c r="I115" i="38"/>
  <c r="I114" i="38"/>
  <c r="I113" i="38"/>
  <c r="I112" i="38"/>
  <c r="I111" i="38"/>
  <c r="I110" i="38"/>
  <c r="I109" i="38"/>
  <c r="I108" i="38"/>
  <c r="I107" i="38"/>
  <c r="I106" i="38"/>
  <c r="I105" i="38"/>
  <c r="I104" i="38"/>
  <c r="I103" i="38"/>
  <c r="I102" i="38"/>
  <c r="I101" i="38"/>
  <c r="I100" i="38"/>
  <c r="I99" i="38"/>
  <c r="I98" i="38"/>
  <c r="I97" i="38"/>
  <c r="I96" i="38"/>
  <c r="I95" i="38"/>
  <c r="I94" i="38"/>
  <c r="I93" i="38"/>
  <c r="I92" i="38"/>
  <c r="I91" i="38"/>
  <c r="I90" i="38"/>
  <c r="I89" i="38"/>
  <c r="I88" i="38"/>
  <c r="I87" i="38"/>
  <c r="I86" i="38"/>
  <c r="I85" i="38"/>
  <c r="I84" i="38"/>
  <c r="I83" i="38"/>
  <c r="I82" i="38"/>
  <c r="I81" i="38"/>
  <c r="I80" i="38"/>
  <c r="I79" i="38"/>
  <c r="I78" i="38"/>
  <c r="I77" i="38"/>
  <c r="I76" i="38"/>
  <c r="I75" i="38"/>
  <c r="I74" i="38"/>
  <c r="I73" i="38"/>
  <c r="I72" i="38"/>
  <c r="I71" i="38"/>
  <c r="I70" i="38"/>
  <c r="I69" i="38"/>
  <c r="I68" i="38"/>
  <c r="I64" i="38"/>
  <c r="I63" i="38"/>
  <c r="I62" i="38"/>
  <c r="I61" i="38"/>
  <c r="I60" i="38"/>
  <c r="I59" i="38"/>
  <c r="I58" i="38"/>
  <c r="I57" i="38"/>
  <c r="I56" i="38"/>
  <c r="I55" i="38"/>
  <c r="I54" i="38"/>
  <c r="I53" i="38"/>
  <c r="I52" i="38"/>
  <c r="I51" i="38"/>
  <c r="I50" i="38"/>
  <c r="I49" i="38"/>
  <c r="I48" i="38"/>
  <c r="I47" i="38"/>
  <c r="I46" i="38"/>
  <c r="I45" i="38"/>
  <c r="I44" i="38"/>
  <c r="I43" i="38"/>
  <c r="I42" i="38"/>
  <c r="I41" i="38"/>
  <c r="I40" i="38"/>
  <c r="I39" i="38"/>
  <c r="I38" i="38"/>
  <c r="I37" i="38"/>
  <c r="I36" i="38"/>
  <c r="I35" i="38"/>
  <c r="I34" i="38"/>
  <c r="I33" i="38"/>
  <c r="I32" i="38"/>
  <c r="I31" i="38"/>
  <c r="I30" i="38"/>
  <c r="I29" i="38"/>
  <c r="I28" i="38"/>
  <c r="I27" i="38"/>
  <c r="I26" i="38"/>
  <c r="I25" i="38"/>
  <c r="I24" i="38"/>
  <c r="I23" i="38"/>
  <c r="I22" i="38"/>
  <c r="I21" i="38"/>
  <c r="I20" i="38"/>
  <c r="I19" i="38"/>
  <c r="I18" i="38"/>
  <c r="I17" i="38"/>
  <c r="I16" i="38"/>
  <c r="I15" i="38"/>
  <c r="I14" i="38"/>
  <c r="I13" i="38"/>
  <c r="I12" i="38"/>
  <c r="I11" i="38"/>
  <c r="I295" i="36"/>
  <c r="I294" i="36"/>
  <c r="I293" i="36"/>
  <c r="I292" i="36"/>
  <c r="I291" i="36"/>
  <c r="I290" i="36"/>
  <c r="I289" i="36"/>
  <c r="I288" i="36"/>
  <c r="I287" i="36"/>
  <c r="I283" i="36"/>
  <c r="I282" i="36"/>
  <c r="I281" i="36"/>
  <c r="I280" i="36"/>
  <c r="I279" i="36"/>
  <c r="I278" i="36"/>
  <c r="I277" i="36"/>
  <c r="I276" i="36"/>
  <c r="I275" i="36"/>
  <c r="I274" i="36"/>
  <c r="I273" i="36"/>
  <c r="I272" i="36"/>
  <c r="I271" i="36"/>
  <c r="I270" i="36"/>
  <c r="I269" i="36"/>
  <c r="I268" i="36"/>
  <c r="I267" i="36"/>
  <c r="I266" i="36"/>
  <c r="I265" i="36"/>
  <c r="I264" i="36"/>
  <c r="I263" i="36"/>
  <c r="I262" i="36"/>
  <c r="I261" i="36"/>
  <c r="I260" i="36"/>
  <c r="I259" i="36"/>
  <c r="I258" i="36"/>
  <c r="I257" i="36"/>
  <c r="I256" i="36"/>
  <c r="I255" i="36"/>
  <c r="I254" i="36"/>
  <c r="I253" i="36"/>
  <c r="I252" i="36"/>
  <c r="I251" i="36"/>
  <c r="I250" i="36"/>
  <c r="I249" i="36"/>
  <c r="I248" i="36"/>
  <c r="I247" i="36"/>
  <c r="I246" i="36"/>
  <c r="I245" i="36"/>
  <c r="I244" i="36"/>
  <c r="I243" i="36"/>
  <c r="I242" i="36"/>
  <c r="I241" i="36"/>
  <c r="I240" i="36"/>
  <c r="I239" i="36"/>
  <c r="I238" i="36"/>
  <c r="I237" i="36"/>
  <c r="I236" i="36"/>
  <c r="I235" i="36"/>
  <c r="I234" i="36"/>
  <c r="I233" i="36"/>
  <c r="I232" i="36"/>
  <c r="I231" i="36"/>
  <c r="I230" i="36"/>
  <c r="I229" i="36"/>
  <c r="I228" i="36"/>
  <c r="I227" i="36"/>
  <c r="I226" i="36"/>
  <c r="I225" i="36"/>
  <c r="I224" i="36"/>
  <c r="I223" i="36"/>
  <c r="I222" i="36"/>
  <c r="I221" i="36"/>
  <c r="I217" i="36"/>
  <c r="I216" i="36"/>
  <c r="I215" i="36"/>
  <c r="I214" i="36"/>
  <c r="I213" i="36"/>
  <c r="I212" i="36"/>
  <c r="I211" i="36"/>
  <c r="I210" i="36"/>
  <c r="I209" i="36"/>
  <c r="I208" i="36"/>
  <c r="I207" i="36"/>
  <c r="I206" i="36"/>
  <c r="I205" i="36"/>
  <c r="I204" i="36"/>
  <c r="I203" i="36"/>
  <c r="I202" i="36"/>
  <c r="I201" i="36"/>
  <c r="I200" i="36"/>
  <c r="I199" i="36"/>
  <c r="I198" i="36"/>
  <c r="I197" i="36"/>
  <c r="I196" i="36"/>
  <c r="I195" i="36"/>
  <c r="I194" i="36"/>
  <c r="I193" i="36"/>
  <c r="I192" i="36"/>
  <c r="I191" i="36"/>
  <c r="I190" i="36"/>
  <c r="I189" i="36"/>
  <c r="I188" i="36"/>
  <c r="I187" i="36"/>
  <c r="I186" i="36"/>
  <c r="I185" i="36"/>
  <c r="I184" i="36"/>
  <c r="I183" i="36"/>
  <c r="I182" i="36"/>
  <c r="I181" i="36"/>
  <c r="I180" i="36"/>
  <c r="I179" i="36"/>
  <c r="I178" i="36"/>
  <c r="I177" i="36"/>
  <c r="I176" i="36"/>
  <c r="I175" i="36"/>
  <c r="I174" i="36"/>
  <c r="I173" i="36"/>
  <c r="I172" i="36"/>
  <c r="I171" i="36"/>
  <c r="I170" i="36"/>
  <c r="I166" i="36"/>
  <c r="I165" i="36"/>
  <c r="I164" i="36"/>
  <c r="I163" i="36"/>
  <c r="I162" i="36"/>
  <c r="I161" i="36"/>
  <c r="I160" i="36"/>
  <c r="I159" i="36"/>
  <c r="I158" i="36"/>
  <c r="I157" i="36"/>
  <c r="I156" i="36"/>
  <c r="I155" i="36"/>
  <c r="I151" i="36"/>
  <c r="I150" i="36"/>
  <c r="I149" i="36"/>
  <c r="I148" i="36"/>
  <c r="I147" i="36"/>
  <c r="I146" i="36"/>
  <c r="I145" i="36"/>
  <c r="I144" i="36"/>
  <c r="I143" i="36"/>
  <c r="I142" i="36"/>
  <c r="I141" i="36"/>
  <c r="I140" i="36"/>
  <c r="I139" i="36"/>
  <c r="I138" i="36"/>
  <c r="I137" i="36"/>
  <c r="I136" i="36"/>
  <c r="I135" i="36"/>
  <c r="I133" i="36"/>
  <c r="I132" i="36"/>
  <c r="I131" i="36"/>
  <c r="I130" i="36"/>
  <c r="I129" i="36"/>
  <c r="I128" i="36"/>
  <c r="I127" i="36"/>
  <c r="I126" i="36"/>
  <c r="I125" i="36"/>
  <c r="I124" i="36"/>
  <c r="I123" i="36"/>
  <c r="I122" i="36"/>
  <c r="I121" i="36"/>
  <c r="I120" i="36"/>
  <c r="I119" i="36"/>
  <c r="I118" i="36"/>
  <c r="I117" i="36"/>
  <c r="I116" i="36"/>
  <c r="I115" i="36"/>
  <c r="I114" i="36"/>
  <c r="I113" i="36"/>
  <c r="I112" i="36"/>
  <c r="I111" i="36"/>
  <c r="I110" i="36"/>
  <c r="I109" i="36"/>
  <c r="I108" i="36"/>
  <c r="I107" i="36"/>
  <c r="I106" i="36"/>
  <c r="I105" i="36"/>
  <c r="I104" i="36"/>
  <c r="I103" i="36"/>
  <c r="I102" i="36"/>
  <c r="I101" i="36"/>
  <c r="I100" i="36"/>
  <c r="I99" i="36"/>
  <c r="I98" i="36"/>
  <c r="I97" i="36"/>
  <c r="I96" i="36"/>
  <c r="I95" i="36"/>
  <c r="I94" i="36"/>
  <c r="I93" i="36"/>
  <c r="I92" i="36"/>
  <c r="I91" i="36"/>
  <c r="I90" i="36"/>
  <c r="I89" i="36"/>
  <c r="I85" i="36"/>
  <c r="I84" i="36"/>
  <c r="I83" i="36"/>
  <c r="I82" i="36"/>
  <c r="I81" i="36"/>
  <c r="I80" i="36"/>
  <c r="I79" i="36"/>
  <c r="I78" i="36"/>
  <c r="I77" i="36"/>
  <c r="I76" i="36"/>
  <c r="I75" i="36"/>
  <c r="I74" i="36"/>
  <c r="I73" i="36"/>
  <c r="I72" i="36"/>
  <c r="I71" i="36"/>
  <c r="I70" i="36"/>
  <c r="I69" i="36"/>
  <c r="I68" i="36"/>
  <c r="I67" i="36"/>
  <c r="I66" i="36"/>
  <c r="I65" i="36"/>
  <c r="I64" i="36"/>
  <c r="I63" i="36"/>
  <c r="I62" i="36"/>
  <c r="I61" i="36"/>
  <c r="I60" i="36"/>
  <c r="I59" i="36"/>
  <c r="I58" i="36"/>
  <c r="I57" i="36"/>
  <c r="I56" i="36"/>
  <c r="I55" i="36"/>
  <c r="I54" i="36"/>
  <c r="I53" i="36"/>
  <c r="I52" i="36"/>
  <c r="I51" i="36"/>
  <c r="I50" i="36"/>
  <c r="I49" i="36"/>
  <c r="I48" i="36"/>
  <c r="I47" i="36"/>
  <c r="I46" i="36"/>
  <c r="I45" i="36"/>
  <c r="I44" i="36"/>
  <c r="I43" i="36"/>
  <c r="I42" i="36"/>
  <c r="I41" i="36"/>
  <c r="I40" i="36"/>
  <c r="I39" i="36"/>
  <c r="I38" i="36"/>
  <c r="I37" i="36"/>
  <c r="I36" i="36"/>
  <c r="I35" i="36"/>
  <c r="I34" i="36"/>
  <c r="I33" i="36"/>
  <c r="I32" i="36"/>
  <c r="I31" i="36"/>
  <c r="I30" i="36"/>
  <c r="I29" i="36"/>
  <c r="I28" i="36"/>
  <c r="I27" i="36"/>
  <c r="I26" i="36"/>
  <c r="I25" i="36"/>
  <c r="P17" i="44" l="1"/>
  <c r="P17" i="43"/>
  <c r="P17" i="42"/>
  <c r="P17" i="41"/>
  <c r="O27" i="38"/>
  <c r="O34" i="38"/>
  <c r="O41" i="38"/>
  <c r="O48" i="38"/>
  <c r="O39" i="36"/>
  <c r="O53" i="36"/>
  <c r="O46" i="36"/>
  <c r="O60" i="36"/>
  <c r="I293" i="32"/>
  <c r="I301" i="33"/>
  <c r="I300" i="33"/>
  <c r="I299" i="33"/>
  <c r="I298" i="33"/>
  <c r="I297" i="33"/>
  <c r="I296" i="33"/>
  <c r="I295" i="33"/>
  <c r="I294" i="33"/>
  <c r="I293" i="33"/>
  <c r="I292" i="33"/>
  <c r="I291" i="33"/>
  <c r="I290" i="33"/>
  <c r="I289" i="33"/>
  <c r="I288" i="33"/>
  <c r="I287" i="33"/>
  <c r="I286" i="33"/>
  <c r="I285" i="33"/>
  <c r="I284" i="33"/>
  <c r="I283" i="33"/>
  <c r="I282" i="33"/>
  <c r="I281" i="33"/>
  <c r="I280" i="33"/>
  <c r="I279" i="33"/>
  <c r="I278" i="33"/>
  <c r="I277" i="33"/>
  <c r="I276" i="33"/>
  <c r="I275" i="33"/>
  <c r="I274" i="33"/>
  <c r="I273" i="33"/>
  <c r="I272" i="33"/>
  <c r="I271" i="33"/>
  <c r="I270" i="33"/>
  <c r="I269" i="33"/>
  <c r="I268" i="33"/>
  <c r="I267" i="33"/>
  <c r="I266" i="33"/>
  <c r="I265" i="33"/>
  <c r="I264" i="33"/>
  <c r="I263" i="33"/>
  <c r="I262" i="33"/>
  <c r="I261" i="33"/>
  <c r="I260" i="33"/>
  <c r="I259" i="33"/>
  <c r="I258" i="33"/>
  <c r="I257" i="33"/>
  <c r="I256" i="33"/>
  <c r="I255" i="33"/>
  <c r="I254" i="33"/>
  <c r="I253" i="33"/>
  <c r="I252" i="33"/>
  <c r="I251" i="33"/>
  <c r="I250" i="33"/>
  <c r="I249" i="33"/>
  <c r="I248" i="33"/>
  <c r="I217" i="33"/>
  <c r="I216" i="33"/>
  <c r="I215" i="33"/>
  <c r="I214" i="33"/>
  <c r="I213" i="33"/>
  <c r="I212" i="33"/>
  <c r="I211" i="33"/>
  <c r="I210" i="33"/>
  <c r="I209" i="33"/>
  <c r="I208" i="33"/>
  <c r="I207" i="33"/>
  <c r="I206" i="33"/>
  <c r="I205" i="33"/>
  <c r="I204" i="33"/>
  <c r="I203" i="33"/>
  <c r="I202" i="33"/>
  <c r="I201" i="33"/>
  <c r="I200" i="33"/>
  <c r="I199" i="33"/>
  <c r="I198" i="33"/>
  <c r="I197" i="33"/>
  <c r="I196" i="33"/>
  <c r="I195" i="33"/>
  <c r="I194" i="33"/>
  <c r="I193" i="33"/>
  <c r="I192" i="33"/>
  <c r="I191" i="33"/>
  <c r="I190" i="33"/>
  <c r="I189" i="33"/>
  <c r="I188" i="33"/>
  <c r="I187" i="33"/>
  <c r="I186" i="33"/>
  <c r="I185" i="33"/>
  <c r="I184" i="33"/>
  <c r="I183" i="33"/>
  <c r="I182" i="33"/>
  <c r="I178" i="33"/>
  <c r="I177" i="33"/>
  <c r="I176" i="33"/>
  <c r="I175" i="33"/>
  <c r="I174" i="33"/>
  <c r="I173" i="33"/>
  <c r="I172" i="33"/>
  <c r="I171" i="33"/>
  <c r="I170" i="33"/>
  <c r="I169" i="33"/>
  <c r="I168" i="33"/>
  <c r="I167" i="33"/>
  <c r="I166" i="33"/>
  <c r="I165" i="33"/>
  <c r="I164" i="33"/>
  <c r="I163" i="33"/>
  <c r="I162" i="33"/>
  <c r="I161" i="33"/>
  <c r="I160" i="33"/>
  <c r="I159" i="33"/>
  <c r="I158" i="33"/>
  <c r="I157" i="33"/>
  <c r="I156" i="33"/>
  <c r="I155" i="33"/>
  <c r="I154" i="33"/>
  <c r="I153" i="33"/>
  <c r="I152" i="33"/>
  <c r="I151" i="33"/>
  <c r="I150" i="33"/>
  <c r="I149" i="33"/>
  <c r="I148" i="33"/>
  <c r="I147" i="33"/>
  <c r="I146" i="33"/>
  <c r="I145" i="33"/>
  <c r="I144" i="33"/>
  <c r="I143" i="33"/>
  <c r="I142" i="33"/>
  <c r="I141" i="33"/>
  <c r="I140" i="33"/>
  <c r="I139" i="33"/>
  <c r="I138" i="33"/>
  <c r="I137" i="33"/>
  <c r="I136" i="33"/>
  <c r="I135" i="33"/>
  <c r="I134" i="33"/>
  <c r="I133" i="33"/>
  <c r="I132" i="33"/>
  <c r="I131" i="33"/>
  <c r="I130" i="33"/>
  <c r="I129" i="33"/>
  <c r="I128" i="33"/>
  <c r="I127" i="33"/>
  <c r="I126" i="33"/>
  <c r="I125" i="33"/>
  <c r="I124" i="33"/>
  <c r="I123" i="33"/>
  <c r="I122" i="33"/>
  <c r="I121" i="33"/>
  <c r="I120" i="33"/>
  <c r="I119" i="33"/>
  <c r="I118" i="33"/>
  <c r="I117" i="33"/>
  <c r="I116" i="33"/>
  <c r="I112" i="33"/>
  <c r="I111" i="33"/>
  <c r="I110" i="33"/>
  <c r="I109" i="33"/>
  <c r="I108" i="33"/>
  <c r="I107" i="33"/>
  <c r="I106" i="33"/>
  <c r="I105" i="33"/>
  <c r="I104" i="33"/>
  <c r="I103" i="33"/>
  <c r="I102" i="33"/>
  <c r="I101" i="33"/>
  <c r="I100" i="33"/>
  <c r="I99" i="33"/>
  <c r="I98" i="33"/>
  <c r="I97" i="33"/>
  <c r="I96" i="33"/>
  <c r="I95" i="33"/>
  <c r="I94" i="33"/>
  <c r="I93" i="33"/>
  <c r="I92" i="33"/>
  <c r="I91" i="33"/>
  <c r="I90" i="33"/>
  <c r="I89" i="33"/>
  <c r="I88" i="33"/>
  <c r="I87" i="33"/>
  <c r="I86" i="33"/>
  <c r="I85" i="33"/>
  <c r="I84" i="33"/>
  <c r="I83" i="33"/>
  <c r="I82" i="33"/>
  <c r="I81" i="33"/>
  <c r="I80" i="33"/>
  <c r="I79" i="33"/>
  <c r="I78" i="33"/>
  <c r="I77" i="33"/>
  <c r="I76" i="33"/>
  <c r="I75" i="33"/>
  <c r="I74" i="33"/>
  <c r="I73" i="33"/>
  <c r="I72" i="33"/>
  <c r="I71" i="33"/>
  <c r="I70" i="33"/>
  <c r="I69" i="33"/>
  <c r="I68" i="33"/>
  <c r="I67" i="33"/>
  <c r="I66" i="33"/>
  <c r="I65" i="33"/>
  <c r="I64" i="33"/>
  <c r="I63" i="33"/>
  <c r="I62" i="33"/>
  <c r="I61" i="33"/>
  <c r="I60" i="33"/>
  <c r="I59" i="33"/>
  <c r="I58" i="33"/>
  <c r="I57" i="33"/>
  <c r="I56" i="33"/>
  <c r="I55" i="33"/>
  <c r="I54" i="33"/>
  <c r="I53" i="33"/>
  <c r="I52" i="33"/>
  <c r="I51" i="33"/>
  <c r="I50" i="33"/>
  <c r="I46" i="33"/>
  <c r="I45" i="33"/>
  <c r="I44" i="33"/>
  <c r="I43" i="33"/>
  <c r="I42" i="33"/>
  <c r="I41" i="33"/>
  <c r="I38" i="33"/>
  <c r="I37" i="33"/>
  <c r="I36" i="33"/>
  <c r="I35" i="33"/>
  <c r="I34" i="33"/>
  <c r="I33" i="33"/>
  <c r="I32" i="33"/>
  <c r="I28" i="33"/>
  <c r="I27" i="33"/>
  <c r="I26" i="33"/>
  <c r="I25" i="33"/>
  <c r="I24" i="33"/>
  <c r="I23" i="33"/>
  <c r="I22" i="33"/>
  <c r="I21" i="33"/>
  <c r="I20" i="33"/>
  <c r="I19" i="33"/>
  <c r="I18" i="33"/>
  <c r="I17" i="33"/>
  <c r="I16" i="33"/>
  <c r="I15" i="33"/>
  <c r="I14" i="33"/>
  <c r="I13" i="33"/>
  <c r="I12" i="33"/>
  <c r="I11" i="33"/>
  <c r="O68" i="31"/>
  <c r="O67" i="31"/>
  <c r="O66" i="31"/>
  <c r="O52" i="31"/>
  <c r="I69" i="31"/>
  <c r="I70" i="31"/>
  <c r="O59" i="31"/>
  <c r="O61" i="31"/>
  <c r="O60" i="31"/>
  <c r="O54" i="31"/>
  <c r="O53" i="31"/>
  <c r="O47" i="31"/>
  <c r="O46" i="31"/>
  <c r="O45" i="31"/>
  <c r="I295" i="31"/>
  <c r="I294" i="31"/>
  <c r="I293" i="31"/>
  <c r="I229" i="31"/>
  <c r="I228" i="31"/>
  <c r="I227" i="31"/>
  <c r="I161" i="31"/>
  <c r="I162" i="31"/>
  <c r="I163" i="31"/>
  <c r="I97" i="31"/>
  <c r="I96" i="31"/>
  <c r="I95" i="31"/>
  <c r="I31" i="31"/>
  <c r="I30" i="31"/>
  <c r="I29" i="31"/>
  <c r="I233" i="31"/>
  <c r="O47" i="30"/>
  <c r="O46" i="30"/>
  <c r="O45" i="30"/>
  <c r="O40" i="30"/>
  <c r="O39" i="30"/>
  <c r="O38" i="30"/>
  <c r="O33" i="30"/>
  <c r="O32" i="30"/>
  <c r="O31" i="30"/>
  <c r="O26" i="30"/>
  <c r="O25" i="30"/>
  <c r="O24" i="30"/>
  <c r="I322" i="30"/>
  <c r="O19" i="30" s="1"/>
  <c r="I321" i="30"/>
  <c r="O18" i="30" s="1"/>
  <c r="I320" i="30"/>
  <c r="O17" i="30" s="1"/>
  <c r="I274" i="30"/>
  <c r="I273" i="30"/>
  <c r="I272" i="30"/>
  <c r="I208" i="30"/>
  <c r="I207" i="30"/>
  <c r="I206" i="30"/>
  <c r="I142" i="30"/>
  <c r="I141" i="30"/>
  <c r="I140" i="30"/>
  <c r="I76" i="30"/>
  <c r="I75" i="30"/>
  <c r="I74" i="30"/>
  <c r="I32" i="31"/>
  <c r="I28" i="31"/>
  <c r="I27" i="31"/>
  <c r="I26" i="31"/>
  <c r="I25" i="31"/>
  <c r="I24" i="31"/>
  <c r="I23" i="31"/>
  <c r="I22" i="31"/>
  <c r="I21" i="31"/>
  <c r="I20" i="31"/>
  <c r="I19" i="31"/>
  <c r="I18" i="31"/>
  <c r="I17" i="31"/>
  <c r="I16" i="31"/>
  <c r="I15" i="31"/>
  <c r="I14" i="31"/>
  <c r="I13" i="31"/>
  <c r="I12" i="31"/>
  <c r="I11" i="31"/>
  <c r="I262" i="32"/>
  <c r="I261" i="32"/>
  <c r="I260" i="32"/>
  <c r="I259" i="32"/>
  <c r="I258" i="32"/>
  <c r="I257" i="32"/>
  <c r="I256" i="32"/>
  <c r="I255" i="32"/>
  <c r="I254" i="32"/>
  <c r="I253" i="32"/>
  <c r="I252" i="32"/>
  <c r="I251" i="32"/>
  <c r="I250" i="32"/>
  <c r="I249" i="32"/>
  <c r="I248" i="32"/>
  <c r="I247" i="32"/>
  <c r="I246" i="32"/>
  <c r="I245" i="32"/>
  <c r="I244" i="32"/>
  <c r="I243" i="32"/>
  <c r="I242" i="32"/>
  <c r="I241" i="32"/>
  <c r="I240" i="32"/>
  <c r="I239" i="32"/>
  <c r="I238" i="32"/>
  <c r="I237" i="32"/>
  <c r="I236" i="32"/>
  <c r="I235" i="32"/>
  <c r="I234" i="32"/>
  <c r="I233" i="32"/>
  <c r="I232" i="32"/>
  <c r="I231" i="32"/>
  <c r="I230" i="32"/>
  <c r="I229" i="32"/>
  <c r="I228" i="32"/>
  <c r="I227" i="32"/>
  <c r="I226" i="32"/>
  <c r="I224" i="32"/>
  <c r="I223" i="32"/>
  <c r="I222" i="32"/>
  <c r="I221" i="32"/>
  <c r="I220" i="32"/>
  <c r="I219" i="32"/>
  <c r="I218" i="32"/>
  <c r="I217" i="32"/>
  <c r="I216" i="32"/>
  <c r="I215" i="32"/>
  <c r="I214" i="32"/>
  <c r="I213" i="32"/>
  <c r="I212" i="32"/>
  <c r="I211" i="32"/>
  <c r="I210" i="32"/>
  <c r="I209" i="32"/>
  <c r="I208" i="32"/>
  <c r="I207" i="32"/>
  <c r="I206" i="32"/>
  <c r="I205" i="32"/>
  <c r="I204" i="32"/>
  <c r="I203" i="32"/>
  <c r="I202" i="32"/>
  <c r="I201" i="32"/>
  <c r="I200" i="32"/>
  <c r="I196" i="32"/>
  <c r="I195" i="32"/>
  <c r="I194" i="32"/>
  <c r="I193" i="32"/>
  <c r="I192" i="32"/>
  <c r="I191" i="32"/>
  <c r="I190" i="32"/>
  <c r="I189" i="32"/>
  <c r="I188" i="32"/>
  <c r="I187" i="32"/>
  <c r="I186" i="32"/>
  <c r="I185" i="32"/>
  <c r="I184" i="32"/>
  <c r="I183" i="32"/>
  <c r="I182" i="32"/>
  <c r="I181" i="32"/>
  <c r="I180" i="32"/>
  <c r="I179" i="32"/>
  <c r="I178" i="32"/>
  <c r="I177" i="32"/>
  <c r="I176" i="32"/>
  <c r="I175" i="32"/>
  <c r="I174" i="32"/>
  <c r="I173" i="32"/>
  <c r="I172" i="32"/>
  <c r="I171" i="32"/>
  <c r="I170" i="32"/>
  <c r="I169" i="32"/>
  <c r="I168" i="32"/>
  <c r="I167" i="32"/>
  <c r="I166" i="32"/>
  <c r="I165" i="32"/>
  <c r="I164" i="32"/>
  <c r="I163" i="32"/>
  <c r="I162" i="32"/>
  <c r="I161" i="32"/>
  <c r="I160" i="32"/>
  <c r="I159" i="32"/>
  <c r="I158" i="32"/>
  <c r="I157" i="32"/>
  <c r="I156" i="32"/>
  <c r="I155" i="32"/>
  <c r="I154" i="32"/>
  <c r="I153" i="32"/>
  <c r="I152" i="32"/>
  <c r="I151" i="32"/>
  <c r="I150" i="32"/>
  <c r="I149" i="32"/>
  <c r="I148" i="32"/>
  <c r="I147" i="32"/>
  <c r="I146" i="32"/>
  <c r="I145" i="32"/>
  <c r="I144" i="32"/>
  <c r="I143" i="32"/>
  <c r="I142" i="32"/>
  <c r="I141" i="32"/>
  <c r="I140" i="32"/>
  <c r="I139" i="32"/>
  <c r="I138" i="32"/>
  <c r="I137" i="32"/>
  <c r="I136" i="32"/>
  <c r="I135" i="32"/>
  <c r="I134" i="32"/>
  <c r="I130" i="32"/>
  <c r="I129" i="32"/>
  <c r="I128" i="32"/>
  <c r="I127" i="32"/>
  <c r="I126" i="32"/>
  <c r="I125" i="32"/>
  <c r="I124" i="32"/>
  <c r="I123" i="32"/>
  <c r="I122" i="32"/>
  <c r="I121" i="32"/>
  <c r="I120" i="32"/>
  <c r="I119" i="32"/>
  <c r="I118" i="32"/>
  <c r="I117" i="32"/>
  <c r="I116" i="32"/>
  <c r="I115" i="32"/>
  <c r="I114" i="32"/>
  <c r="I113" i="32"/>
  <c r="I112" i="32"/>
  <c r="I111" i="32"/>
  <c r="I110" i="32"/>
  <c r="I109" i="32"/>
  <c r="I108" i="32"/>
  <c r="I107" i="32"/>
  <c r="I106" i="32"/>
  <c r="I105" i="32"/>
  <c r="I104" i="32"/>
  <c r="I103" i="32"/>
  <c r="I102" i="32"/>
  <c r="I101" i="32"/>
  <c r="I100" i="32"/>
  <c r="I99" i="32"/>
  <c r="I98" i="32"/>
  <c r="I97" i="32"/>
  <c r="I96" i="32"/>
  <c r="I95" i="32"/>
  <c r="I94" i="32"/>
  <c r="I93" i="32"/>
  <c r="I92" i="32"/>
  <c r="I91" i="32"/>
  <c r="I90" i="32"/>
  <c r="I89" i="32"/>
  <c r="I88" i="32"/>
  <c r="I87" i="32"/>
  <c r="I86" i="32"/>
  <c r="I85" i="32"/>
  <c r="I84" i="32"/>
  <c r="I83" i="32"/>
  <c r="I82" i="32"/>
  <c r="I81" i="32"/>
  <c r="I80" i="32"/>
  <c r="I79" i="32"/>
  <c r="I78" i="32"/>
  <c r="I77" i="32"/>
  <c r="I76" i="32"/>
  <c r="I75" i="32"/>
  <c r="I74" i="32"/>
  <c r="I73" i="32"/>
  <c r="I72" i="32"/>
  <c r="I71" i="32"/>
  <c r="I70" i="32"/>
  <c r="I69" i="32"/>
  <c r="I68" i="32"/>
  <c r="I64" i="32"/>
  <c r="I63" i="32"/>
  <c r="I62" i="32"/>
  <c r="I61" i="32"/>
  <c r="I60" i="32"/>
  <c r="I59" i="32"/>
  <c r="I58" i="32"/>
  <c r="I57" i="32"/>
  <c r="I56" i="32"/>
  <c r="I55" i="32"/>
  <c r="I54" i="32"/>
  <c r="I53" i="32"/>
  <c r="I52" i="32"/>
  <c r="I51" i="32"/>
  <c r="I50" i="32"/>
  <c r="I49" i="32"/>
  <c r="I48" i="32"/>
  <c r="I47" i="32"/>
  <c r="I46" i="32"/>
  <c r="I45" i="32"/>
  <c r="I44" i="32"/>
  <c r="I43" i="32"/>
  <c r="I42" i="32"/>
  <c r="I41" i="32"/>
  <c r="I40" i="32"/>
  <c r="I39" i="32"/>
  <c r="I38" i="32"/>
  <c r="I37" i="32"/>
  <c r="I36" i="32"/>
  <c r="I35" i="32"/>
  <c r="I34" i="32"/>
  <c r="I33" i="32"/>
  <c r="I32" i="32"/>
  <c r="I31" i="32"/>
  <c r="I30" i="32"/>
  <c r="I29" i="32"/>
  <c r="I28" i="32"/>
  <c r="I27" i="32"/>
  <c r="O26" i="32"/>
  <c r="I26" i="32"/>
  <c r="O25" i="32"/>
  <c r="I25" i="32"/>
  <c r="O24" i="32"/>
  <c r="I24" i="32"/>
  <c r="I23" i="32"/>
  <c r="I22" i="32"/>
  <c r="I21" i="32"/>
  <c r="I20" i="32"/>
  <c r="I19" i="32"/>
  <c r="I18" i="32"/>
  <c r="I17" i="32"/>
  <c r="I16" i="32"/>
  <c r="I15" i="32"/>
  <c r="I14" i="32"/>
  <c r="I13" i="32"/>
  <c r="I12" i="32"/>
  <c r="I11" i="32"/>
  <c r="I292" i="31"/>
  <c r="I291" i="31"/>
  <c r="I290" i="31"/>
  <c r="I289" i="31"/>
  <c r="I288" i="31"/>
  <c r="I287" i="31"/>
  <c r="I286" i="31"/>
  <c r="I285" i="31"/>
  <c r="I284" i="31"/>
  <c r="I283" i="31"/>
  <c r="I282" i="31"/>
  <c r="I281" i="31"/>
  <c r="I280" i="31"/>
  <c r="I279" i="31"/>
  <c r="I278" i="31"/>
  <c r="I277" i="31"/>
  <c r="I276" i="31"/>
  <c r="I275" i="31"/>
  <c r="I274" i="31"/>
  <c r="I273" i="31"/>
  <c r="I272" i="31"/>
  <c r="I271" i="31"/>
  <c r="I270" i="31"/>
  <c r="I269" i="31"/>
  <c r="I268" i="31"/>
  <c r="I267" i="31"/>
  <c r="I266" i="31"/>
  <c r="I265" i="31"/>
  <c r="I264" i="31"/>
  <c r="I263" i="31"/>
  <c r="I262" i="31"/>
  <c r="I261" i="31"/>
  <c r="I260" i="31"/>
  <c r="I259" i="31"/>
  <c r="I258" i="31"/>
  <c r="I257" i="31"/>
  <c r="I256" i="31"/>
  <c r="I255" i="31"/>
  <c r="I254" i="31"/>
  <c r="I253" i="31"/>
  <c r="I252" i="31"/>
  <c r="I251" i="31"/>
  <c r="I250" i="31"/>
  <c r="I249" i="31"/>
  <c r="I248" i="31"/>
  <c r="I247" i="31"/>
  <c r="I246" i="31"/>
  <c r="I245" i="31"/>
  <c r="I244" i="31"/>
  <c r="I243" i="31"/>
  <c r="I242" i="31"/>
  <c r="I241" i="31"/>
  <c r="I240" i="31"/>
  <c r="I239" i="31"/>
  <c r="I238" i="31"/>
  <c r="I237" i="31"/>
  <c r="I236" i="31"/>
  <c r="I235" i="31"/>
  <c r="I234" i="31"/>
  <c r="I232" i="31"/>
  <c r="I231" i="31"/>
  <c r="I230" i="31"/>
  <c r="I226" i="31"/>
  <c r="I225" i="31"/>
  <c r="I224" i="31"/>
  <c r="I223" i="31"/>
  <c r="I222" i="31"/>
  <c r="I221" i="31"/>
  <c r="I220" i="31"/>
  <c r="I219" i="31"/>
  <c r="I218" i="31"/>
  <c r="I217" i="31"/>
  <c r="I216" i="31"/>
  <c r="I215" i="31"/>
  <c r="I214" i="31"/>
  <c r="I213" i="31"/>
  <c r="I212" i="31"/>
  <c r="I211" i="31"/>
  <c r="I210" i="31"/>
  <c r="I209" i="31"/>
  <c r="I208" i="31"/>
  <c r="I207" i="31"/>
  <c r="I206" i="31"/>
  <c r="I205" i="31"/>
  <c r="I204" i="31"/>
  <c r="I203" i="31"/>
  <c r="I202" i="31"/>
  <c r="I201" i="31"/>
  <c r="I200" i="31"/>
  <c r="I199" i="31"/>
  <c r="I198" i="31"/>
  <c r="I197" i="31"/>
  <c r="I196" i="31"/>
  <c r="I195" i="31"/>
  <c r="I194" i="31"/>
  <c r="I193" i="31"/>
  <c r="I192" i="31"/>
  <c r="I191" i="31"/>
  <c r="I190" i="31"/>
  <c r="I189" i="31"/>
  <c r="I188" i="31"/>
  <c r="I187" i="31"/>
  <c r="I186" i="31"/>
  <c r="I185" i="31"/>
  <c r="I184" i="31"/>
  <c r="I183" i="31"/>
  <c r="I182" i="31"/>
  <c r="I181" i="31"/>
  <c r="I180" i="31"/>
  <c r="I179" i="31"/>
  <c r="I178" i="31"/>
  <c r="I177" i="31"/>
  <c r="I176" i="31"/>
  <c r="I175" i="31"/>
  <c r="I174" i="31"/>
  <c r="I173" i="31"/>
  <c r="I172" i="31"/>
  <c r="I171" i="31"/>
  <c r="I170" i="31"/>
  <c r="I169" i="31"/>
  <c r="I168" i="31"/>
  <c r="I167" i="31"/>
  <c r="I166" i="31"/>
  <c r="I165" i="31"/>
  <c r="I164" i="31"/>
  <c r="I160" i="31"/>
  <c r="I159" i="31"/>
  <c r="I158" i="31"/>
  <c r="I157" i="31"/>
  <c r="I156" i="31"/>
  <c r="I155" i="31"/>
  <c r="I154" i="31"/>
  <c r="I153" i="31"/>
  <c r="I152" i="31"/>
  <c r="I151" i="31"/>
  <c r="I150" i="31"/>
  <c r="I149" i="31"/>
  <c r="I148" i="31"/>
  <c r="I147" i="31"/>
  <c r="I146" i="31"/>
  <c r="I145" i="31"/>
  <c r="I144" i="31"/>
  <c r="I143" i="31"/>
  <c r="I142" i="31"/>
  <c r="I141" i="31"/>
  <c r="I140" i="31"/>
  <c r="I139" i="31"/>
  <c r="I138" i="31"/>
  <c r="I137" i="31"/>
  <c r="I136" i="31"/>
  <c r="I135" i="31"/>
  <c r="I134" i="31"/>
  <c r="I133" i="31"/>
  <c r="I132" i="31"/>
  <c r="I131" i="31"/>
  <c r="I130" i="31"/>
  <c r="I129" i="31"/>
  <c r="I128" i="31"/>
  <c r="I127" i="31"/>
  <c r="I126" i="31"/>
  <c r="I125" i="31"/>
  <c r="I124" i="31"/>
  <c r="I123" i="31"/>
  <c r="I122" i="31"/>
  <c r="I121" i="31"/>
  <c r="I120" i="31"/>
  <c r="I119" i="31"/>
  <c r="I118" i="31"/>
  <c r="I117" i="31"/>
  <c r="I116" i="31"/>
  <c r="I115" i="31"/>
  <c r="I114" i="31"/>
  <c r="I113" i="31"/>
  <c r="I112" i="31"/>
  <c r="I111" i="31"/>
  <c r="I110" i="31"/>
  <c r="I109" i="31"/>
  <c r="I108" i="31"/>
  <c r="I107" i="31"/>
  <c r="I106" i="31"/>
  <c r="I105" i="31"/>
  <c r="I104" i="31"/>
  <c r="I103" i="31"/>
  <c r="I102" i="31"/>
  <c r="I101" i="31"/>
  <c r="I100" i="31"/>
  <c r="I99" i="31"/>
  <c r="I98" i="31"/>
  <c r="I94" i="31"/>
  <c r="I93" i="31"/>
  <c r="I92" i="31"/>
  <c r="I91" i="31"/>
  <c r="I90" i="31"/>
  <c r="I89" i="31"/>
  <c r="I88" i="31"/>
  <c r="I87" i="31"/>
  <c r="I86" i="31"/>
  <c r="I85" i="31"/>
  <c r="I84" i="31"/>
  <c r="I83" i="31"/>
  <c r="I82" i="31"/>
  <c r="I81" i="31"/>
  <c r="I80" i="31"/>
  <c r="I79" i="31"/>
  <c r="I78" i="31"/>
  <c r="I77" i="31"/>
  <c r="I76" i="31"/>
  <c r="I75" i="31"/>
  <c r="I74" i="31"/>
  <c r="I73" i="31"/>
  <c r="I72" i="31"/>
  <c r="I71" i="31"/>
  <c r="I68" i="31"/>
  <c r="I67" i="31"/>
  <c r="I66" i="31"/>
  <c r="I65" i="31"/>
  <c r="I64" i="31"/>
  <c r="I63" i="31"/>
  <c r="I62" i="31"/>
  <c r="I61" i="31"/>
  <c r="I60" i="31"/>
  <c r="I59" i="31"/>
  <c r="I58" i="31"/>
  <c r="I57" i="31"/>
  <c r="I56" i="31"/>
  <c r="I55" i="31"/>
  <c r="I54" i="31"/>
  <c r="I53" i="31"/>
  <c r="I52" i="31"/>
  <c r="I51" i="31"/>
  <c r="I50" i="31"/>
  <c r="I49" i="31"/>
  <c r="I48" i="31"/>
  <c r="I47" i="31"/>
  <c r="I46" i="31"/>
  <c r="I45" i="31"/>
  <c r="I44" i="31"/>
  <c r="I43" i="31"/>
  <c r="I42" i="31"/>
  <c r="I41" i="31"/>
  <c r="I40" i="31"/>
  <c r="I39" i="31"/>
  <c r="I38" i="31"/>
  <c r="I37" i="31"/>
  <c r="I36" i="31"/>
  <c r="I35" i="31"/>
  <c r="I34" i="31"/>
  <c r="I33" i="31"/>
  <c r="I271" i="30"/>
  <c r="I270" i="30"/>
  <c r="I269" i="30"/>
  <c r="I268" i="30"/>
  <c r="I267" i="30"/>
  <c r="I266" i="30"/>
  <c r="I265" i="30"/>
  <c r="I264" i="30"/>
  <c r="I263" i="30"/>
  <c r="I262" i="30"/>
  <c r="I261" i="30"/>
  <c r="I260" i="30"/>
  <c r="I259" i="30"/>
  <c r="I258" i="30"/>
  <c r="I257" i="30"/>
  <c r="I256" i="30"/>
  <c r="I255" i="30"/>
  <c r="I254" i="30"/>
  <c r="I253" i="30"/>
  <c r="I252" i="30"/>
  <c r="I251" i="30"/>
  <c r="I250" i="30"/>
  <c r="I249" i="30"/>
  <c r="I248" i="30"/>
  <c r="I247" i="30"/>
  <c r="I246" i="30"/>
  <c r="I245" i="30"/>
  <c r="I205" i="30"/>
  <c r="I204" i="30"/>
  <c r="I203" i="30"/>
  <c r="I202" i="30"/>
  <c r="I201" i="30"/>
  <c r="I200" i="30"/>
  <c r="I199" i="30"/>
  <c r="I198" i="30"/>
  <c r="I197" i="30"/>
  <c r="I196" i="30"/>
  <c r="I195" i="30"/>
  <c r="I194" i="30"/>
  <c r="I193" i="30"/>
  <c r="I192" i="30"/>
  <c r="I191" i="30"/>
  <c r="I190" i="30"/>
  <c r="I189" i="30"/>
  <c r="I188" i="30"/>
  <c r="I319" i="30"/>
  <c r="I318" i="30"/>
  <c r="I317" i="30"/>
  <c r="I316" i="30"/>
  <c r="I315" i="30"/>
  <c r="I314" i="30"/>
  <c r="I313" i="30"/>
  <c r="I312" i="30"/>
  <c r="I311" i="30"/>
  <c r="I310" i="30"/>
  <c r="I309" i="30"/>
  <c r="I308" i="30"/>
  <c r="I307" i="30"/>
  <c r="I306" i="30"/>
  <c r="I305" i="30"/>
  <c r="I304" i="30"/>
  <c r="I303" i="30"/>
  <c r="I302" i="30"/>
  <c r="I301" i="30"/>
  <c r="I300" i="30"/>
  <c r="I299" i="30"/>
  <c r="I298" i="30"/>
  <c r="I297" i="30"/>
  <c r="I296" i="30"/>
  <c r="I295" i="30"/>
  <c r="I294" i="30"/>
  <c r="I293" i="30"/>
  <c r="I292" i="30"/>
  <c r="I291" i="30"/>
  <c r="I290" i="30"/>
  <c r="I289" i="30"/>
  <c r="I288" i="30"/>
  <c r="I287" i="30"/>
  <c r="I286" i="30"/>
  <c r="I285" i="30"/>
  <c r="I284" i="30"/>
  <c r="I283" i="30"/>
  <c r="I282" i="30"/>
  <c r="I281" i="30"/>
  <c r="I280" i="30"/>
  <c r="I279" i="30"/>
  <c r="I278" i="30"/>
  <c r="I277" i="30"/>
  <c r="I276" i="30"/>
  <c r="I275" i="30"/>
  <c r="I244" i="30"/>
  <c r="I243" i="30"/>
  <c r="I242" i="30"/>
  <c r="I241" i="30"/>
  <c r="I240" i="30"/>
  <c r="I239" i="30"/>
  <c r="I238" i="30"/>
  <c r="I237" i="30"/>
  <c r="I236" i="30"/>
  <c r="I235" i="30"/>
  <c r="I234" i="30"/>
  <c r="I233" i="30"/>
  <c r="I232" i="30"/>
  <c r="I231" i="30"/>
  <c r="I230" i="30"/>
  <c r="I229" i="30"/>
  <c r="I228" i="30"/>
  <c r="I227" i="30"/>
  <c r="I226" i="30"/>
  <c r="I225" i="30"/>
  <c r="I224" i="30"/>
  <c r="I223" i="30"/>
  <c r="I222" i="30"/>
  <c r="I221" i="30"/>
  <c r="I220" i="30"/>
  <c r="I219" i="30"/>
  <c r="I218" i="30"/>
  <c r="I217" i="30"/>
  <c r="I216" i="30"/>
  <c r="I215" i="30"/>
  <c r="I214" i="30"/>
  <c r="I213" i="30"/>
  <c r="I212" i="30"/>
  <c r="I211" i="30"/>
  <c r="I210" i="30"/>
  <c r="I209" i="30"/>
  <c r="I66" i="30"/>
  <c r="I67" i="30"/>
  <c r="I68" i="30"/>
  <c r="I69" i="30"/>
  <c r="I70" i="30"/>
  <c r="I71" i="30"/>
  <c r="I72" i="30"/>
  <c r="I73" i="30"/>
  <c r="I57" i="30"/>
  <c r="I58" i="30"/>
  <c r="I59" i="30"/>
  <c r="I60" i="30"/>
  <c r="I61" i="30"/>
  <c r="I62" i="30"/>
  <c r="I63" i="30"/>
  <c r="I64" i="30"/>
  <c r="I65" i="30"/>
  <c r="I56" i="30"/>
  <c r="I139" i="30"/>
  <c r="I138" i="30"/>
  <c r="I137" i="30"/>
  <c r="I136" i="30"/>
  <c r="I135" i="30"/>
  <c r="I134" i="30"/>
  <c r="I133" i="30"/>
  <c r="I132" i="30"/>
  <c r="I131" i="30"/>
  <c r="I130" i="30"/>
  <c r="I129" i="30"/>
  <c r="I128" i="30"/>
  <c r="I127" i="30"/>
  <c r="I126" i="30"/>
  <c r="I125" i="30"/>
  <c r="I124" i="30"/>
  <c r="I123" i="30"/>
  <c r="I122" i="30"/>
  <c r="I11" i="30"/>
  <c r="I12" i="30"/>
  <c r="I13" i="30"/>
  <c r="I14" i="30"/>
  <c r="I15" i="30"/>
  <c r="I16" i="30"/>
  <c r="I17" i="30"/>
  <c r="I18" i="30"/>
  <c r="I19" i="30"/>
  <c r="I20" i="30"/>
  <c r="I21" i="30"/>
  <c r="I22" i="30"/>
  <c r="I23" i="30"/>
  <c r="I24" i="30"/>
  <c r="I25" i="30"/>
  <c r="I26" i="30"/>
  <c r="I27" i="30"/>
  <c r="I28" i="30"/>
  <c r="I29" i="30"/>
  <c r="I30" i="30"/>
  <c r="I31" i="30"/>
  <c r="I32" i="30"/>
  <c r="I33" i="30"/>
  <c r="I34" i="30"/>
  <c r="I35" i="30"/>
  <c r="I36" i="30"/>
  <c r="I37" i="30"/>
  <c r="I38" i="30"/>
  <c r="I39" i="30"/>
  <c r="I40" i="30"/>
  <c r="I41" i="30"/>
  <c r="I42" i="30"/>
  <c r="I43" i="30"/>
  <c r="I44" i="30"/>
  <c r="I45" i="30"/>
  <c r="I46" i="30"/>
  <c r="I47" i="30"/>
  <c r="I48" i="30"/>
  <c r="I49" i="30"/>
  <c r="I50" i="30"/>
  <c r="I51" i="30"/>
  <c r="I52" i="30"/>
  <c r="I53" i="30"/>
  <c r="I54" i="30"/>
  <c r="I55" i="30"/>
  <c r="I187" i="30"/>
  <c r="I186" i="30"/>
  <c r="I185" i="30"/>
  <c r="I184" i="30"/>
  <c r="I183" i="30"/>
  <c r="I182" i="30"/>
  <c r="I181" i="30"/>
  <c r="I180" i="30"/>
  <c r="I179" i="30"/>
  <c r="I178" i="30"/>
  <c r="I177" i="30"/>
  <c r="I176" i="30"/>
  <c r="I175" i="30"/>
  <c r="I174" i="30"/>
  <c r="I173" i="30"/>
  <c r="I172" i="30"/>
  <c r="I171" i="30"/>
  <c r="I170" i="30"/>
  <c r="I169" i="30"/>
  <c r="I168" i="30"/>
  <c r="I167" i="30"/>
  <c r="I166" i="30"/>
  <c r="I165" i="30"/>
  <c r="I164" i="30"/>
  <c r="I163" i="30"/>
  <c r="I162" i="30"/>
  <c r="I161" i="30"/>
  <c r="I160" i="30"/>
  <c r="I159" i="30"/>
  <c r="I158" i="30"/>
  <c r="I157" i="30"/>
  <c r="I156" i="30"/>
  <c r="I155" i="30"/>
  <c r="I154" i="30"/>
  <c r="I153" i="30"/>
  <c r="I152" i="30"/>
  <c r="I151" i="30"/>
  <c r="I150" i="30"/>
  <c r="I149" i="30"/>
  <c r="I148" i="30"/>
  <c r="I147" i="30"/>
  <c r="I146" i="30"/>
  <c r="I145" i="30"/>
  <c r="I144" i="30"/>
  <c r="I143" i="30"/>
  <c r="I121" i="30"/>
  <c r="I120" i="30"/>
  <c r="I119" i="30"/>
  <c r="I118" i="30"/>
  <c r="I117" i="30"/>
  <c r="I116" i="30"/>
  <c r="I115" i="30"/>
  <c r="I114" i="30"/>
  <c r="I113" i="30"/>
  <c r="I112" i="30"/>
  <c r="I111" i="30"/>
  <c r="I110" i="30"/>
  <c r="I109" i="30"/>
  <c r="I108" i="30"/>
  <c r="I107" i="30"/>
  <c r="I106" i="30"/>
  <c r="I105" i="30"/>
  <c r="I104" i="30"/>
  <c r="I103" i="30"/>
  <c r="I102" i="30"/>
  <c r="I101" i="30"/>
  <c r="I100" i="30"/>
  <c r="I99" i="30"/>
  <c r="I98" i="30"/>
  <c r="I97" i="30"/>
  <c r="I96" i="30"/>
  <c r="I95" i="30"/>
  <c r="I94" i="30"/>
  <c r="I93" i="30"/>
  <c r="I92" i="30"/>
  <c r="I91" i="30"/>
  <c r="I90" i="30"/>
  <c r="I89" i="30"/>
  <c r="I88" i="30"/>
  <c r="I87" i="30"/>
  <c r="I86" i="30"/>
  <c r="I85" i="30"/>
  <c r="I84" i="30"/>
  <c r="I83" i="30"/>
  <c r="I82" i="30"/>
  <c r="I81" i="30"/>
  <c r="I80" i="30"/>
  <c r="I79" i="30"/>
  <c r="I78" i="30"/>
  <c r="I77" i="30"/>
  <c r="I151" i="28"/>
  <c r="I150" i="28"/>
  <c r="I149" i="28"/>
  <c r="I148" i="28"/>
  <c r="I147" i="28"/>
  <c r="I146" i="28"/>
  <c r="I145" i="28"/>
  <c r="I144" i="28"/>
  <c r="I143" i="28"/>
  <c r="I142" i="28"/>
  <c r="I141" i="28"/>
  <c r="I140" i="28"/>
  <c r="I139" i="28"/>
  <c r="I138" i="28"/>
  <c r="I137" i="28"/>
  <c r="I136" i="28"/>
  <c r="I135" i="28"/>
  <c r="I134" i="28"/>
  <c r="I133" i="28"/>
  <c r="I132" i="28"/>
  <c r="I131" i="28"/>
  <c r="I130" i="28"/>
  <c r="I129" i="28"/>
  <c r="I128" i="28"/>
  <c r="I127" i="28"/>
  <c r="I126" i="28"/>
  <c r="I125" i="28"/>
  <c r="I124" i="28"/>
  <c r="I123" i="28"/>
  <c r="I122" i="28"/>
  <c r="I121" i="28"/>
  <c r="I120" i="28"/>
  <c r="I119" i="28"/>
  <c r="I118" i="28"/>
  <c r="I117" i="28"/>
  <c r="I116" i="28"/>
  <c r="I115" i="28"/>
  <c r="I114" i="28"/>
  <c r="I113" i="28"/>
  <c r="I112" i="28"/>
  <c r="I111" i="28"/>
  <c r="I110" i="28"/>
  <c r="I109" i="28"/>
  <c r="I108" i="28"/>
  <c r="I107" i="28"/>
  <c r="I103" i="28"/>
  <c r="I102" i="28"/>
  <c r="I101" i="28"/>
  <c r="I100" i="28"/>
  <c r="I99" i="28"/>
  <c r="I98" i="28"/>
  <c r="I97" i="28"/>
  <c r="I96" i="28"/>
  <c r="I95" i="28"/>
  <c r="I94" i="28"/>
  <c r="I93" i="28"/>
  <c r="I92" i="28"/>
  <c r="I91" i="28"/>
  <c r="I90" i="28"/>
  <c r="I89" i="28"/>
  <c r="I88" i="28"/>
  <c r="I87" i="28"/>
  <c r="I86" i="28"/>
  <c r="I85" i="28"/>
  <c r="I84" i="28"/>
  <c r="I83" i="28"/>
  <c r="I82" i="28"/>
  <c r="I81" i="28"/>
  <c r="I80" i="28"/>
  <c r="I79" i="28"/>
  <c r="I78" i="28"/>
  <c r="I77" i="28"/>
  <c r="I76" i="28"/>
  <c r="I75" i="28"/>
  <c r="I74" i="28"/>
  <c r="I73" i="28"/>
  <c r="I72" i="28"/>
  <c r="I71" i="28"/>
  <c r="I70" i="28"/>
  <c r="I69" i="28"/>
  <c r="I68" i="28"/>
  <c r="I67" i="28"/>
  <c r="I66" i="28"/>
  <c r="I65" i="28"/>
  <c r="I64" i="28"/>
  <c r="I63" i="28"/>
  <c r="I62" i="28"/>
  <c r="I61" i="28"/>
  <c r="I60" i="28"/>
  <c r="I59" i="28"/>
  <c r="I16" i="28"/>
  <c r="I17" i="28"/>
  <c r="I20" i="28"/>
  <c r="I21" i="28"/>
  <c r="I23" i="28"/>
  <c r="I24" i="28"/>
  <c r="I25" i="28"/>
  <c r="I26" i="28"/>
  <c r="I27" i="28"/>
  <c r="I29" i="28"/>
  <c r="I32" i="28"/>
  <c r="I34" i="28"/>
  <c r="I40" i="28"/>
  <c r="I41" i="28"/>
  <c r="I42" i="28"/>
  <c r="I43" i="28"/>
  <c r="I45" i="28"/>
  <c r="I50" i="28"/>
  <c r="I53" i="28"/>
  <c r="O45" i="28" s="1"/>
  <c r="I19" i="28"/>
  <c r="I22" i="28"/>
  <c r="O33" i="28" s="1"/>
  <c r="I30" i="28"/>
  <c r="I31" i="28"/>
  <c r="I33" i="28"/>
  <c r="I35" i="28"/>
  <c r="I38" i="28"/>
  <c r="I39" i="28"/>
  <c r="I46" i="28"/>
  <c r="I47" i="28"/>
  <c r="I48" i="28"/>
  <c r="I49" i="28"/>
  <c r="I51" i="28"/>
  <c r="I54" i="28"/>
  <c r="I55" i="28"/>
  <c r="I18" i="28"/>
  <c r="I28" i="28"/>
  <c r="I36" i="28"/>
  <c r="I37" i="28"/>
  <c r="I44" i="28"/>
  <c r="I52" i="28"/>
  <c r="I11" i="28"/>
  <c r="I12" i="28"/>
  <c r="I13" i="28"/>
  <c r="I14" i="28"/>
  <c r="O24" i="28" s="1"/>
  <c r="I15" i="28"/>
  <c r="H20" i="19"/>
  <c r="O34" i="33" l="1"/>
  <c r="O27" i="33"/>
  <c r="O41" i="33"/>
  <c r="O34" i="32"/>
  <c r="O48" i="32"/>
  <c r="I199" i="32"/>
  <c r="I133" i="32"/>
  <c r="I132" i="32"/>
  <c r="I65" i="32"/>
  <c r="I198" i="32"/>
  <c r="I66" i="32"/>
  <c r="I263" i="32"/>
  <c r="I197" i="32"/>
  <c r="I264" i="32"/>
  <c r="I67" i="32"/>
  <c r="I131" i="32"/>
  <c r="I265" i="32"/>
  <c r="O27" i="32"/>
  <c r="O38" i="31"/>
  <c r="O39" i="31"/>
  <c r="O40" i="31"/>
  <c r="O69" i="31"/>
  <c r="O55" i="31"/>
  <c r="O48" i="31"/>
  <c r="O62" i="31"/>
  <c r="O38" i="28"/>
  <c r="O26" i="28"/>
  <c r="O46" i="28"/>
  <c r="O47" i="28"/>
  <c r="O31" i="28"/>
  <c r="O39" i="28"/>
  <c r="O25" i="28"/>
  <c r="O40" i="28"/>
  <c r="O32" i="28"/>
  <c r="I106" i="28"/>
  <c r="I154" i="28"/>
  <c r="I56" i="28"/>
  <c r="I58" i="28"/>
  <c r="I57" i="28"/>
  <c r="I153" i="28"/>
  <c r="I104" i="28"/>
  <c r="I105" i="28"/>
  <c r="I152" i="28"/>
  <c r="G15" i="19"/>
  <c r="P17" i="38" l="1"/>
  <c r="P29" i="36"/>
  <c r="O27" i="30"/>
  <c r="O34" i="30"/>
  <c r="O41" i="30"/>
  <c r="O48" i="30"/>
  <c r="O34" i="28"/>
  <c r="O41" i="28"/>
  <c r="O27" i="28"/>
  <c r="O17" i="28"/>
  <c r="O48" i="28"/>
  <c r="O19" i="28"/>
  <c r="O18" i="28"/>
  <c r="P17" i="32" l="1"/>
  <c r="P17" i="30"/>
  <c r="P38" i="31"/>
  <c r="P17" i="28"/>
  <c r="I21" i="19" l="1"/>
  <c r="N21" i="19"/>
  <c r="M21" i="19"/>
  <c r="F21" i="19"/>
  <c r="E21" i="19"/>
  <c r="C21" i="19"/>
  <c r="J21" i="19"/>
  <c r="K21" i="19"/>
  <c r="G21" i="19"/>
  <c r="L21" i="19"/>
  <c r="H21" i="19"/>
  <c r="I22" i="19"/>
  <c r="N22" i="19"/>
  <c r="M22" i="19"/>
  <c r="F22" i="19"/>
  <c r="E22" i="19"/>
  <c r="C22" i="19"/>
  <c r="J22" i="19"/>
  <c r="K22" i="19"/>
  <c r="G22" i="19"/>
  <c r="D22" i="19"/>
  <c r="L22" i="19"/>
  <c r="H22" i="19"/>
  <c r="D21" i="19" l="1"/>
  <c r="O22" i="19"/>
  <c r="C20" i="19" l="1"/>
  <c r="H19" i="19"/>
  <c r="G16" i="19" l="1"/>
  <c r="L17" i="19"/>
  <c r="K17" i="19"/>
  <c r="J17" i="19"/>
  <c r="E17" i="19"/>
  <c r="M17" i="19"/>
  <c r="N17" i="19"/>
  <c r="I17" i="19"/>
  <c r="G14" i="19"/>
  <c r="I20" i="19"/>
  <c r="I19" i="19"/>
  <c r="I18" i="19"/>
  <c r="I16" i="19"/>
  <c r="I15" i="19"/>
  <c r="I13" i="19"/>
  <c r="I12" i="19"/>
  <c r="I14" i="19"/>
  <c r="I11" i="19"/>
  <c r="N20" i="19"/>
  <c r="N19" i="19"/>
  <c r="N18" i="19"/>
  <c r="N16" i="19"/>
  <c r="N15" i="19"/>
  <c r="N14" i="19"/>
  <c r="N12" i="19"/>
  <c r="N11" i="19"/>
  <c r="M11" i="19"/>
  <c r="F11" i="19"/>
  <c r="E11" i="19"/>
  <c r="C11" i="19"/>
  <c r="J11" i="19"/>
  <c r="K11" i="19"/>
  <c r="G11" i="19"/>
  <c r="D11" i="19"/>
  <c r="L11" i="19"/>
  <c r="H11" i="19"/>
  <c r="L12" i="19"/>
  <c r="D12" i="19"/>
  <c r="G12" i="19"/>
  <c r="K12" i="19"/>
  <c r="J12" i="19"/>
  <c r="C12" i="19"/>
  <c r="E12" i="19"/>
  <c r="F12" i="19"/>
  <c r="M12" i="19"/>
  <c r="M20" i="19"/>
  <c r="M19" i="19"/>
  <c r="M18" i="19"/>
  <c r="M16" i="19"/>
  <c r="M15" i="19"/>
  <c r="M14" i="19"/>
  <c r="F20" i="19"/>
  <c r="F18" i="19"/>
  <c r="F16" i="19"/>
  <c r="F15" i="19"/>
  <c r="F14" i="19"/>
  <c r="F13" i="19"/>
  <c r="E13" i="19"/>
  <c r="E20" i="19"/>
  <c r="E19" i="19"/>
  <c r="E18" i="19"/>
  <c r="E16" i="19"/>
  <c r="E15" i="19"/>
  <c r="O21" i="19"/>
  <c r="C16" i="19"/>
  <c r="C15" i="19"/>
  <c r="C14" i="19"/>
  <c r="C13" i="19"/>
  <c r="J19" i="19"/>
  <c r="J18" i="19"/>
  <c r="J16" i="19"/>
  <c r="J15" i="19"/>
  <c r="J14" i="19"/>
  <c r="J13" i="19"/>
  <c r="K20" i="19"/>
  <c r="K19" i="19"/>
  <c r="K16" i="19"/>
  <c r="K15" i="19"/>
  <c r="K14" i="19"/>
  <c r="K13" i="19"/>
  <c r="G20" i="19"/>
  <c r="G19" i="19"/>
  <c r="G18" i="19"/>
  <c r="G13" i="19"/>
  <c r="D20" i="19"/>
  <c r="D19" i="19"/>
  <c r="D16" i="19"/>
  <c r="D15" i="19"/>
  <c r="D14" i="19"/>
  <c r="D13" i="19"/>
  <c r="L20" i="19"/>
  <c r="L19" i="19"/>
  <c r="L16" i="19"/>
  <c r="L15" i="19"/>
  <c r="L14" i="19"/>
  <c r="L13" i="19"/>
  <c r="H16" i="19"/>
  <c r="H15" i="19"/>
  <c r="H14" i="19"/>
  <c r="H13" i="19"/>
  <c r="P21" i="18" l="1"/>
  <c r="H18" i="19"/>
  <c r="H17" i="19"/>
  <c r="I23" i="19"/>
  <c r="N13" i="19"/>
  <c r="N23" i="19" s="1"/>
  <c r="M13" i="19"/>
  <c r="M23" i="19" s="1"/>
  <c r="G1974" i="15"/>
  <c r="H12" i="19"/>
  <c r="O12" i="19" s="1"/>
  <c r="F17" i="19"/>
  <c r="E14" i="19"/>
  <c r="O15" i="19"/>
  <c r="O16" i="19"/>
  <c r="O11" i="19"/>
  <c r="P31" i="18"/>
  <c r="P15" i="18"/>
  <c r="P12" i="18"/>
  <c r="P29" i="18"/>
  <c r="P30" i="18"/>
  <c r="P13" i="18"/>
  <c r="P20" i="18"/>
  <c r="P9" i="18"/>
  <c r="P18" i="18"/>
  <c r="P11" i="18"/>
  <c r="P10" i="18"/>
  <c r="P14" i="18"/>
  <c r="P19" i="18"/>
  <c r="P16" i="18"/>
  <c r="P32" i="18"/>
  <c r="H23" i="19" l="1"/>
  <c r="O13" i="19"/>
  <c r="O14" i="19"/>
  <c r="E23" i="19"/>
  <c r="Q9" i="18"/>
  <c r="Q31" i="18"/>
  <c r="Q11" i="18"/>
  <c r="Q29" i="18"/>
  <c r="Q19" i="18"/>
  <c r="Q13" i="18"/>
  <c r="Q15" i="18"/>
  <c r="D17" i="19" l="1"/>
  <c r="G17" i="19"/>
  <c r="G23" i="19" s="1"/>
  <c r="C17" i="19" l="1"/>
  <c r="P22" i="18" l="1"/>
  <c r="O17" i="19"/>
  <c r="Q21" i="18" l="1"/>
  <c r="K18" i="19" l="1"/>
  <c r="K23" i="19" s="1"/>
  <c r="L18" i="19" l="1"/>
  <c r="L23" i="19" s="1"/>
  <c r="D18" i="19" l="1"/>
  <c r="D23" i="19" s="1"/>
  <c r="C18" i="19"/>
  <c r="P24" i="18" l="1"/>
  <c r="O18" i="19"/>
  <c r="C19" i="19" l="1"/>
  <c r="C23" i="19" l="1"/>
  <c r="F19" i="19"/>
  <c r="F23" i="19" s="1"/>
  <c r="O19" i="19" l="1"/>
  <c r="P26" i="18"/>
  <c r="P28" i="18" l="1"/>
  <c r="E38" i="18" s="1"/>
  <c r="J20" i="19"/>
  <c r="P23" i="18"/>
  <c r="Q23" i="18" s="1"/>
  <c r="P25" i="18"/>
  <c r="Q25" i="18" s="1"/>
  <c r="P27" i="18"/>
  <c r="Q27" i="18" l="1"/>
  <c r="O20" i="19"/>
  <c r="O23" i="19" s="1"/>
  <c r="J23" i="19"/>
  <c r="P17" i="18"/>
  <c r="E37" i="18" s="1"/>
  <c r="E39" i="18" l="1"/>
  <c r="J24" i="19"/>
  <c r="C24" i="19"/>
  <c r="E24" i="19"/>
  <c r="D24" i="19"/>
  <c r="I24" i="19"/>
  <c r="M24" i="19"/>
  <c r="N24" i="19"/>
  <c r="F24" i="19"/>
  <c r="K24" i="19"/>
  <c r="L24" i="19"/>
  <c r="H24" i="19"/>
  <c r="G24" i="19"/>
  <c r="P33" i="18"/>
  <c r="Q17" i="18"/>
  <c r="Q33" i="18" s="1"/>
  <c r="F38" i="18" l="1"/>
  <c r="F37" i="18"/>
  <c r="F39" i="18" s="1"/>
  <c r="O24"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B0ED90-213B-4961-9ADC-8AA8A85D9E4A}" keepAlive="1" name="Requête - Cons staff" description="Connexion à la requête « Cons staff » dans le classeur." type="5" refreshedVersion="0" background="1">
    <dbPr connection="Provider=Microsoft.Mashup.OleDb.1;Data Source=$Workbook$;Location=&quot;Cons staff&quot;;Extended Properties=&quot;&quot;" command="SELECT * FROM [Cons staff]"/>
  </connection>
  <connection id="2" xr16:uid="{F1285001-44D3-45E9-9D1B-456F05FEB827}" keepAlive="1" name="Requête - Conso maintenance" description="Connexion à la requête « Conso maintenance » dans le classeur." type="5" refreshedVersion="0" background="1">
    <dbPr connection="Provider=Microsoft.Mashup.OleDb.1;Data Source=$Workbook$;Location=&quot;Conso maintenance&quot;;Extended Properties=&quot;&quot;" command="SELECT * FROM [Conso maintenance]"/>
  </connection>
  <connection id="3" xr16:uid="{E315F390-7954-4BA7-8E53-FC4A7F58431D}" keepAlive="1" name="Requête - Conso maintenance (2)" description="Connexion à la requête « Conso maintenance (2) » dans le classeur." type="5" refreshedVersion="0" background="1">
    <dbPr connection="Provider=Microsoft.Mashup.OleDb.1;Data Source=$Workbook$;Location=&quot;Conso maintenance (2)&quot;;Extended Properties=&quot;&quot;" command="SELECT * FROM [Conso maintenance (2)]"/>
  </connection>
  <connection id="4" xr16:uid="{2A637A14-AF80-4CA3-AB44-3DC5AE37CAC1}" keepAlive="1" name="Requête - Conso procurement" description="Connexion à la requête « Conso procurement » dans le classeur." type="5" refreshedVersion="0" background="1">
    <dbPr connection="Provider=Microsoft.Mashup.OleDb.1;Data Source=$Workbook$;Location=&quot;Conso procurement&quot;;Extended Properties=&quot;&quot;" command="SELECT * FROM [Conso procurement]"/>
  </connection>
  <connection id="5" xr16:uid="{ED8148BC-67B6-4610-A476-FB1AA1E086E8}" keepAlive="1" name="Requête - Conso Prod shutdown" description="Connexion à la requête « Conso Prod shutdown » dans le classeur." type="5" refreshedVersion="0" background="1" saveData="1">
    <dbPr connection="Provider=Microsoft.Mashup.OleDb.1;Data Source=$Workbook$;Location=&quot;Conso Prod shutdown&quot;;Extended Properties=&quot;&quot;" command="SELECT * FROM [Conso Prod shutdown]"/>
  </connection>
  <connection id="6" xr16:uid="{BD01870A-BF66-4478-8128-E0E5B30C4EC6}" keepAlive="1" name="Requête - Conso Prod volume" description="Connexion à la requête « Conso Prod volume » dans le classeur." type="5" refreshedVersion="0" background="1" saveData="1">
    <dbPr connection="Provider=Microsoft.Mashup.OleDb.1;Data Source=$Workbook$;Location=&quot;Conso Prod volume&quot;;Extended Properties=&quot;&quot;" command="SELECT * FROM [Conso Prod volume]"/>
  </connection>
  <connection id="7" xr16:uid="{B080CE2B-256C-483E-86C5-11FA3AD9C4A2}" keepAlive="1" name="Requête - Conso sales" description="Connexion à la requête « Conso sales » dans le classeur." type="5" refreshedVersion="0" background="1" saveData="1">
    <dbPr connection="Provider=Microsoft.Mashup.OleDb.1;Data Source=$Workbook$;Location=&quot;Conso sales&quot;;Extended Properties=&quot;&quot;" command="SELECT * FROM [Conso sales]"/>
  </connection>
  <connection id="8" xr16:uid="{5D28729F-A235-45E3-8098-298C7D66F2DC}" name="Requête - Conso trainings" description="Connexion à la requête « Conso trainings » dans le classeur." type="100" refreshedVersion="8" minRefreshableVersion="5">
    <extLst>
      <ext xmlns:x15="http://schemas.microsoft.com/office/spreadsheetml/2010/11/main" uri="{DE250136-89BD-433C-8126-D09CA5730AF9}">
        <x15:connection id="10505f08-1221-47e7-85c5-0667253f4efa"/>
      </ext>
    </extLst>
  </connection>
  <connection id="9" xr16:uid="{B25F3463-6280-452D-98BB-E779A5D993B4}" keepAlive="1" name="Requête - Conso trainings1" description="Connexion à la requête « Conso trainings1 » dans le classeur." type="5" refreshedVersion="0" background="1">
    <dbPr connection="Provider=Microsoft.Mashup.OleDb.1;Data Source=$Workbook$;Location=&quot;Conso trainings1&quot;;Extended Properties=&quot;&quot;" command="SELECT * FROM [Conso trainings1]"/>
  </connection>
  <connection id="10" xr16:uid="{1DE609C5-754F-4FEB-BFD1-16CA66A6C14E}" keepAlive="1" name="Requête - Exemple de fichier" description="Connexion à la requête « Exemple de fichier » dans le classeur." type="5" refreshedVersion="0" background="1">
    <dbPr connection="Provider=Microsoft.Mashup.OleDb.1;Data Source=$Workbook$;Location=&quot;Exemple de fichier&quot;;Extended Properties=&quot;&quot;" command="SELECT * FROM [Exemple de fichier]"/>
  </connection>
  <connection id="11" xr16:uid="{2E3FE1F4-73EA-4792-A18D-86D0A1C67E48}" keepAlive="1" name="Requête - Exemple de fichier (10)" description="Connexion à la requête « Exemple de fichier (10) » dans le classeur." type="5" refreshedVersion="0" background="1">
    <dbPr connection="Provider=Microsoft.Mashup.OleDb.1;Data Source=$Workbook$;Location=&quot;Exemple de fichier (10)&quot;;Extended Properties=&quot;&quot;" command="SELECT * FROM [Exemple de fichier (10)]"/>
  </connection>
  <connection id="12" xr16:uid="{3777E292-4028-4E82-9D0A-ED043B9118D5}" keepAlive="1" name="Requête - Exemple de fichier (11)" description="Connexion à la requête « Exemple de fichier (11) » dans le classeur." type="5" refreshedVersion="0" background="1">
    <dbPr connection="Provider=Microsoft.Mashup.OleDb.1;Data Source=$Workbook$;Location=&quot;Exemple de fichier (11)&quot;;Extended Properties=&quot;&quot;" command="SELECT * FROM [Exemple de fichier (11)]"/>
  </connection>
  <connection id="13" xr16:uid="{EED9143B-5A7A-487C-AD63-DCA136DC518F}" keepAlive="1" name="Requête - Exemple de fichier (12)" description="Connexion à la requête « Exemple de fichier (12) » dans le classeur." type="5" refreshedVersion="0" background="1">
    <dbPr connection="Provider=Microsoft.Mashup.OleDb.1;Data Source=$Workbook$;Location=&quot;Exemple de fichier (12)&quot;;Extended Properties=&quot;&quot;" command="SELECT * FROM [Exemple de fichier (12)]"/>
  </connection>
  <connection id="14" xr16:uid="{CEA39052-A853-43B4-93A4-66D56EB31AF6}" keepAlive="1" name="Requête - Exemple de fichier (13)" description="Connexion à la requête « Exemple de fichier (13) » dans le classeur." type="5" refreshedVersion="0" background="1">
    <dbPr connection="Provider=Microsoft.Mashup.OleDb.1;Data Source=$Workbook$;Location=&quot;Exemple de fichier (13)&quot;;Extended Properties=&quot;&quot;" command="SELECT * FROM [Exemple de fichier (13)]"/>
  </connection>
  <connection id="15" xr16:uid="{971F5DEC-3B47-48C7-94F9-7C09EDD8FFF5}" keepAlive="1" name="Requête - Exemple de fichier (14)" description="Connexion à la requête « Exemple de fichier (14) » dans le classeur." type="5" refreshedVersion="0" background="1">
    <dbPr connection="Provider=Microsoft.Mashup.OleDb.1;Data Source=$Workbook$;Location=&quot;Exemple de fichier (14)&quot;;Extended Properties=&quot;&quot;" command="SELECT * FROM [Exemple de fichier (14)]"/>
  </connection>
  <connection id="16" xr16:uid="{5215A0B1-8C4F-4136-AF7C-50EDD24206CC}" keepAlive="1" name="Requête - Exemple de fichier (15)" description="Connexion à la requête « Exemple de fichier (15) » dans le classeur." type="5" refreshedVersion="0" background="1">
    <dbPr connection="Provider=Microsoft.Mashup.OleDb.1;Data Source=$Workbook$;Location=&quot;Exemple de fichier (15)&quot;;Extended Properties=&quot;&quot;" command="SELECT * FROM [Exemple de fichier (15)]"/>
  </connection>
  <connection id="17" xr16:uid="{92061375-32CE-4023-96F3-88436945829B}" keepAlive="1" name="Requête - Exemple de fichier (16)" description="Connexion à la requête « Exemple de fichier (16) » dans le classeur." type="5" refreshedVersion="0" background="1">
    <dbPr connection="Provider=Microsoft.Mashup.OleDb.1;Data Source=$Workbook$;Location=&quot;Exemple de fichier (16)&quot;;Extended Properties=&quot;&quot;" command="SELECT * FROM [Exemple de fichier (16)]"/>
  </connection>
  <connection id="18" xr16:uid="{EA5D1F17-AF64-494A-899F-6BD1BB90B0B4}" keepAlive="1" name="Requête - Exemple de fichier (17)" description="Connexion à la requête « Exemple de fichier (17) » dans le classeur." type="5" refreshedVersion="0" background="1">
    <dbPr connection="Provider=Microsoft.Mashup.OleDb.1;Data Source=$Workbook$;Location=&quot;Exemple de fichier (17)&quot;;Extended Properties=&quot;&quot;" command="SELECT * FROM [Exemple de fichier (17)]"/>
  </connection>
  <connection id="19" xr16:uid="{721BA7F3-2F4D-4C8C-B426-3DE7C7A7775C}" keepAlive="1" name="Requête - Exemple de fichier (2)" description="Connexion à la requête « Exemple de fichier (2) » dans le classeur." type="5" refreshedVersion="0" background="1">
    <dbPr connection="Provider=Microsoft.Mashup.OleDb.1;Data Source=$Workbook$;Location=&quot;Exemple de fichier (2)&quot;;Extended Properties=&quot;&quot;" command="SELECT * FROM [Exemple de fichier (2)]"/>
  </connection>
  <connection id="20" xr16:uid="{E91A62DA-F6AE-4FE3-9B1A-5BDBC5DC51DB}" keepAlive="1" name="Requête - Exemple de fichier (3)" description="Connexion à la requête « Exemple de fichier (3) » dans le classeur." type="5" refreshedVersion="0" background="1">
    <dbPr connection="Provider=Microsoft.Mashup.OleDb.1;Data Source=$Workbook$;Location=&quot;Exemple de fichier (3)&quot;;Extended Properties=&quot;&quot;" command="SELECT * FROM [Exemple de fichier (3)]"/>
  </connection>
  <connection id="21" xr16:uid="{B8657B87-A392-4879-AEE3-95C901F8215F}" keepAlive="1" name="Requête - Exemple de fichier (4)" description="Connexion à la requête « Exemple de fichier (4) » dans le classeur." type="5" refreshedVersion="0" background="1">
    <dbPr connection="Provider=Microsoft.Mashup.OleDb.1;Data Source=$Workbook$;Location=&quot;Exemple de fichier (4)&quot;;Extended Properties=&quot;&quot;" command="SELECT * FROM [Exemple de fichier (4)]"/>
  </connection>
  <connection id="22" xr16:uid="{86FFF287-6E37-4F1A-8611-13CDFD3F7E91}" keepAlive="1" name="Requête - Exemple de fichier (5)" description="Connexion à la requête « Exemple de fichier (5) » dans le classeur." type="5" refreshedVersion="0" background="1">
    <dbPr connection="Provider=Microsoft.Mashup.OleDb.1;Data Source=$Workbook$;Location=&quot;Exemple de fichier (5)&quot;;Extended Properties=&quot;&quot;" command="SELECT * FROM [Exemple de fichier (5)]"/>
  </connection>
  <connection id="23" xr16:uid="{5C7E8FF2-AB4C-4C93-AB5D-CC389F7C6AAF}" keepAlive="1" name="Requête - Exemple de fichier (6)" description="Connexion à la requête « Exemple de fichier (6) » dans le classeur." type="5" refreshedVersion="0" background="1">
    <dbPr connection="Provider=Microsoft.Mashup.OleDb.1;Data Source=$Workbook$;Location=&quot;Exemple de fichier (6)&quot;;Extended Properties=&quot;&quot;" command="SELECT * FROM [Exemple de fichier (6)]"/>
  </connection>
  <connection id="24" xr16:uid="{3B552350-F8B7-46FE-8218-BE10232CEA43}" keepAlive="1" name="Requête - Exemple de fichier (7)" description="Connexion à la requête « Exemple de fichier (7) » dans le classeur." type="5" refreshedVersion="0" background="1">
    <dbPr connection="Provider=Microsoft.Mashup.OleDb.1;Data Source=$Workbook$;Location=&quot;Exemple de fichier (7)&quot;;Extended Properties=&quot;&quot;" command="SELECT * FROM [Exemple de fichier (7)]"/>
  </connection>
  <connection id="25" xr16:uid="{B3FD230A-9B7A-40DB-8283-BBAD5CF863DA}" keepAlive="1" name="Requête - Exemple de fichier (8)" description="Connexion à la requête « Exemple de fichier (8) » dans le classeur." type="5" refreshedVersion="0" background="1">
    <dbPr connection="Provider=Microsoft.Mashup.OleDb.1;Data Source=$Workbook$;Location=&quot;Exemple de fichier (8)&quot;;Extended Properties=&quot;&quot;" command="SELECT * FROM [Exemple de fichier (8)]"/>
  </connection>
  <connection id="26" xr16:uid="{71A761B5-40E7-4E1B-9C9D-7C882394A757}" keepAlive="1" name="Requête - Exemple de fichier (9)" description="Connexion à la requête « Exemple de fichier (9) » dans le classeur." type="5" refreshedVersion="0" background="1">
    <dbPr connection="Provider=Microsoft.Mashup.OleDb.1;Data Source=$Workbook$;Location=&quot;Exemple de fichier (9)&quot;;Extended Properties=&quot;&quot;" command="SELECT * FROM [Exemple de fichier (9)]"/>
  </connection>
  <connection id="27" xr16:uid="{19171A9F-AFF9-4681-96AA-550A0C9E106D}" keepAlive="1" name="Requête - Paramètre1" description="Connexion à la requête « Paramètre1 » dans le classeur." type="5" refreshedVersion="0" background="1">
    <dbPr connection="Provider=Microsoft.Mashup.OleDb.1;Data Source=$Workbook$;Location=Paramètre1;Extended Properties=&quot;&quot;" command="SELECT * FROM [Paramètre1]"/>
  </connection>
  <connection id="28" xr16:uid="{915DFA75-5FB8-4565-A6F2-01156B342F25}" keepAlive="1" name="Requête - Paramètre10" description="Connexion à la requête « Paramètre10 » dans le classeur." type="5" refreshedVersion="0" background="1">
    <dbPr connection="Provider=Microsoft.Mashup.OleDb.1;Data Source=$Workbook$;Location=Paramètre10;Extended Properties=&quot;&quot;" command="SELECT * FROM [Paramètre10]"/>
  </connection>
  <connection id="29" xr16:uid="{0A3FEA8F-99F7-473A-9D53-0916A53DB40A}" keepAlive="1" name="Requête - Paramètre11" description="Connexion à la requête « Paramètre11 » dans le classeur." type="5" refreshedVersion="0" background="1">
    <dbPr connection="Provider=Microsoft.Mashup.OleDb.1;Data Source=$Workbook$;Location=Paramètre11;Extended Properties=&quot;&quot;" command="SELECT * FROM [Paramètre11]"/>
  </connection>
  <connection id="30" xr16:uid="{DE156EFA-F6D0-4E23-AD24-5859C722B05B}" keepAlive="1" name="Requête - Paramètre12" description="Connexion à la requête « Paramètre12 » dans le classeur." type="5" refreshedVersion="0" background="1">
    <dbPr connection="Provider=Microsoft.Mashup.OleDb.1;Data Source=$Workbook$;Location=Paramètre12;Extended Properties=&quot;&quot;" command="SELECT * FROM [Paramètre12]"/>
  </connection>
  <connection id="31" xr16:uid="{E1D555CF-E42E-44F1-B16D-9E5642C5C1F9}" keepAlive="1" name="Requête - Paramètre13" description="Connexion à la requête « Paramètre13 » dans le classeur." type="5" refreshedVersion="0" background="1">
    <dbPr connection="Provider=Microsoft.Mashup.OleDb.1;Data Source=$Workbook$;Location=Paramètre13;Extended Properties=&quot;&quot;" command="SELECT * FROM [Paramètre13]"/>
  </connection>
  <connection id="32" xr16:uid="{E0A87745-8CC3-4822-B2DF-969D44E72B70}" keepAlive="1" name="Requête - Paramètre14" description="Connexion à la requête « Paramètre14 » dans le classeur." type="5" refreshedVersion="0" background="1">
    <dbPr connection="Provider=Microsoft.Mashup.OleDb.1;Data Source=$Workbook$;Location=Paramètre14;Extended Properties=&quot;&quot;" command="SELECT * FROM [Paramètre14]"/>
  </connection>
  <connection id="33" xr16:uid="{39E90B35-61DA-403B-B367-0E22DACAAAAE}" keepAlive="1" name="Requête - Paramètre15" description="Connexion à la requête « Paramètre15 » dans le classeur." type="5" refreshedVersion="0" background="1">
    <dbPr connection="Provider=Microsoft.Mashup.OleDb.1;Data Source=$Workbook$;Location=Paramètre15;Extended Properties=&quot;&quot;" command="SELECT * FROM [Paramètre15]"/>
  </connection>
  <connection id="34" xr16:uid="{1AD5D5AD-0131-485D-8D4A-F17594F50AF2}" keepAlive="1" name="Requête - Paramètre16" description="Connexion à la requête « Paramètre16 » dans le classeur." type="5" refreshedVersion="0" background="1">
    <dbPr connection="Provider=Microsoft.Mashup.OleDb.1;Data Source=$Workbook$;Location=Paramètre16;Extended Properties=&quot;&quot;" command="SELECT * FROM [Paramètre16]"/>
  </connection>
  <connection id="35" xr16:uid="{BF4462AB-B150-4A76-940F-D0EB2387D334}" keepAlive="1" name="Requête - Paramètre2" description="Connexion à la requête « Paramètre2 » dans le classeur." type="5" refreshedVersion="0" background="1">
    <dbPr connection="Provider=Microsoft.Mashup.OleDb.1;Data Source=$Workbook$;Location=Paramètre2;Extended Properties=&quot;&quot;" command="SELECT * FROM [Paramètre2]"/>
  </connection>
  <connection id="36" xr16:uid="{FD2691C8-F753-447E-BCDA-96ACCDF21C6C}" keepAlive="1" name="Requête - Paramètre3" description="Connexion à la requête « Paramètre3 » dans le classeur." type="5" refreshedVersion="0" background="1">
    <dbPr connection="Provider=Microsoft.Mashup.OleDb.1;Data Source=$Workbook$;Location=Paramètre3;Extended Properties=&quot;&quot;" command="SELECT * FROM [Paramètre3]"/>
  </connection>
  <connection id="37" xr16:uid="{F3EBB7EB-6C78-45D4-A1E3-366CF69EC059}" keepAlive="1" name="Requête - Paramètre4" description="Connexion à la requête « Paramètre4 » dans le classeur." type="5" refreshedVersion="0" background="1">
    <dbPr connection="Provider=Microsoft.Mashup.OleDb.1;Data Source=$Workbook$;Location=Paramètre4;Extended Properties=&quot;&quot;" command="SELECT * FROM [Paramètre4]"/>
  </connection>
  <connection id="38" xr16:uid="{C5A32A14-225F-41B0-9797-EC622453757E}" keepAlive="1" name="Requête - Paramètre5" description="Connexion à la requête « Paramètre5 » dans le classeur." type="5" refreshedVersion="0" background="1">
    <dbPr connection="Provider=Microsoft.Mashup.OleDb.1;Data Source=$Workbook$;Location=Paramètre5;Extended Properties=&quot;&quot;" command="SELECT * FROM [Paramètre5]"/>
  </connection>
  <connection id="39" xr16:uid="{EB7F81BC-423E-4E2A-BCF6-90C7B907CD2B}" keepAlive="1" name="Requête - Paramètre6" description="Connexion à la requête « Paramètre6 » dans le classeur." type="5" refreshedVersion="0" background="1">
    <dbPr connection="Provider=Microsoft.Mashup.OleDb.1;Data Source=$Workbook$;Location=Paramètre6;Extended Properties=&quot;&quot;" command="SELECT * FROM [Paramètre6]"/>
  </connection>
  <connection id="40" xr16:uid="{E0D7FCD6-B703-4203-B756-F376999691AD}" keepAlive="1" name="Requête - Paramètre7" description="Connexion à la requête « Paramètre7 » dans le classeur." type="5" refreshedVersion="0" background="1">
    <dbPr connection="Provider=Microsoft.Mashup.OleDb.1;Data Source=$Workbook$;Location=Paramètre7;Extended Properties=&quot;&quot;" command="SELECT * FROM [Paramètre7]"/>
  </connection>
  <connection id="41" xr16:uid="{2CDC9DB4-7171-4287-AF74-25B95A6F3D6A}" keepAlive="1" name="Requête - Paramètre8" description="Connexion à la requête « Paramètre8 » dans le classeur." type="5" refreshedVersion="0" background="1">
    <dbPr connection="Provider=Microsoft.Mashup.OleDb.1;Data Source=$Workbook$;Location=Paramètre8;Extended Properties=&quot;&quot;" command="SELECT * FROM [Paramètre8]"/>
  </connection>
  <connection id="42" xr16:uid="{67FD669E-F5B5-45FA-9B8B-91AF0C3C9917}" keepAlive="1" name="Requête - Paramètre9" description="Connexion à la requête « Paramètre9 » dans le classeur." type="5" refreshedVersion="0" background="1">
    <dbPr connection="Provider=Microsoft.Mashup.OleDb.1;Data Source=$Workbook$;Location=Paramètre9;Extended Properties=&quot;&quot;" command="SELECT * FROM [Paramètre9]"/>
  </connection>
  <connection id="43" xr16:uid="{9F059B72-4E78-4492-8496-481723D03964}" keepAlive="1" name="Requête - T_Achat_MP_Innofaso" description="Connexion à la requête « T_Achat_MP_Innofaso » dans le classeur." type="5" refreshedVersion="8" background="1" saveData="1">
    <dbPr connection="Provider=Microsoft.Mashup.OleDb.1;Data Source=$Workbook$;Location=T_Achat_MP_Innofaso;Extended Properties=&quot;&quot;" command="SELECT * FROM [T_Achat_MP_Innofaso]"/>
  </connection>
  <connection id="44" xr16:uid="{5AF5E12D-B822-497A-A734-9FD3ADE0BB24}" keepAlive="1" name="Requête - T_formation_Innofaso" description="Connexion à la requête « T_formation_Innofaso » dans le classeur." type="5" refreshedVersion="8" background="1" saveData="1">
    <dbPr connection="Provider=Microsoft.Mashup.OleDb.1;Data Source=$Workbook$;Location=T_formation_Innofaso;Extended Properties=&quot;&quot;" command="SELECT * FROM [T_formation_Innofaso]"/>
  </connection>
  <connection id="45" xr16:uid="{17215C38-DBE8-4D8C-AAB6-47237063948A}" keepAlive="1" name="Requête - T_Maint_Innofaso" description="Connexion à la requête « T_Maint_Innofaso » dans le classeur." type="5" refreshedVersion="8" background="1" saveData="1">
    <dbPr connection="Provider=Microsoft.Mashup.OleDb.1;Data Source=$Workbook$;Location=T_Maint_Innofaso;Extended Properties=&quot;&quot;" command="SELECT * FROM [T_Maint_Innofaso]"/>
  </connection>
  <connection id="46" xr16:uid="{5811448A-50CB-4014-BA2B-8C8BF6290F45}" keepAlive="1" name="Requête - T_Maint_Innofaso (2)" description="Connexion à la requête « T_Maint_Innofaso (2) » dans le classeur." type="5" refreshedVersion="8" background="1" saveData="1">
    <dbPr connection="Provider=Microsoft.Mashup.OleDb.1;Data Source=$Workbook$;Location=&quot;T_Maint_Innofaso (2)&quot;;Extended Properties=&quot;&quot;" command="SELECT * FROM [T_Maint_Innofaso (2)]"/>
  </connection>
  <connection id="47" xr16:uid="{252C7FCC-230A-4F3C-9404-E99AAD6CAC28}" keepAlive="1" name="Requête - T_Origyn" description="Connexion à la requête « T_Origyn » dans le classeur." type="5" refreshedVersion="0" background="1">
    <dbPr connection="Provider=Microsoft.Mashup.OleDb.1;Data Source=$Workbook$;Location=T_Origyn;Extended Properties=&quot;&quot;" command="SELECT * FROM [T_Origyn]"/>
  </connection>
  <connection id="48" xr16:uid="{A2E48F5B-DE33-4BC6-97D1-187FAF592E25}" keepAlive="1" name="Requête - T_Prod_data_Innofaso" description="Connexion à la requête « T_Prod_data_Innofaso » dans le classeur." type="5" refreshedVersion="8" background="1" saveData="1">
    <dbPr connection="Provider=Microsoft.Mashup.OleDb.1;Data Source=$Workbook$;Location=T_Prod_data_Innofaso;Extended Properties=&quot;&quot;" command="SELECT * FROM [T_Prod_data_Innofaso]"/>
  </connection>
  <connection id="49" xr16:uid="{A2990D83-4259-45EA-B9F6-54E1DB8CF679}" keepAlive="1" name="Requête - T_ProdShutdown_Innofaso" description="Connexion à la requête « T_ProdShutdown_Innofaso » dans le classeur." type="5" refreshedVersion="8" background="1" saveData="1">
    <dbPr connection="Provider=Microsoft.Mashup.OleDb.1;Data Source=$Workbook$;Location=T_ProdShutdown_Innofaso;Extended Properties=&quot;&quot;" command="SELECT * FROM [T_ProdShutdown_Innofaso]"/>
  </connection>
  <connection id="50" xr16:uid="{6EAEBA5A-0C95-40C2-8DDC-5B07D4CA20F4}" keepAlive="1" name="Requête - T_Sales_Innofaso" description="Connexion à la requête « T_Sales_Innofaso » dans le classeur." type="5" refreshedVersion="8" background="1" saveData="1">
    <dbPr connection="Provider=Microsoft.Mashup.OleDb.1;Data Source=$Workbook$;Location=T_Sales_Innofaso;Extended Properties=&quot;&quot;" command="SELECT * FROM [T_Sales_Innofaso]"/>
  </connection>
  <connection id="51" xr16:uid="{CE5E3E4F-CFE3-4388-8E7E-FF5905B151A2}" name="Requête - T_Staff_Innofaso" description="Connexion à la requête « T_Staff_Innofaso » dans le classeur." type="100" refreshedVersion="8" minRefreshableVersion="5">
    <extLst>
      <ext xmlns:x15="http://schemas.microsoft.com/office/spreadsheetml/2010/11/main" uri="{DE250136-89BD-433C-8126-D09CA5730AF9}">
        <x15:connection id="f71d804b-9aae-4197-9339-8c89af60120d"/>
      </ext>
    </extLst>
  </connection>
  <connection id="52" xr16:uid="{FF725CDF-23A8-4B2D-A269-545C442FB029}" keepAlive="1" name="Requête - Transformer le fichier" description="Connexion à la requête « Transformer le fichier » dans le classeur." type="5" refreshedVersion="0" background="1">
    <dbPr connection="Provider=Microsoft.Mashup.OleDb.1;Data Source=$Workbook$;Location=&quot;Transformer le fichier&quot;;Extended Properties=&quot;&quot;" command="SELECT * FROM [Transformer le fichier]"/>
  </connection>
  <connection id="53" xr16:uid="{9ADC70BA-A4C6-4123-AF85-340016273C20}" keepAlive="1" name="Requête - Transformer le fichier (10)" description="Connexion à la requête « Transformer le fichier (10) » dans le classeur." type="5" refreshedVersion="0" background="1">
    <dbPr connection="Provider=Microsoft.Mashup.OleDb.1;Data Source=$Workbook$;Location=&quot;Transformer le fichier (10)&quot;;Extended Properties=&quot;&quot;" command="SELECT * FROM [Transformer le fichier (10)]"/>
  </connection>
  <connection id="54" xr16:uid="{324B13B3-36E5-4BBC-832B-0E0888358425}" keepAlive="1" name="Requête - Transformer le fichier (11)" description="Connexion à la requête « Transformer le fichier (11) » dans le classeur." type="5" refreshedVersion="0" background="1">
    <dbPr connection="Provider=Microsoft.Mashup.OleDb.1;Data Source=$Workbook$;Location=&quot;Transformer le fichier (11)&quot;;Extended Properties=&quot;&quot;" command="SELECT * FROM [Transformer le fichier (11)]"/>
  </connection>
  <connection id="55" xr16:uid="{40F1EEAC-10BF-496E-89C1-A6E668990F1F}" keepAlive="1" name="Requête - Transformer le fichier (12)" description="Connexion à la requête « Transformer le fichier (12) » dans le classeur." type="5" refreshedVersion="0" background="1">
    <dbPr connection="Provider=Microsoft.Mashup.OleDb.1;Data Source=$Workbook$;Location=&quot;Transformer le fichier (12)&quot;;Extended Properties=&quot;&quot;" command="SELECT * FROM [Transformer le fichier (12)]"/>
  </connection>
  <connection id="56" xr16:uid="{999BA282-54D3-4177-8B47-34BC49910795}" keepAlive="1" name="Requête - Transformer le fichier (13)" description="Connexion à la requête « Transformer le fichier (13) » dans le classeur." type="5" refreshedVersion="0" background="1">
    <dbPr connection="Provider=Microsoft.Mashup.OleDb.1;Data Source=$Workbook$;Location=&quot;Transformer le fichier (13)&quot;;Extended Properties=&quot;&quot;" command="SELECT * FROM [Transformer le fichier (13)]"/>
  </connection>
  <connection id="57" xr16:uid="{88D9CBB9-2226-4F47-BB4C-C6BF818EFAA4}" keepAlive="1" name="Requête - Transformer le fichier (14)" description="Connexion à la requête « Transformer le fichier (14) » dans le classeur." type="5" refreshedVersion="0" background="1">
    <dbPr connection="Provider=Microsoft.Mashup.OleDb.1;Data Source=$Workbook$;Location=&quot;Transformer le fichier (14)&quot;;Extended Properties=&quot;&quot;" command="SELECT * FROM [Transformer le fichier (14)]"/>
  </connection>
  <connection id="58" xr16:uid="{F5475A28-AB1C-46CB-AACB-A7EBD2DA4068}" keepAlive="1" name="Requête - Transformer le fichier (15)" description="Connexion à la requête « Transformer le fichier (15) » dans le classeur." type="5" refreshedVersion="0" background="1">
    <dbPr connection="Provider=Microsoft.Mashup.OleDb.1;Data Source=$Workbook$;Location=&quot;Transformer le fichier (15)&quot;;Extended Properties=&quot;&quot;" command="SELECT * FROM [Transformer le fichier (15)]"/>
  </connection>
  <connection id="59" xr16:uid="{2BA57E06-F49B-4E98-B724-7B455A65C8A5}" keepAlive="1" name="Requête - Transformer le fichier (16)" description="Connexion à la requête « Transformer le fichier (16) » dans le classeur." type="5" refreshedVersion="0" background="1">
    <dbPr connection="Provider=Microsoft.Mashup.OleDb.1;Data Source=$Workbook$;Location=&quot;Transformer le fichier (16)&quot;;Extended Properties=&quot;&quot;" command="SELECT * FROM [Transformer le fichier (16)]"/>
  </connection>
  <connection id="60" xr16:uid="{B541D194-FC4C-43F2-A76A-C7E8942D14A2}" keepAlive="1" name="Requête - Transformer le fichier (17)" description="Connexion à la requête « Transformer le fichier (17) » dans le classeur." type="5" refreshedVersion="0" background="1">
    <dbPr connection="Provider=Microsoft.Mashup.OleDb.1;Data Source=$Workbook$;Location=&quot;Transformer le fichier (17)&quot;;Extended Properties=&quot;&quot;" command="SELECT * FROM [Transformer le fichier (17)]"/>
  </connection>
  <connection id="61" xr16:uid="{4F53DCC4-FE6E-4936-92D4-F35CDEFB461F}" keepAlive="1" name="Requête - Transformer le fichier (2)" description="Connexion à la requête « Transformer le fichier (2) » dans le classeur." type="5" refreshedVersion="0" background="1">
    <dbPr connection="Provider=Microsoft.Mashup.OleDb.1;Data Source=$Workbook$;Location=&quot;Transformer le fichier (2)&quot;;Extended Properties=&quot;&quot;" command="SELECT * FROM [Transformer le fichier (2)]"/>
  </connection>
  <connection id="62" xr16:uid="{8DBD3A86-E615-41F8-A54E-804F18550244}" keepAlive="1" name="Requête - Transformer le fichier (3)" description="Connexion à la requête « Transformer le fichier (3) » dans le classeur." type="5" refreshedVersion="0" background="1">
    <dbPr connection="Provider=Microsoft.Mashup.OleDb.1;Data Source=$Workbook$;Location=&quot;Transformer le fichier (3)&quot;;Extended Properties=&quot;&quot;" command="SELECT * FROM [Transformer le fichier (3)]"/>
  </connection>
  <connection id="63" xr16:uid="{5B66245F-BBE2-4312-AEF6-C77125DA4C84}" keepAlive="1" name="Requête - Transformer le fichier (4)" description="Connexion à la requête « Transformer le fichier (4) » dans le classeur." type="5" refreshedVersion="0" background="1">
    <dbPr connection="Provider=Microsoft.Mashup.OleDb.1;Data Source=$Workbook$;Location=&quot;Transformer le fichier (4)&quot;;Extended Properties=&quot;&quot;" command="SELECT * FROM [Transformer le fichier (4)]"/>
  </connection>
  <connection id="64" xr16:uid="{CC158E7C-EFEA-41BF-85DD-DA21F01D1360}" keepAlive="1" name="Requête - Transformer le fichier (5)" description="Connexion à la requête « Transformer le fichier (5) » dans le classeur." type="5" refreshedVersion="0" background="1">
    <dbPr connection="Provider=Microsoft.Mashup.OleDb.1;Data Source=$Workbook$;Location=&quot;Transformer le fichier (5)&quot;;Extended Properties=&quot;&quot;" command="SELECT * FROM [Transformer le fichier (5)]"/>
  </connection>
  <connection id="65" xr16:uid="{062C83B3-9C3F-4AC6-AA58-51D0D38BB5DF}" keepAlive="1" name="Requête - Transformer le fichier (6)" description="Connexion à la requête « Transformer le fichier (6) » dans le classeur." type="5" refreshedVersion="0" background="1">
    <dbPr connection="Provider=Microsoft.Mashup.OleDb.1;Data Source=$Workbook$;Location=&quot;Transformer le fichier (6)&quot;;Extended Properties=&quot;&quot;" command="SELECT * FROM [Transformer le fichier (6)]"/>
  </connection>
  <connection id="66" xr16:uid="{A566D1FE-7DF8-48DE-BA04-3DB0C223F4DD}" keepAlive="1" name="Requête - Transformer le fichier (7)" description="Connexion à la requête « Transformer le fichier (7) » dans le classeur." type="5" refreshedVersion="0" background="1">
    <dbPr connection="Provider=Microsoft.Mashup.OleDb.1;Data Source=$Workbook$;Location=&quot;Transformer le fichier (7)&quot;;Extended Properties=&quot;&quot;" command="SELECT * FROM [Transformer le fichier (7)]"/>
  </connection>
  <connection id="67" xr16:uid="{785965C1-DE24-471D-8E39-D42E86AA6FD5}" keepAlive="1" name="Requête - Transformer le fichier (8)" description="Connexion à la requête « Transformer le fichier (8) » dans le classeur." type="5" refreshedVersion="0" background="1">
    <dbPr connection="Provider=Microsoft.Mashup.OleDb.1;Data Source=$Workbook$;Location=&quot;Transformer le fichier (8)&quot;;Extended Properties=&quot;&quot;" command="SELECT * FROM [Transformer le fichier (8)]"/>
  </connection>
  <connection id="68" xr16:uid="{ADC67010-0D34-4FC2-8143-B22279478445}" keepAlive="1" name="Requête - Transformer le fichier (9)" description="Connexion à la requête « Transformer le fichier (9) » dans le classeur." type="5" refreshedVersion="0" background="1">
    <dbPr connection="Provider=Microsoft.Mashup.OleDb.1;Data Source=$Workbook$;Location=&quot;Transformer le fichier (9)&quot;;Extended Properties=&quot;&quot;" command="SELECT * FROM [Transformer le fichier (9)]"/>
  </connection>
  <connection id="69" xr16:uid="{A89DC7BF-0CCF-4812-BA9D-AFB926573C64}" keepAlive="1" name="Requête - Transformer l'exemple de fichier" description="Connexion à la requête « Transformer l'exemple de fichier » dans le classeur." type="5" refreshedVersion="0" background="1">
    <dbPr connection="Provider=Microsoft.Mashup.OleDb.1;Data Source=$Workbook$;Location=&quot;Transformer l'exemple de fichier&quot;;Extended Properties=&quot;&quot;" command="SELECT * FROM [Transformer l'exemple de fichier]"/>
  </connection>
  <connection id="70" xr16:uid="{DE47756A-84D8-4A2A-8CCF-C3D53E2CD791}" keepAlive="1" name="Requête - Transformer l'exemple de fichier (10)" description="Connexion à la requête « Transformer l'exemple de fichier (10) » dans le classeur." type="5" refreshedVersion="0" background="1">
    <dbPr connection="Provider=Microsoft.Mashup.OleDb.1;Data Source=$Workbook$;Location=&quot;Transformer l'exemple de fichier (10)&quot;;Extended Properties=&quot;&quot;" command="SELECT * FROM [Transformer l'exemple de fichier (10)]"/>
  </connection>
  <connection id="71" xr16:uid="{4B2574D2-123F-4D8C-A034-A4946921FD4F}" keepAlive="1" name="Requête - Transformer l'exemple de fichier (11)" description="Connexion à la requête « Transformer l'exemple de fichier (11) » dans le classeur." type="5" refreshedVersion="0" background="1">
    <dbPr connection="Provider=Microsoft.Mashup.OleDb.1;Data Source=$Workbook$;Location=&quot;Transformer l'exemple de fichier (11)&quot;;Extended Properties=&quot;&quot;" command="SELECT * FROM [Transformer l'exemple de fichier (11)]"/>
  </connection>
  <connection id="72" xr16:uid="{0AC81E24-7539-4F4A-83DC-F8B33DFA240E}" keepAlive="1" name="Requête - Transformer l'exemple de fichier (12)" description="Connexion à la requête « Transformer l'exemple de fichier (12) » dans le classeur." type="5" refreshedVersion="0" background="1">
    <dbPr connection="Provider=Microsoft.Mashup.OleDb.1;Data Source=$Workbook$;Location=&quot;Transformer l'exemple de fichier (12)&quot;;Extended Properties=&quot;&quot;" command="SELECT * FROM [Transformer l'exemple de fichier (12)]"/>
  </connection>
  <connection id="73" xr16:uid="{CD677F77-CAF2-46B2-B209-45E0EA61C20B}" keepAlive="1" name="Requête - Transformer l'exemple de fichier (13)" description="Connexion à la requête « Transformer l'exemple de fichier (13) » dans le classeur." type="5" refreshedVersion="0" background="1">
    <dbPr connection="Provider=Microsoft.Mashup.OleDb.1;Data Source=$Workbook$;Location=&quot;Transformer l'exemple de fichier (13)&quot;;Extended Properties=&quot;&quot;" command="SELECT * FROM [Transformer l'exemple de fichier (13)]"/>
  </connection>
  <connection id="74" xr16:uid="{B8845ABB-EE4F-4328-A704-C8D884F96CB7}" keepAlive="1" name="Requête - Transformer l'exemple de fichier (14)" description="Connexion à la requête « Transformer l'exemple de fichier (14) » dans le classeur." type="5" refreshedVersion="0" background="1">
    <dbPr connection="Provider=Microsoft.Mashup.OleDb.1;Data Source=$Workbook$;Location=&quot;Transformer l'exemple de fichier (14)&quot;;Extended Properties=&quot;&quot;" command="SELECT * FROM [Transformer l'exemple de fichier (14)]"/>
  </connection>
  <connection id="75" xr16:uid="{83C4E12A-5DB2-4FBC-9A3D-10F21D0D524A}" keepAlive="1" name="Requête - Transformer l'exemple de fichier (15)" description="Connexion à la requête « Transformer l'exemple de fichier (15) » dans le classeur." type="5" refreshedVersion="0" background="1">
    <dbPr connection="Provider=Microsoft.Mashup.OleDb.1;Data Source=$Workbook$;Location=&quot;Transformer l'exemple de fichier (15)&quot;;Extended Properties=&quot;&quot;" command="SELECT * FROM [Transformer l'exemple de fichier (15)]"/>
  </connection>
  <connection id="76" xr16:uid="{30C0D309-5D3C-4C31-8282-BA2775EDC52E}" keepAlive="1" name="Requête - Transformer l'exemple de fichier (16)" description="Connexion à la requête « Transformer l'exemple de fichier (16) » dans le classeur." type="5" refreshedVersion="0" background="1">
    <dbPr connection="Provider=Microsoft.Mashup.OleDb.1;Data Source=$Workbook$;Location=&quot;Transformer l'exemple de fichier (16)&quot;;Extended Properties=&quot;&quot;" command="SELECT * FROM [Transformer l'exemple de fichier (16)]"/>
  </connection>
  <connection id="77" xr16:uid="{5B77AAE8-195C-4047-B62D-3491E30F5058}" keepAlive="1" name="Requête - Transformer l'exemple de fichier (2)" description="Connexion à la requête « Transformer l'exemple de fichier (2) » dans le classeur." type="5" refreshedVersion="0" background="1">
    <dbPr connection="Provider=Microsoft.Mashup.OleDb.1;Data Source=$Workbook$;Location=&quot;Transformer l'exemple de fichier (2)&quot;;Extended Properties=&quot;&quot;" command="SELECT * FROM [Transformer l'exemple de fichier (2)]"/>
  </connection>
  <connection id="78" xr16:uid="{3F3E18D9-A049-469C-BF1A-60FE532D52BF}" keepAlive="1" name="Requête - Transformer l'exemple de fichier (3)" description="Connexion à la requête « Transformer l'exemple de fichier (3) » dans le classeur." type="5" refreshedVersion="0" background="1">
    <dbPr connection="Provider=Microsoft.Mashup.OleDb.1;Data Source=$Workbook$;Location=&quot;Transformer l'exemple de fichier (3)&quot;;Extended Properties=&quot;&quot;" command="SELECT * FROM [Transformer l'exemple de fichier (3)]"/>
  </connection>
  <connection id="79" xr16:uid="{8B010E4D-8058-4715-80F5-A342EC4FAF7E}" keepAlive="1" name="Requête - Transformer l'exemple de fichier (4)" description="Connexion à la requête « Transformer l'exemple de fichier (4) » dans le classeur." type="5" refreshedVersion="0" background="1">
    <dbPr connection="Provider=Microsoft.Mashup.OleDb.1;Data Source=$Workbook$;Location=&quot;Transformer l'exemple de fichier (4)&quot;;Extended Properties=&quot;&quot;" command="SELECT * FROM [Transformer l'exemple de fichier (4)]"/>
  </connection>
  <connection id="80" xr16:uid="{CFA1570C-5C97-402C-A42E-5F2D63E8114C}" keepAlive="1" name="Requête - Transformer l'exemple de fichier (5)" description="Connexion à la requête « Transformer l'exemple de fichier (5) » dans le classeur." type="5" refreshedVersion="0" background="1">
    <dbPr connection="Provider=Microsoft.Mashup.OleDb.1;Data Source=$Workbook$;Location=&quot;Transformer l'exemple de fichier (5)&quot;;Extended Properties=&quot;&quot;" command="SELECT * FROM [Transformer l'exemple de fichier (5)]"/>
  </connection>
  <connection id="81" xr16:uid="{03894E7D-6468-44B9-BF56-336F24CE37BC}" keepAlive="1" name="Requête - Transformer l'exemple de fichier (6)" description="Connexion à la requête « Transformer l'exemple de fichier (6) » dans le classeur." type="5" refreshedVersion="0" background="1">
    <dbPr connection="Provider=Microsoft.Mashup.OleDb.1;Data Source=$Workbook$;Location=&quot;Transformer l'exemple de fichier (6)&quot;;Extended Properties=&quot;&quot;" command="SELECT * FROM [Transformer l'exemple de fichier (6)]"/>
  </connection>
  <connection id="82" xr16:uid="{6C6537F0-AF8B-4231-A4EB-4F4066978B27}" keepAlive="1" name="Requête - Transformer l'exemple de fichier (7)" description="Connexion à la requête « Transformer l'exemple de fichier (7) » dans le classeur." type="5" refreshedVersion="0" background="1">
    <dbPr connection="Provider=Microsoft.Mashup.OleDb.1;Data Source=$Workbook$;Location=&quot;Transformer l'exemple de fichier (7)&quot;;Extended Properties=&quot;&quot;" command="SELECT * FROM [Transformer l'exemple de fichier (7)]"/>
  </connection>
  <connection id="83" xr16:uid="{BF1399F6-D1F1-48F8-B4C4-1A3A09123D6A}" keepAlive="1" name="Requête - Transformer l'exemple de fichier (8)" description="Connexion à la requête « Transformer l'exemple de fichier (8) » dans le classeur." type="5" refreshedVersion="0" background="1">
    <dbPr connection="Provider=Microsoft.Mashup.OleDb.1;Data Source=$Workbook$;Location=&quot;Transformer l'exemple de fichier (8)&quot;;Extended Properties=&quot;&quot;" command="SELECT * FROM [Transformer l'exemple de fichier (8)]"/>
  </connection>
  <connection id="84" xr16:uid="{631B0795-C12C-4701-80E9-B59E9BE116DB}" keepAlive="1" name="Requête - Transformer l'exemple de fichier (9)" description="Connexion à la requête « Transformer l'exemple de fichier (9) » dans le classeur." type="5" refreshedVersion="0" background="1">
    <dbPr connection="Provider=Microsoft.Mashup.OleDb.1;Data Source=$Workbook$;Location=&quot;Transformer l'exemple de fichier (9)&quot;;Extended Properties=&quot;&quot;" command="SELECT * FROM [Transformer l'exemple de fichier (9)]"/>
  </connection>
  <connection id="85" xr16:uid="{C4BF3AE6-EEF0-4730-B921-BB76004CD499}" keepAlive="1" name="ThisWorkbookDataModel" description="Modèle de donnée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<sst xmlns="http://schemas.openxmlformats.org/spreadsheetml/2006/main" count="28743" uniqueCount="1619">
  <si>
    <t>Partner</t>
  </si>
  <si>
    <t>Année</t>
  </si>
  <si>
    <t>Mois</t>
  </si>
  <si>
    <t>Product (make your choice in the list)</t>
  </si>
  <si>
    <t xml:space="preserve">New Product </t>
  </si>
  <si>
    <t>Customer (make your choice in the list)</t>
  </si>
  <si>
    <t xml:space="preserve">New Customer </t>
  </si>
  <si>
    <t xml:space="preserve">Sold Quantity </t>
  </si>
  <si>
    <t>Unit</t>
  </si>
  <si>
    <t>Destination (make your choice in the list)</t>
  </si>
  <si>
    <t>New destination</t>
  </si>
  <si>
    <t>InnoFaso</t>
  </si>
  <si>
    <t>Jan</t>
  </si>
  <si>
    <t>ENOV'NUTRIBUTTER®</t>
  </si>
  <si>
    <t>Centre De Développement Pour Enfant (Cde)</t>
  </si>
  <si>
    <t>Kg</t>
  </si>
  <si>
    <t>BURKINA FASO</t>
  </si>
  <si>
    <t>PLUMPY’NUT®</t>
  </si>
  <si>
    <t>Hopital Baptiste Biblique</t>
  </si>
  <si>
    <t>TOGO</t>
  </si>
  <si>
    <t>UNICEF Burkina Faso</t>
  </si>
  <si>
    <t>Feb</t>
  </si>
  <si>
    <t>WFP - HQ (International)</t>
  </si>
  <si>
    <t>NIGER</t>
  </si>
  <si>
    <t>PLUMPY'SUP™</t>
  </si>
  <si>
    <t>ICRC</t>
  </si>
  <si>
    <t>MALI</t>
  </si>
  <si>
    <t>Mar</t>
  </si>
  <si>
    <t>Apr</t>
  </si>
  <si>
    <t>MSF</t>
  </si>
  <si>
    <t>Orphan AID</t>
  </si>
  <si>
    <t>May</t>
  </si>
  <si>
    <t>CAMEG</t>
  </si>
  <si>
    <t>Jun</t>
  </si>
  <si>
    <t>Jul</t>
  </si>
  <si>
    <t>LAIT THÉRAPEUTIQUE F-75</t>
  </si>
  <si>
    <t>LAIT THÉRAPEUTIQUE F-100</t>
  </si>
  <si>
    <t>RESOMAL 84 G</t>
  </si>
  <si>
    <t>Aug</t>
  </si>
  <si>
    <t>ENOV'MUM™</t>
  </si>
  <si>
    <t>Action contre la Faim - FR</t>
  </si>
  <si>
    <t>CMCPP Persis</t>
  </si>
  <si>
    <t>Univers Bio Medical</t>
  </si>
  <si>
    <t>Sept</t>
  </si>
  <si>
    <t>Save the Children</t>
  </si>
  <si>
    <t>Oct</t>
  </si>
  <si>
    <t>WFP Burkina Faso</t>
  </si>
  <si>
    <t>Nov</t>
  </si>
  <si>
    <t>Ubipharm</t>
  </si>
  <si>
    <t>Dec</t>
  </si>
  <si>
    <t>Shattering Darkness</t>
  </si>
  <si>
    <t>Unknown</t>
  </si>
  <si>
    <t>UNICEF - HQ ( International)</t>
  </si>
  <si>
    <t>Medecins Du Monde</t>
  </si>
  <si>
    <t>Distribution MKS</t>
  </si>
  <si>
    <t>ENOV'NUTRIBUTTER+®</t>
  </si>
  <si>
    <t>Maya Medical</t>
  </si>
  <si>
    <t>Terre des hommes</t>
  </si>
  <si>
    <t>MAURITANIA</t>
  </si>
  <si>
    <t>Centre de développement pour enfant (CDE)</t>
  </si>
  <si>
    <t>kg</t>
  </si>
  <si>
    <t>Raw material / packaging (make your choice in the list)</t>
  </si>
  <si>
    <t>New Raw material /Packaging (Only if the product is not in the list)</t>
  </si>
  <si>
    <t>Supplier  (make your choice in the list)</t>
  </si>
  <si>
    <t>New supplier</t>
  </si>
  <si>
    <t>Country of origin of the raw material / Packaging (make your choice in the list)</t>
  </si>
  <si>
    <t>New country of origin</t>
  </si>
  <si>
    <t>Quantity</t>
  </si>
  <si>
    <t>Purchase type (make your choice in the list)</t>
  </si>
  <si>
    <t>ROASTED PEANUT</t>
  </si>
  <si>
    <t>Niza</t>
  </si>
  <si>
    <t>FRANCE</t>
  </si>
  <si>
    <t xml:space="preserve">Imported raw material </t>
  </si>
  <si>
    <t>International</t>
  </si>
  <si>
    <t>MILK POWDER</t>
  </si>
  <si>
    <t>Nutriset - Lactalis</t>
  </si>
  <si>
    <t>NATA 5</t>
  </si>
  <si>
    <t>Nutriset Sas</t>
  </si>
  <si>
    <t>WHEY</t>
  </si>
  <si>
    <t>PREMIX PSUP/ DOZ</t>
  </si>
  <si>
    <t>STA</t>
  </si>
  <si>
    <t>RAPESEED OIL</t>
  </si>
  <si>
    <t>GERMANY</t>
  </si>
  <si>
    <t>PREMIX PNUT</t>
  </si>
  <si>
    <t>POLAND</t>
  </si>
  <si>
    <t>SACHET FILM PNUT</t>
  </si>
  <si>
    <t>Simpa Solutions</t>
  </si>
  <si>
    <t>IVORY COAST</t>
  </si>
  <si>
    <t>m²</t>
  </si>
  <si>
    <t>PE bags</t>
  </si>
  <si>
    <t>SACHET FILM PSUP</t>
  </si>
  <si>
    <t xml:space="preserve">Bought and produced locally </t>
  </si>
  <si>
    <t>SUGAR</t>
  </si>
  <si>
    <t>Sn Sosuco</t>
  </si>
  <si>
    <t>Genedis</t>
  </si>
  <si>
    <t>Ets Nana Boureima</t>
  </si>
  <si>
    <t>Fasoplast</t>
  </si>
  <si>
    <t>ADHESIVE TAPE</t>
  </si>
  <si>
    <t>E.S.F</t>
  </si>
  <si>
    <t>ARGENTINA</t>
  </si>
  <si>
    <t>JL SA</t>
  </si>
  <si>
    <t>Green Snacks</t>
  </si>
  <si>
    <t>PALM OIL</t>
  </si>
  <si>
    <t>TBI</t>
  </si>
  <si>
    <t>MALAYSIA</t>
  </si>
  <si>
    <t>CARTON PNUT</t>
  </si>
  <si>
    <t>Sonapack</t>
  </si>
  <si>
    <t>GHANA</t>
  </si>
  <si>
    <t>CARTON PSUP</t>
  </si>
  <si>
    <t>SOYA FLOUR</t>
  </si>
  <si>
    <t>SERBIA</t>
  </si>
  <si>
    <t>Fleximat</t>
  </si>
  <si>
    <t>MOROCCO</t>
  </si>
  <si>
    <t>Belgomilk/ Milcobel</t>
  </si>
  <si>
    <t>BELGIUM</t>
  </si>
  <si>
    <t>ITALY</t>
  </si>
  <si>
    <t>Imported raw material</t>
  </si>
  <si>
    <t>NUTRI K</t>
  </si>
  <si>
    <t>ENB</t>
  </si>
  <si>
    <t>Bought and produced locally</t>
  </si>
  <si>
    <t>AGD Niza</t>
  </si>
  <si>
    <t>Sub-regional</t>
  </si>
  <si>
    <t>NATA 6</t>
  </si>
  <si>
    <t>Nutriset - SIO</t>
  </si>
  <si>
    <t>Local</t>
  </si>
  <si>
    <t>Finished product (make your choice in the list)</t>
  </si>
  <si>
    <t>New Finished product (Only if the product is not in the list)</t>
  </si>
  <si>
    <t>Finished Product producer</t>
  </si>
  <si>
    <t>New Producer  (Only if the product is not in the list)</t>
  </si>
  <si>
    <t>Name of the production room (make your choice in the list)</t>
  </si>
  <si>
    <t>Product Name (make your choice in the list)</t>
  </si>
  <si>
    <t>New Finished product</t>
  </si>
  <si>
    <t>Quantity produced in the month (kg)</t>
  </si>
  <si>
    <t>Blend quantity in month (kg)</t>
  </si>
  <si>
    <t>Average number of hours per shift</t>
  </si>
  <si>
    <t>Number of shifts in the month</t>
  </si>
  <si>
    <t>Loss Rate</t>
  </si>
  <si>
    <t>Room 1</t>
  </si>
  <si>
    <t>Name of the production room</t>
  </si>
  <si>
    <t>Shutdown Type</t>
  </si>
  <si>
    <t>New shutdown reason</t>
  </si>
  <si>
    <t>Days of shutdown</t>
  </si>
  <si>
    <t>Comments (free field)</t>
  </si>
  <si>
    <t>All</t>
  </si>
  <si>
    <t>Technical machine problem</t>
  </si>
  <si>
    <t>Refection armoire électrique générale de l'usine</t>
  </si>
  <si>
    <t>Thermorégulateur en panne - Pret d'un microcontrolleur de température chez STA</t>
  </si>
  <si>
    <t>Cleaning</t>
  </si>
  <si>
    <t>Grand nettoyage salle poudre et désinfection</t>
  </si>
  <si>
    <t>Raw material shortage</t>
  </si>
  <si>
    <t>Maintenance préventive de la Pompe Chaudière ( thermorégulateur)</t>
  </si>
  <si>
    <t>Maintenance Spare parts shortage</t>
  </si>
  <si>
    <t>Nettoyage profond de l'usine, Maintenance préventive de la CTA et désinfection</t>
  </si>
  <si>
    <t>Rupture matières prmières Farine de Soja et Prémix Pnut</t>
  </si>
  <si>
    <t xml:space="preserve">Panne de la pompe SPX </t>
  </si>
  <si>
    <t>Nettoyage après congés annuels</t>
  </si>
  <si>
    <t>Factory works</t>
  </si>
  <si>
    <t>Maintenance préventive annuelle</t>
  </si>
  <si>
    <t>External environment problem</t>
  </si>
  <si>
    <t>Team building</t>
  </si>
  <si>
    <t>Maintenance préventive annuelle des équipements</t>
  </si>
  <si>
    <t>Manque d'huile de palme</t>
  </si>
  <si>
    <t>Court Circuit / feu câbles de commande armoire électrique thermisation</t>
  </si>
  <si>
    <t>Nettoyage profond changement de produit</t>
  </si>
  <si>
    <t>Moteur thermoregulateur en panne - Réglé</t>
  </si>
  <si>
    <t>RUPTURE DU SUCRE SUR TOUTE L'ETENDUE DU TERRITOIRE</t>
  </si>
  <si>
    <t>Essais enproduction de grandi bien enfant</t>
  </si>
  <si>
    <t>Sortie Team Building avec le personnel</t>
  </si>
  <si>
    <t>Nettoyage en début d'année pour reprise de production</t>
  </si>
  <si>
    <t>Tensions politiques (Coup d'état)</t>
  </si>
  <si>
    <t>Rupture huile de palme et travaux usine</t>
  </si>
  <si>
    <t>Rupture Huile de palme - Anticipation des travaux d'usine</t>
  </si>
  <si>
    <t>Maintenance préventive annuelle et augmentation de capacité</t>
  </si>
  <si>
    <t>maintenance préventive annuelle et augmentation de capacité</t>
  </si>
  <si>
    <t>Pompe SPX prémélange défaillante</t>
  </si>
  <si>
    <t>Equipment</t>
  </si>
  <si>
    <t xml:space="preserve">New Equipment </t>
  </si>
  <si>
    <t>Maintenance Type</t>
  </si>
  <si>
    <t>Number of hours</t>
  </si>
  <si>
    <t>Description (free field)</t>
  </si>
  <si>
    <t>Others equipments</t>
  </si>
  <si>
    <t>Preventive</t>
  </si>
  <si>
    <t>CTA et groupe froid; maintenance hebdo</t>
  </si>
  <si>
    <t>dust collector; maintenance hebdo</t>
  </si>
  <si>
    <t>Air compressor</t>
  </si>
  <si>
    <t>maintenance hebdo</t>
  </si>
  <si>
    <t>aerorefroidisseur; maintenance hebdo</t>
  </si>
  <si>
    <t>sécheur frigorifique; maintenance hebdo</t>
  </si>
  <si>
    <t>Packing machine</t>
  </si>
  <si>
    <t>L1/L2:maintenance hebdo</t>
  </si>
  <si>
    <t>cuve peson; controle hebdo</t>
  </si>
  <si>
    <t>Filling machine</t>
  </si>
  <si>
    <t>DPM1/DPM2: maintenance hebdo</t>
  </si>
  <si>
    <t>Sachet Printer - Carton Printer</t>
  </si>
  <si>
    <t>L1/L2:nettoyage et réglage</t>
  </si>
  <si>
    <t>extracteur d'air: maintenance mensuelle</t>
  </si>
  <si>
    <t>lampe UV; maintenance mensuelle</t>
  </si>
  <si>
    <t>Mixer</t>
  </si>
  <si>
    <t>appoint d'eau circuit de chauffe</t>
  </si>
  <si>
    <t>Premixing heat treatment</t>
  </si>
  <si>
    <t>Conveyor</t>
  </si>
  <si>
    <t>maintenance mensuelle</t>
  </si>
  <si>
    <t>controle temps de mélange</t>
  </si>
  <si>
    <t>Grinder - Vibroreactor</t>
  </si>
  <si>
    <t>B1/B2/B3: maintenance mensuelle.</t>
  </si>
  <si>
    <t>B2: remplacement de joint</t>
  </si>
  <si>
    <t>L2:remplacement de boisseau et joint int-ext</t>
  </si>
  <si>
    <t>L2: serrege coupe goute</t>
  </si>
  <si>
    <t>Corrective</t>
  </si>
  <si>
    <t>L2:reglage de la course du piston</t>
  </si>
  <si>
    <t>repositionnement de joint pour fuite</t>
  </si>
  <si>
    <t>DPM2:réparation de moto-reducteur grippé</t>
  </si>
  <si>
    <t>L1/L2: réglage pour fuite produit</t>
  </si>
  <si>
    <t>L2:remplacement de capteur inductif kinétrole</t>
  </si>
  <si>
    <t>CTA et groupe froid. maintenance hebdomadaire</t>
  </si>
  <si>
    <t>dust collector.maintenance hebdomadaire</t>
  </si>
  <si>
    <t>maintenance hebdomadaire</t>
  </si>
  <si>
    <t>aerorefroidisseur.maintenance hebdomadaire</t>
  </si>
  <si>
    <t>sécheur frigorifique.maintenance hebdomadaire</t>
  </si>
  <si>
    <t>L1/L2:maintenance hebdomadaire</t>
  </si>
  <si>
    <t>L1/L2: maintenance hebdomadaire</t>
  </si>
  <si>
    <t>DPM1/DPM2.maintenance hebdomadaire</t>
  </si>
  <si>
    <t>maintenance mensuelle.</t>
  </si>
  <si>
    <t>insectocuter. maintenance mensuelle</t>
  </si>
  <si>
    <t>extracteurs: maintenance mensuelle</t>
  </si>
  <si>
    <t>filtre produit fini: demontage et néttoyage pour arret prod</t>
  </si>
  <si>
    <t>B1/B2/B3: demontage et néttoyage pour arret prod</t>
  </si>
  <si>
    <t>L1/L2:demontage et néttoyage pour arret prod</t>
  </si>
  <si>
    <t>echangeur:demontage et néttoyage pour arret prod</t>
  </si>
  <si>
    <t>demontage ouvertures cuves pour nettoyage</t>
  </si>
  <si>
    <t>dust collector:demontage et néttoyage pour arret prod</t>
  </si>
  <si>
    <t>montage équipements nouvelles spécification et éssais.</t>
  </si>
  <si>
    <t>CTA et groupe froid. maintenance hebdo.</t>
  </si>
  <si>
    <t>dust collector.maintenance hebdo.</t>
  </si>
  <si>
    <t>maintenance hebdo.</t>
  </si>
  <si>
    <t>aerorefroidisseur.maintenance hebdo.</t>
  </si>
  <si>
    <t>secheur frigorifique.maintenance hebdo.</t>
  </si>
  <si>
    <t>L1/L2.maintenance hebdo.</t>
  </si>
  <si>
    <t>cuve peson. controle hebdomadaire.</t>
  </si>
  <si>
    <t>DPM1/DPM2. controle hebdo.</t>
  </si>
  <si>
    <t>L1/L2</t>
  </si>
  <si>
    <t>B1/B2/B3. maintenance mensuelle.</t>
  </si>
  <si>
    <t>maintenance extracteur d'air</t>
  </si>
  <si>
    <t>maintenance lampe uv</t>
  </si>
  <si>
    <t>maintenance trimestrielle</t>
  </si>
  <si>
    <t>L1. replacement de joint.</t>
  </si>
  <si>
    <t>pompe spx et NEP. controle trimestrielle</t>
  </si>
  <si>
    <t>pompe spx melange poudre. controle trimestriel.</t>
  </si>
  <si>
    <t>graissage palier optinut. trimestriel.</t>
  </si>
  <si>
    <t>L1/L2.graissage</t>
  </si>
  <si>
    <t>filtre PF.maintenance trimestrielle</t>
  </si>
  <si>
    <t>controle trimestriel des resistance de chauffe.</t>
  </si>
  <si>
    <t>controle trimestriel des resistance chauffante.</t>
  </si>
  <si>
    <t>L1/L2. montahe des kits spot et paramétrage.</t>
  </si>
  <si>
    <t>L2. maintenance generale</t>
  </si>
  <si>
    <t>L3. maintenance générale</t>
  </si>
  <si>
    <t>remplacement de joint de vanne electropneumatique</t>
  </si>
  <si>
    <t>échangeur.débouchage.</t>
  </si>
  <si>
    <t>L1/L2.reglage courroie,machoire,spot et coupe sachet.</t>
  </si>
  <si>
    <t>Main electrical panel</t>
  </si>
  <si>
    <t xml:space="preserve">controle trimestriel </t>
  </si>
  <si>
    <t>controle trimestriel</t>
  </si>
  <si>
    <t>D1. remplacement joints</t>
  </si>
  <si>
    <t>Onduleur. Remplacement batteries</t>
  </si>
  <si>
    <t>thermorégulateur. appoint huile de chauffe</t>
  </si>
  <si>
    <t>imprimante carton. remplacement d'encre et réglage</t>
  </si>
  <si>
    <t>SPX. pompe bloquée. démontage et réparation</t>
  </si>
  <si>
    <t>SPX MP.bouchon. démontage et réparation</t>
  </si>
  <si>
    <t>bouchon echangeur.</t>
  </si>
  <si>
    <t>L2. réglage spot.</t>
  </si>
  <si>
    <t>thermorégulateur. remplacement afficheur et pararmétrage.</t>
  </si>
  <si>
    <t>L2. remplacement vérin lame.</t>
  </si>
  <si>
    <t>L2. remplacement distributeur de verin et vis de chaine.</t>
  </si>
  <si>
    <t>CTA et groupe froid. maintenance hebdo</t>
  </si>
  <si>
    <t>suivi grille aimantée</t>
  </si>
  <si>
    <t>pompe spx. maintenance gle annuel et réglage debit</t>
  </si>
  <si>
    <t>filtre produit fini. maintenance pour changement produit</t>
  </si>
  <si>
    <t>maintenance pour changement produit</t>
  </si>
  <si>
    <t>pompe spx melange. maintenance gle annuelle.</t>
  </si>
  <si>
    <t>spx mélange poudre. réparation pour blocage axe</t>
  </si>
  <si>
    <t>L1. réglage du spot.</t>
  </si>
  <si>
    <t xml:space="preserve">L1/L2. Réglage machoires et courroies pour fuite </t>
  </si>
  <si>
    <t>L1.Dépannage pour court-circuit résistance machoire</t>
  </si>
  <si>
    <t>cuve peson. contrôle hebdomadaire.</t>
  </si>
  <si>
    <t>DPM1/DPM2. contrôle hebdo.</t>
  </si>
  <si>
    <t>CTA torréfacteur. maintenance hebdomadaire</t>
  </si>
  <si>
    <t>L1:maintenance générale.</t>
  </si>
  <si>
    <t>SPX MP: réparation caramélisation.</t>
  </si>
  <si>
    <t>L2: maintenance générale</t>
  </si>
  <si>
    <t>L1:maintenance corrective, spot, courroies, soudure.</t>
  </si>
  <si>
    <t>L2: maintenance corrective, spot, courroies, soudure.</t>
  </si>
  <si>
    <t>table vibrante torréfacteur</t>
  </si>
  <si>
    <t>trieuse torréfacteur</t>
  </si>
  <si>
    <t>convoyeurs torréfacteur 1.2</t>
  </si>
  <si>
    <t>four torréfacteur</t>
  </si>
  <si>
    <t>dépélliculeuse torréfacteur</t>
  </si>
  <si>
    <t>cyclone torréfacteur</t>
  </si>
  <si>
    <t>L2:remplacement vanne produit et réparation fuite d'eau de chauffe</t>
  </si>
  <si>
    <t>controle mensuelle des sondes et capteurs</t>
  </si>
  <si>
    <t>L2:défaut de pression d'encre. reparation</t>
  </si>
  <si>
    <t>L2:défaut de réglage de goutte. réparation</t>
  </si>
  <si>
    <t>armoire de commande. arret plc</t>
  </si>
  <si>
    <t>L2 remplacement de joints piston</t>
  </si>
  <si>
    <t>L1:reglage courroie,machoire,spot...</t>
  </si>
  <si>
    <t>presse sachet: réparation</t>
  </si>
  <si>
    <t>convoyeur HL1: reparation réducteur</t>
  </si>
  <si>
    <t xml:space="preserve"> CTA. maintenance générale</t>
  </si>
  <si>
    <t xml:space="preserve">dust collector. maintenance générale </t>
  </si>
  <si>
    <t>L1/L2. demontage et néttoyage pour arret</t>
  </si>
  <si>
    <t>B1/B2/B3 :démontage et nettoyage pour arrêt.</t>
  </si>
  <si>
    <t xml:space="preserve">L1:maintenance fuite </t>
  </si>
  <si>
    <t xml:space="preserve">L2:maintenance fuite </t>
  </si>
  <si>
    <t>L2:remplacement joints boisseau</t>
  </si>
  <si>
    <t>B3:maintenance pour caramélisation</t>
  </si>
  <si>
    <t>pompe SPX: maintenance pour caramélisation</t>
  </si>
  <si>
    <t>L1: remplacement vérin kinétrol</t>
  </si>
  <si>
    <t>bruleur torréfacteur. maintenance pour baisse de température</t>
  </si>
  <si>
    <t>Pre-mixing hopper</t>
  </si>
  <si>
    <t>contrôle mensuelle des sondes et capteurs</t>
  </si>
  <si>
    <t>remplacement de lampe led</t>
  </si>
  <si>
    <t>cuve tampon. remplacement capteur ultrason</t>
  </si>
  <si>
    <t>L2. réglage d'impression</t>
  </si>
  <si>
    <t>reglage diverse. courroie,machoire,spot...</t>
  </si>
  <si>
    <t>réglage diverse.  courroie, mâchoires, spot...</t>
  </si>
  <si>
    <t>Nitrogen generator - Filter</t>
  </si>
  <si>
    <t>maintenance générale et installation L3</t>
  </si>
  <si>
    <t>réglage fuite L1</t>
  </si>
  <si>
    <t>réglage fuite L2</t>
  </si>
  <si>
    <t>bouchon broyeur 3</t>
  </si>
  <si>
    <t>maintenance générale annuelle et installation L3</t>
  </si>
  <si>
    <t>CTA usine et torréfacteur. maintenance hebdo.</t>
  </si>
  <si>
    <t>compresseur 1et 2.maintenance hebdo.</t>
  </si>
  <si>
    <t>aerorefroisisseur.maintenance hebdo.</t>
  </si>
  <si>
    <t>sécheur 1 et 2.maintenance hebdo.</t>
  </si>
  <si>
    <t>L1/L2/L3.maintenance hebdo.</t>
  </si>
  <si>
    <t>Four torréfacteur. réparation du bruleur.</t>
  </si>
  <si>
    <t>B3: caramélisation. démontage et réparation</t>
  </si>
  <si>
    <t>B1:bouchon</t>
  </si>
  <si>
    <t>réglage fuite</t>
  </si>
  <si>
    <t>Dust collector</t>
  </si>
  <si>
    <t>échangeur de chaleur. nettoyage de démarrage</t>
  </si>
  <si>
    <t>ensacheuse L1et L2. maintenance hebdomadaire</t>
  </si>
  <si>
    <t>Contrôle cuve peson</t>
  </si>
  <si>
    <t>vase d'eau. remplissage</t>
  </si>
  <si>
    <t>Nettoyage tuyauterie</t>
  </si>
  <si>
    <t>Maintenance aerorefroidisseur</t>
  </si>
  <si>
    <t>B3.changement de manchon de guidage et joints.</t>
  </si>
  <si>
    <t>Maintenance hebdomadaire</t>
  </si>
  <si>
    <t>Cv1. Changement de moteur</t>
  </si>
  <si>
    <t>L1. Réparation et changement capteur kinetrol</t>
  </si>
  <si>
    <t>Réparation spx et debit</t>
  </si>
  <si>
    <t>L1.remplacement de résistance verticale et tuyaux d'air</t>
  </si>
  <si>
    <t>optinut. EN;contrôle de temps de mélange et résistance de chauffe.</t>
  </si>
  <si>
    <t>EN; contrôle mensuel des broyeurs 1,2,3.</t>
  </si>
  <si>
    <t>contrôle et graissage mensuel des convoyeurs H et V.</t>
  </si>
  <si>
    <t>CTA: Maintenance hebdomadaire</t>
  </si>
  <si>
    <t>L1:remplacement joint boiseau+piston.</t>
  </si>
  <si>
    <t>L1 et L2: EN:controle hebdomadaire des DPM</t>
  </si>
  <si>
    <t>dust collector: maintenance hebdomadaire</t>
  </si>
  <si>
    <t>L1 et L2: maintenance preventive hebdo.</t>
  </si>
  <si>
    <t>nettoyage mensuel des extracteurs (07)</t>
  </si>
  <si>
    <t>L1: maintenance générale +changement de pompe d'aspiration</t>
  </si>
  <si>
    <t>insectocutter. remplacement de 03 et nettoyage mensuel.</t>
  </si>
  <si>
    <t>contrôle mensuel: temps de mélange et résistances de chauffe.</t>
  </si>
  <si>
    <t>EN: contrôle de stabilité balance peson</t>
  </si>
  <si>
    <t>pompe spx PF: remplacement de rulement</t>
  </si>
  <si>
    <t>sécheur frigorifique: maintenance hebdo</t>
  </si>
  <si>
    <t>appoint d'eau</t>
  </si>
  <si>
    <t>L1:remplacement de joint piston</t>
  </si>
  <si>
    <t>L1: reglage couuroie,machoires,changement fusible, et relais finder</t>
  </si>
  <si>
    <t>L2: panne sortie automate, réglage pour micro fuite.</t>
  </si>
  <si>
    <t>L2: nettoyage tete d'impression.</t>
  </si>
  <si>
    <t>pompe spx PF: changement de tresse</t>
  </si>
  <si>
    <t>secheur frigo:maintenance hebdo</t>
  </si>
  <si>
    <t>aérorefrigérateur: maintenance hebdo</t>
  </si>
  <si>
    <t>controle peson</t>
  </si>
  <si>
    <t>L1 et L2:maintenance hebdo</t>
  </si>
  <si>
    <t>dpm1 et DPM2: controle hebdo</t>
  </si>
  <si>
    <t>convoyeur V et H: maintenance mensuelle.</t>
  </si>
  <si>
    <t>extracteur d'air: Maintenance mensuelle</t>
  </si>
  <si>
    <t>lampe UV: maintenance mensuelle.</t>
  </si>
  <si>
    <t>contrôle mensuelle des broyeurs 1,2,3</t>
  </si>
  <si>
    <t>contrôle temps de mélange</t>
  </si>
  <si>
    <t>broyeur3: changement de joint</t>
  </si>
  <si>
    <t>debut de maintenance générale des equipements</t>
  </si>
  <si>
    <t>remplacement de câble inductif capteur vanne sortie melange</t>
  </si>
  <si>
    <t>L1: réglage de soudure horizontale</t>
  </si>
  <si>
    <t>L1:remplacement de lame</t>
  </si>
  <si>
    <t>défaut de communication balance peson</t>
  </si>
  <si>
    <t>L1: remplacement de vérin</t>
  </si>
  <si>
    <t>maintenance générale annuelle</t>
  </si>
  <si>
    <t>aerorefroidisseur et sécheur frigorique; maintenance gle.</t>
  </si>
  <si>
    <t>dust collector. maintenance gle.</t>
  </si>
  <si>
    <t>pompe mouvex:maintenance gle.</t>
  </si>
  <si>
    <t>Oil tank - Oil melting tank</t>
  </si>
  <si>
    <t>broyeur 1 et 2:maintenance gle.</t>
  </si>
  <si>
    <t>broyeur 3:maintenance gle.</t>
  </si>
  <si>
    <t>cuve additif:maintenance gle.</t>
  </si>
  <si>
    <t>thermorégulateur:maintenance gle.</t>
  </si>
  <si>
    <t>cuve tampon:maintenance gle.</t>
  </si>
  <si>
    <t>pompe spx:maintenance gle.</t>
  </si>
  <si>
    <t>optinut:maintenance gle.</t>
  </si>
  <si>
    <t>spx produit fini:maintenance gle.</t>
  </si>
  <si>
    <t>filtre produit fini:maintenance gle.</t>
  </si>
  <si>
    <t>doseuse 2:maintenance gle.</t>
  </si>
  <si>
    <t>electrovannes pneumatiques:maintenance gle.</t>
  </si>
  <si>
    <t>doseuse1:maintenance gle.</t>
  </si>
  <si>
    <t>ensacheuse 1:maintenance gle.</t>
  </si>
  <si>
    <t>ensacheuse 2:maintenance gle.</t>
  </si>
  <si>
    <t>verticales et horizontales:maintenance gle.</t>
  </si>
  <si>
    <t>imprimante 3: maintenance gle</t>
  </si>
  <si>
    <t>DPM et onduleur; maintenance gle</t>
  </si>
  <si>
    <t>imprimante 1; maintenance gle</t>
  </si>
  <si>
    <t>Carton sealer</t>
  </si>
  <si>
    <t>maintenance gle</t>
  </si>
  <si>
    <t>imprimante 2: maintenance gle</t>
  </si>
  <si>
    <t>démarrage des equipement et réglage</t>
  </si>
  <si>
    <t>sécheur frigo:maintenance hebdomadaire</t>
  </si>
  <si>
    <t>aérorefroidisseur:maintenance hebdomadaire</t>
  </si>
  <si>
    <t>DPM1/DPM2</t>
  </si>
  <si>
    <t>controle de temps de mélange</t>
  </si>
  <si>
    <t>contrôle mensuel des broyeurs 1/2/3 (couronnes)</t>
  </si>
  <si>
    <t>contrôle mensuel des lampe UV</t>
  </si>
  <si>
    <t>maintenance des extracteur d'air</t>
  </si>
  <si>
    <t>maintenance mensuel.</t>
  </si>
  <si>
    <t>remplacement de pompe d'eau</t>
  </si>
  <si>
    <t>L1:remplacement de verin lame</t>
  </si>
  <si>
    <t>travaux armoire gle</t>
  </si>
  <si>
    <t>pompe PF: réparation pompe grippée.</t>
  </si>
  <si>
    <t>L1: réglage des capteur kinétrole</t>
  </si>
  <si>
    <t>chaudière: remplacement de roulement du moteur</t>
  </si>
  <si>
    <t>armoire générale: remplacement de câble brûlés</t>
  </si>
  <si>
    <t>SPX PF:réparation pompe grippé.</t>
  </si>
  <si>
    <t>L2: réglage soudure et ouverture mâchoire</t>
  </si>
  <si>
    <t>réglage vérin kinétrole</t>
  </si>
  <si>
    <t>SPX : réparation pompe grippé</t>
  </si>
  <si>
    <t>CTA et groupe froid.maintenance hebdo</t>
  </si>
  <si>
    <t>dust collector. maintenance hebdo</t>
  </si>
  <si>
    <t>sécheur frogorifique. maintenance hebdo</t>
  </si>
  <si>
    <t>aérorefroidisseur. maintenance hebdo</t>
  </si>
  <si>
    <t>maintenance et controle mensuel</t>
  </si>
  <si>
    <t>DPM1 et DPM2: maintenance hebdo</t>
  </si>
  <si>
    <t>convoyeurs. maint. mensuelle.</t>
  </si>
  <si>
    <t>controle mensuel broyeur 1,2,3</t>
  </si>
  <si>
    <t>vase d'eau: appoint circuit de chauffe</t>
  </si>
  <si>
    <t>broyeur 2: changement de joints.</t>
  </si>
  <si>
    <t>imprimante carton. reconfiguration msg</t>
  </si>
  <si>
    <t>L2; remplacement de chappe</t>
  </si>
  <si>
    <t>chaudière. remplacement limiteur et config</t>
  </si>
  <si>
    <t>chaudière. suite config du limteur</t>
  </si>
  <si>
    <t>L1/L2 , problème de soudure machoire</t>
  </si>
  <si>
    <t>L1, changement de bague machoire horizontale.</t>
  </si>
  <si>
    <t>L1: changement de vis chaine.</t>
  </si>
  <si>
    <t>L1; changement de relais 5 broches.</t>
  </si>
  <si>
    <t>Broyeur3; caramélisation. néttoyage.</t>
  </si>
  <si>
    <t>sécheur frigo. maintenance hebdo</t>
  </si>
  <si>
    <t>aérorefroidisseur: maintenance hebdo</t>
  </si>
  <si>
    <t>L1 et L2: maintenance hebdo</t>
  </si>
  <si>
    <t>DPM1 et DPM2:maintenance hebdo</t>
  </si>
  <si>
    <t>controle cuve peson</t>
  </si>
  <si>
    <t>L1 et L2:maintenance mensuelle.</t>
  </si>
  <si>
    <t>controle temps de melange</t>
  </si>
  <si>
    <t>lampe uv:controle mensuel</t>
  </si>
  <si>
    <t>B1,B2,B3: contrôle mensuel</t>
  </si>
  <si>
    <t>remplacement pompe d'eau</t>
  </si>
  <si>
    <t>L1: remplacement de joint 50 et 76</t>
  </si>
  <si>
    <t>filtre PF: nettoyage pour changement produit</t>
  </si>
  <si>
    <t xml:space="preserve"> B1,B2,B3:nettoyage pour changement produit</t>
  </si>
  <si>
    <t>remplacement appareillage</t>
  </si>
  <si>
    <t>nettoyage echangeur</t>
  </si>
  <si>
    <t>L1 et L2: réglage courroie,mâchoire, lame..</t>
  </si>
  <si>
    <t>filtre PF: néttoyage pour bouchon</t>
  </si>
  <si>
    <t>B3 caramélisation. pose de tresse</t>
  </si>
  <si>
    <t>DPM1: réparation des bornier de connection HS</t>
  </si>
  <si>
    <t>remplacement capteur sécurité optinut</t>
  </si>
  <si>
    <t>replacement electrovanne 24v vp 03</t>
  </si>
  <si>
    <t>incendie: reprise câblage armoire</t>
  </si>
  <si>
    <t>remplacement appareillage et essai</t>
  </si>
  <si>
    <t>dust collector. maintenanance hebdo</t>
  </si>
  <si>
    <t>L1 et L2. maintenance hebdo</t>
  </si>
  <si>
    <t>DPM1 et DPM2. maintenance hebdo</t>
  </si>
  <si>
    <t>contrôle peson</t>
  </si>
  <si>
    <t xml:space="preserve">maintenance mensuelle </t>
  </si>
  <si>
    <t>extracteur d'air. maintenance mensuelle</t>
  </si>
  <si>
    <t>lampe uv. maintenance mensuelle.</t>
  </si>
  <si>
    <t>magasin externe. remplacement de lampe uv</t>
  </si>
  <si>
    <t>filtre PF. néttoyage pour changement produit</t>
  </si>
  <si>
    <t>B03;néttoyage pour changement produit et joint</t>
  </si>
  <si>
    <t>B02 et B01.néttoyage pour changement produit</t>
  </si>
  <si>
    <t xml:space="preserve"> L1 et L2: néttoyage pour changement produit</t>
  </si>
  <si>
    <t>controle mensuel de résistances de chauffe</t>
  </si>
  <si>
    <t>controle mensuel de résistance chauffe</t>
  </si>
  <si>
    <t>cuve nep. remplacement bilame huile propre</t>
  </si>
  <si>
    <t>remplacement manomètre échangeur</t>
  </si>
  <si>
    <t>chaudière. réparation de fuite sur la pompe</t>
  </si>
  <si>
    <t>L1 et L2. reglage fuite et remplacement verin lame.</t>
  </si>
  <si>
    <t>B03. remplacement joint pour fuite.</t>
  </si>
  <si>
    <t>remplacement bobine 24v de vanne 03.</t>
  </si>
  <si>
    <t>filtre PF. bouchon. demontage et néttoyage</t>
  </si>
  <si>
    <t>echangeur. bouchon</t>
  </si>
  <si>
    <t>chaudière. démontage moteur pour rebobinage et montage.</t>
  </si>
  <si>
    <t>B03. caramélisation. néttoyage.</t>
  </si>
  <si>
    <t>Resserrage tête du piston</t>
  </si>
  <si>
    <t>sécheur frigorifique.maintenance hebdo</t>
  </si>
  <si>
    <t>L1/L2: maintenance hebdo</t>
  </si>
  <si>
    <t>DPM1/DPM2. maintenance hebdo</t>
  </si>
  <si>
    <t>cuve peson</t>
  </si>
  <si>
    <t>broyeur 03: remplacement de joints+ 01 manchon</t>
  </si>
  <si>
    <t>broyeur03: controle et graissage des joints</t>
  </si>
  <si>
    <t>imprimante de ligne 1/2</t>
  </si>
  <si>
    <t>lampe uv: maintenance mensuelle</t>
  </si>
  <si>
    <t>broyeur 3: dépannage pour caramélisation par manque de jointe</t>
  </si>
  <si>
    <t>filtre PF: démontage pour bouchon</t>
  </si>
  <si>
    <t>balance peson:problème de communication avec IHM</t>
  </si>
  <si>
    <t>L1/L2: réglage diverse et remplacement couroies</t>
  </si>
  <si>
    <t>dust collector.maintenance hebdo</t>
  </si>
  <si>
    <t>aérrorefroidisseur.maintenance hebdo</t>
  </si>
  <si>
    <t>balance cuve peson. controle de stabilité</t>
  </si>
  <si>
    <t>controle mensuel temps de mélange</t>
  </si>
  <si>
    <t>extracteur d'air.maintenance mensuelle</t>
  </si>
  <si>
    <t>lampe uv.maintenance mensuelle</t>
  </si>
  <si>
    <t>broyeur1/2/3. controle et maintenance mensuel</t>
  </si>
  <si>
    <t>controle de résistance de chauffe</t>
  </si>
  <si>
    <t>cuve peson.controle de résistance de chauffe</t>
  </si>
  <si>
    <t>broyeur1/3. graissage broyeur3 et permutaion avec1.</t>
  </si>
  <si>
    <t>L2. Remplacement de joint piston.</t>
  </si>
  <si>
    <t>L1/L2. Néttoyage et réglage de buse.</t>
  </si>
  <si>
    <t>cuve additif.remplacement de cable vanne d'ouverture.</t>
  </si>
  <si>
    <t>L1. modification de la ligne et essai de production petit sachet.</t>
  </si>
  <si>
    <t>L1/l2. Réglage de machoire et autre disfonctionnement</t>
  </si>
  <si>
    <t>cuve tampon. Sérrage capteur de niveau</t>
  </si>
  <si>
    <t>L1. Réglage de buse.</t>
  </si>
  <si>
    <t>CTA et groupe froid</t>
  </si>
  <si>
    <t>dust collector</t>
  </si>
  <si>
    <t>sécheur frigo.maintenance hebdo</t>
  </si>
  <si>
    <t>contrôle Peson</t>
  </si>
  <si>
    <t xml:space="preserve">DPM1,DPM2.maintenance hebdo </t>
  </si>
  <si>
    <t>L1 et L2.maintenance hebdo</t>
  </si>
  <si>
    <t>Filtre produit fini. maintenance preventive</t>
  </si>
  <si>
    <t>tapis DPM2. réparation du tapis.</t>
  </si>
  <si>
    <t>L1et L2. réglage</t>
  </si>
  <si>
    <t>contrôle de nettoyage grille aimantée.</t>
  </si>
  <si>
    <t>L1et L2. contrôle hebdo.</t>
  </si>
  <si>
    <t>remplacement ecran d'affichage (IHM)</t>
  </si>
  <si>
    <t>L1. réglage capteur vérin kinétrole</t>
  </si>
  <si>
    <t>L1. réglage d'impression</t>
  </si>
  <si>
    <t>aerorefrigérateur. maintenance hebdo</t>
  </si>
  <si>
    <t>sécheur frigorifiaque. maintenance hebdo</t>
  </si>
  <si>
    <t>controle peson.</t>
  </si>
  <si>
    <t>L2. remplacement de joint boisseau et piston</t>
  </si>
  <si>
    <t>filtre PF. nettoyage arret prod</t>
  </si>
  <si>
    <t>nettoyage arret prod</t>
  </si>
  <si>
    <t>L1 et L2. reglage kinétrole et joints.</t>
  </si>
  <si>
    <t>cuve additif. remplacement cable inductif</t>
  </si>
  <si>
    <t>B3. néttoyage de caramélisation</t>
  </si>
  <si>
    <t>L2.Remplacement de vérin lame</t>
  </si>
  <si>
    <t>L1et l2. reglage machoires, courroies...</t>
  </si>
  <si>
    <t>L1. fuite d'encre et arret défaut.</t>
  </si>
  <si>
    <t>CTA. Maintenance hebdomadaire</t>
  </si>
  <si>
    <t xml:space="preserve">maintenance hebdo </t>
  </si>
  <si>
    <t>L1 L2 et Maintenance hebdomadaire (téflon,courroie et graissage).</t>
  </si>
  <si>
    <t>néttoyage des tetes d'impressions et réglage d'impression.</t>
  </si>
  <si>
    <t>Maintenance hebdomadaire.</t>
  </si>
  <si>
    <t>remplacement de joint du vérin kinétrol</t>
  </si>
  <si>
    <t>Réglage capteur kinétrol L1.</t>
  </si>
  <si>
    <t xml:space="preserve"> L1: maintenance pour problème de stabilité du jet. </t>
  </si>
  <si>
    <t>L1moteur de l'embrayage-frein bloqué.démontage et réparation.</t>
  </si>
  <si>
    <t>L1. remplacement des vis de réglage de la gouttière.</t>
  </si>
  <si>
    <t>tentative de réparation de régulateur température de la chaudière.</t>
  </si>
  <si>
    <t xml:space="preserve"> remplacement du régulateur et réglage</t>
  </si>
  <si>
    <t>CTA: maintenance hebdomadaire.</t>
  </si>
  <si>
    <t>maintenance hebdomadaire et contrôle d'huile.</t>
  </si>
  <si>
    <t xml:space="preserve"> climatiseurs et extracteur d'air: maintenance mensuel.</t>
  </si>
  <si>
    <t>B03 MP:remplacement de joint garlock</t>
  </si>
  <si>
    <t>maintenance hebdomadaire.</t>
  </si>
  <si>
    <t>onduleur principal: remplacement de batteries.</t>
  </si>
  <si>
    <t>L2: nettoyage de lame et serrage renforcé.</t>
  </si>
  <si>
    <t>Test de balance.</t>
  </si>
  <si>
    <t>L2: remplacement de lame cassée.</t>
  </si>
  <si>
    <t xml:space="preserve"> L2: problèmes de coupure de sachet.</t>
  </si>
  <si>
    <t>L1: fuite. réglage des cales</t>
  </si>
  <si>
    <t xml:space="preserve"> filtre PF: bouchon du filtre. debouchage et néttoyage.</t>
  </si>
  <si>
    <t>réglage des capteurs du vérin kinétrol.</t>
  </si>
  <si>
    <t>L1.</t>
  </si>
  <si>
    <t>L2 L1: arrêts répétés. résolu.</t>
  </si>
  <si>
    <t>Improvement</t>
  </si>
  <si>
    <t>L1: réglage de capteur kinétrol.</t>
  </si>
  <si>
    <t>appoint d'huile de refroidissement</t>
  </si>
  <si>
    <t>CTA,maintenance hebdomadaire</t>
  </si>
  <si>
    <t>Appoint d'eau de chauffe</t>
  </si>
  <si>
    <t>L1et L2.maintenance hebdomadaire</t>
  </si>
  <si>
    <t>Extracteurs d'air. maintenance mensuelle</t>
  </si>
  <si>
    <t>L1. remplacement de l'imprimante pour manque d'encre.</t>
  </si>
  <si>
    <t>L2. remplacement de l'imprimante pour manque d'encre.</t>
  </si>
  <si>
    <t>CTA et groupe froid,maintenance hebdomadaire</t>
  </si>
  <si>
    <t>filtre produit fini. démontage et nettoyage.</t>
  </si>
  <si>
    <t>Broyeur 03. remplacement de joint garlock</t>
  </si>
  <si>
    <t>L2. remplacement de garniture d'accouplement.</t>
  </si>
  <si>
    <t>CTA et groupe froid,maintenance hebdomadaire.</t>
  </si>
  <si>
    <t>L1. réglage de mâchoire horizontale</t>
  </si>
  <si>
    <t>réparation du chargeur de la balance</t>
  </si>
  <si>
    <t>démontage et soudure du support de la canne L1</t>
  </si>
  <si>
    <t>Démontage et nettoyage du colformateur.</t>
  </si>
  <si>
    <t>armoire. remplacement du fusible du transfo 24v</t>
  </si>
  <si>
    <t>CTA et groupe Froid. Maintenance hebdomadaire.</t>
  </si>
  <si>
    <t>Dust collector:maintenance hebdomadaire</t>
  </si>
  <si>
    <t>Broyeur3: remplacement de ma,chon de guidage</t>
  </si>
  <si>
    <t>débouchage du cône mélangeur.</t>
  </si>
  <si>
    <t>L1 et L2: maintenance hebdomadaire</t>
  </si>
  <si>
    <t>L1 et L2: nettoyage tete d'impression et réglage d'impression</t>
  </si>
  <si>
    <t>L1:remplacement de joint du boisseau</t>
  </si>
  <si>
    <t>L2:remplacement de joint du boisseau</t>
  </si>
  <si>
    <t>Filtre produit fini. maintenance trimestriel</t>
  </si>
  <si>
    <t>extracteurs d'air.maintenance mensuel</t>
  </si>
  <si>
    <t>pompe spx. reglage de débit</t>
  </si>
  <si>
    <t>L1réparation du verin lame.</t>
  </si>
  <si>
    <t>remplacement de verin lame+ chappe couteau</t>
  </si>
  <si>
    <t>Broyeur3: nettoyage d'une caramélisation.</t>
  </si>
  <si>
    <t>L1:problème d'alignement du film. réglage</t>
  </si>
  <si>
    <t>L1: problème de coupe. réglage</t>
  </si>
  <si>
    <t>L2;reglage de courroie</t>
  </si>
  <si>
    <t>L1: réglage machoire horizontale et changement de joint canne.</t>
  </si>
  <si>
    <t>salle produit fini. reparation de fuite d"eau de condensation climatisation</t>
  </si>
  <si>
    <t>DPM1: réinitialisation du variateur tapis</t>
  </si>
  <si>
    <t xml:space="preserve">broyeur3 bloqué par des cailloux: démontage et néttoyage. </t>
  </si>
  <si>
    <t>broyeur3 bloqué par des cailloux: démontage et néttoyage</t>
  </si>
  <si>
    <t>L1. remplacement de courroies.</t>
  </si>
  <si>
    <t>L1: néttoyage et déblocage de la tige d'ouverture</t>
  </si>
  <si>
    <t>L2: remplecement lame+verin lame+chappe+capteur machoire</t>
  </si>
  <si>
    <t>remplacement vis de la cale bobine.</t>
  </si>
  <si>
    <t>L1: remplacement de lame</t>
  </si>
  <si>
    <t>pompe NEP bloquée. dépannage.</t>
  </si>
  <si>
    <t>L1 et L2: réglage de courroie.</t>
  </si>
  <si>
    <t xml:space="preserve"> fuite du distributeur d'air. colmattage</t>
  </si>
  <si>
    <t>L1: remplacement de courroie.</t>
  </si>
  <si>
    <t>CTA et groupe froid. maintenance hebdomadaire.</t>
  </si>
  <si>
    <t>compresseur d'air générateur d'azote. maintenance hebdomadaire.</t>
  </si>
  <si>
    <t>dust collector. maintenance hebdomadaire</t>
  </si>
  <si>
    <t>L1 et L2</t>
  </si>
  <si>
    <t>L1 et L2 néttoyage et réglage d'impression.</t>
  </si>
  <si>
    <t>L1: remplacement du support de la canne+ joint.</t>
  </si>
  <si>
    <t>réglage du niveau haut et bas cuve tampon.</t>
  </si>
  <si>
    <t>cuve d'air interne. réparation de fuite. remplacement de coude.</t>
  </si>
  <si>
    <t>L2:réparation tuyau d'eau de chauffe perforé.</t>
  </si>
  <si>
    <t>L1: remplacement des joints du piston.</t>
  </si>
  <si>
    <t>L1: rempacement pistolet d'air</t>
  </si>
  <si>
    <t>L2: défaut d'impression, buse. réglé.</t>
  </si>
  <si>
    <t>L2:problème de soudure verticale. remplacement de teflon et réglage.</t>
  </si>
  <si>
    <t>L2; néttoyage de la tete d'impression</t>
  </si>
  <si>
    <t>bouchon tuyautérie.</t>
  </si>
  <si>
    <t>L1et L2: réglage de fuite verticale.</t>
  </si>
  <si>
    <t>L1: réglage de fuite verticale.</t>
  </si>
  <si>
    <t>Finished Product Transfer Pump</t>
  </si>
  <si>
    <t>grippé.remplacement tresses.</t>
  </si>
  <si>
    <t xml:space="preserve"> réparation du chargeur de la balance 60kg</t>
  </si>
  <si>
    <t xml:space="preserve"> Gerbeur. bras de commande cassé.réglé</t>
  </si>
  <si>
    <t>L1. remplacement lame.</t>
  </si>
  <si>
    <t>L1: remplacement câble capteur de position mâchoire.</t>
  </si>
  <si>
    <t>L1: défaut d'ouverture vanne. réglage mauvais contact.</t>
  </si>
  <si>
    <t>CTA et groupe froid. maintenance hebdomadaire et générale. remplacement des filtres.</t>
  </si>
  <si>
    <t>dust collector; maintenance hebdomadaire et entretien général.</t>
  </si>
  <si>
    <t>maintenance hebdomadaire+ ajout de lubrifiant.</t>
  </si>
  <si>
    <t>chaudière. remplacement des roulements du moteur.</t>
  </si>
  <si>
    <t>filtre produit fini: nétttoyage interne.</t>
  </si>
  <si>
    <t>l1 et l2:amintenance hebdomadaire.</t>
  </si>
  <si>
    <t>chaudière: complément d'huile de chauffe.</t>
  </si>
  <si>
    <t>L2 et L3: maintenance générale.</t>
  </si>
  <si>
    <t>L2: remplcement de joints internes et externes.</t>
  </si>
  <si>
    <t xml:space="preserve"> labo RD: pose du coffret de commande.</t>
  </si>
  <si>
    <t>extracetur d'air: maintenance mensuelle.</t>
  </si>
  <si>
    <t>vanne L1: défaut d'ouverture. réparation.</t>
  </si>
  <si>
    <t>L1, remplacement d'01 vérin lame.</t>
  </si>
  <si>
    <t>L1 et L2: nettoyage tete d'impression.</t>
  </si>
  <si>
    <t>L2, remplacement d'01 vérin lame.</t>
  </si>
  <si>
    <t>L1: problème d'affichage température verticale. réparation.</t>
  </si>
  <si>
    <t>L2: remplacement résistance vericale+ fuisible.</t>
  </si>
  <si>
    <t xml:space="preserve"> défaut de fonctionnement programme. remplacement module out.</t>
  </si>
  <si>
    <t>L1 et L2: fuite. réglage des mâchoires.</t>
  </si>
  <si>
    <t>L1: remplacement 01 vérin lame.</t>
  </si>
  <si>
    <t>bug programme. r allumage système.</t>
  </si>
  <si>
    <t>sécheur frigo. réparation pale ventilateur.</t>
  </si>
  <si>
    <t>maintenance preventive générale</t>
  </si>
  <si>
    <t>L2: remplacement vanne de la trémie.</t>
  </si>
  <si>
    <t>maintenance hebdomadaire CTA et groupe froid</t>
  </si>
  <si>
    <t>maintenance hebomadaire dust collector</t>
  </si>
  <si>
    <t xml:space="preserve">maintenance hebdomadaire </t>
  </si>
  <si>
    <t>L1 et Nettoyage et réglage d'impression.</t>
  </si>
  <si>
    <t>L2: réglage pour fuite verticale</t>
  </si>
  <si>
    <t>L2:cable capteur lame défectueux: coupe et raccordement.</t>
  </si>
  <si>
    <t>L1: remplacement de chappe couteau.</t>
  </si>
  <si>
    <t>L2:changement de teflon et réglage courroies.</t>
  </si>
  <si>
    <t>L1:remplacement de vérin lame récupéré.</t>
  </si>
  <si>
    <t>L1; réglage de courroie.</t>
  </si>
  <si>
    <t>L1/ remplacement d'un vérin lame</t>
  </si>
  <si>
    <t>L1: remplacement de lame.</t>
  </si>
  <si>
    <t>vidange purge manuel d'eau de condensation.</t>
  </si>
  <si>
    <t>L2: dépannage vanne trémie.</t>
  </si>
  <si>
    <t>L2:remplacement de vérin lame.</t>
  </si>
  <si>
    <t>L2:sonde de température verticale instable. serrage</t>
  </si>
  <si>
    <t>L2/L1: problème avec le film. réglage des courroies.</t>
  </si>
  <si>
    <t>L1: remplacement de joint piston+pince kinétrol.</t>
  </si>
  <si>
    <t>L2: remplacement de capteur kinétrol.</t>
  </si>
  <si>
    <t>L2: remplacement teflon+ raccord rapide.</t>
  </si>
  <si>
    <t>remplacement de capteur de protection ouverture</t>
  </si>
  <si>
    <t>L1: Réglage de courroie.</t>
  </si>
  <si>
    <t>L2: Réglage de courroie.</t>
  </si>
  <si>
    <t>L2: réglage du retard d'impression</t>
  </si>
  <si>
    <t>L2: remplacement de relais finder 24v</t>
  </si>
  <si>
    <t>L2: réglage de courroie.</t>
  </si>
  <si>
    <t>L1 et L2.</t>
  </si>
  <si>
    <t>l1.remplacement sonde mâchoire horizontale.</t>
  </si>
  <si>
    <t>fuite produit. réglage mâchoire.</t>
  </si>
  <si>
    <t>l2: réglage de la course du piston. problème de poids.</t>
  </si>
  <si>
    <t>l1 et L2.néttoyage et réglage d'impression.</t>
  </si>
  <si>
    <t>L2. Remplacement de tuyau d'air du verin soudure verticale.</t>
  </si>
  <si>
    <t>l2. remplacement de joint du piston</t>
  </si>
  <si>
    <t>l2. correction accordéons.</t>
  </si>
  <si>
    <t>l1.réglage courroie.</t>
  </si>
  <si>
    <t>l1.Remplacement de tuyau d'air du verin soudure verticale.</t>
  </si>
  <si>
    <t>remplacement joint du piston.</t>
  </si>
  <si>
    <t>L1: reglage couroie et changement teflon</t>
  </si>
  <si>
    <t>l1: remplacement de sonde verticale.</t>
  </si>
  <si>
    <t>l2:remplacement boisseau,et joint 84 et 83.</t>
  </si>
  <si>
    <t>L2:sérrage tete piston et réglage</t>
  </si>
  <si>
    <t xml:space="preserve">L2;réparation pince kinétrol </t>
  </si>
  <si>
    <t>L2:réparation de pince kinétrol.</t>
  </si>
  <si>
    <t>maintenance hebdo+ maintenance générale.</t>
  </si>
  <si>
    <t>L1 et L2néttoyage canne et boisseau.</t>
  </si>
  <si>
    <t>L1: remplacement joint 52mm.</t>
  </si>
  <si>
    <t>appoint d'eau des circuit de chauffe.</t>
  </si>
  <si>
    <t>Broyeur 1,2,3; nettoyage et contrôle des couronne et dents.</t>
  </si>
  <si>
    <t>nétooyage tuyau EC.</t>
  </si>
  <si>
    <t>optinut: remplacement des capteurs de sécurité ouverture.</t>
  </si>
  <si>
    <t>pompe spx:néttoyage et remplacement kit palier et réglage debit</t>
  </si>
  <si>
    <t>L1: réglage des mâchoires.</t>
  </si>
  <si>
    <t>réglage courroie et changement téflon.</t>
  </si>
  <si>
    <t>L1; réglage de la vanne d'envoie pour débordement.</t>
  </si>
  <si>
    <t>L1; remplacement de fusible et isolation des résistances.</t>
  </si>
  <si>
    <t>L2: remplacement cale bleu machoire interne et cousinet.</t>
  </si>
  <si>
    <t>L2: remplacement sonde de température.</t>
  </si>
  <si>
    <t>appoint d'eau de chauffe</t>
  </si>
  <si>
    <t>L1: probleme de coupe sachet graissage et réglage entretoise.</t>
  </si>
  <si>
    <t>L1: remplacemen de verin lame.</t>
  </si>
  <si>
    <t>L1; réglage pour accordéon</t>
  </si>
  <si>
    <t>L1: remplacement de verin verticale+verin lame.</t>
  </si>
  <si>
    <t>L1: remplacement de coussinet cassé.</t>
  </si>
  <si>
    <t>L2:; réglage pour accordéon</t>
  </si>
  <si>
    <t>pompe spx: démontage et nettoyage pour caramélisation et réparation.</t>
  </si>
  <si>
    <t>echange de pompe vers thermisation.</t>
  </si>
  <si>
    <t>L2: Remplacement module thermocouple</t>
  </si>
  <si>
    <t>L1: remplacement du moteur convoyeur vertical.</t>
  </si>
  <si>
    <t>L2: réglage mâchoires horizontales</t>
  </si>
  <si>
    <t>B1: nettoyage pour changement produit</t>
  </si>
  <si>
    <t>B2: nettoyage pour changement produit</t>
  </si>
  <si>
    <t>B3: nettoyage pour changement produit</t>
  </si>
  <si>
    <t>CTA et groupe froid:maintenance hebdomadaire.</t>
  </si>
  <si>
    <t>L1:nettoyage pour changement produit</t>
  </si>
  <si>
    <t>L2:nettoyage pour changement produit</t>
  </si>
  <si>
    <t>L1:maintenance hebdomadaire</t>
  </si>
  <si>
    <t>dust collector:maintenance hebdomadaire</t>
  </si>
  <si>
    <t>L2:maintenance hebdomadaire</t>
  </si>
  <si>
    <t>Filtre produit fini.nettoyage pour changement produit</t>
  </si>
  <si>
    <t>vase d'eau vidange et remplissage</t>
  </si>
  <si>
    <t>remplacement coussinet</t>
  </si>
  <si>
    <t>balance de pesés remplacement fiche d'alimentation</t>
  </si>
  <si>
    <t>réparation CTA.arret pour chute de tension</t>
  </si>
  <si>
    <t>L2: réglage de capteur de kinétrole et remplacement.</t>
  </si>
  <si>
    <t>réglage du taux d'azote.</t>
  </si>
  <si>
    <t>L1:réglage pour accordéons</t>
  </si>
  <si>
    <t>L1:remplacement moteur embrayage</t>
  </si>
  <si>
    <t>L1: réparation de chappe</t>
  </si>
  <si>
    <t>L1: réglage barre verticale.</t>
  </si>
  <si>
    <t>L2: remplacement distributeur d'air mâchoire horizontale</t>
  </si>
  <si>
    <t>L2:remplacement capteur kinétrol</t>
  </si>
  <si>
    <t>L2:remplacement coussinet.</t>
  </si>
  <si>
    <t>L1: nettoyage buse</t>
  </si>
  <si>
    <t>dust colllector. maintenance hebdo</t>
  </si>
  <si>
    <t>DPM1/DPM2/DPM3. contrôle hebdo.</t>
  </si>
  <si>
    <t>L1/L2/L3</t>
  </si>
  <si>
    <t>onvoyeurs torréfacteur 1.2</t>
  </si>
  <si>
    <t>échangeur. nettoyage.</t>
  </si>
  <si>
    <t>SPX. démontage nettoyage et réglages débit.</t>
  </si>
  <si>
    <t>surchauffe. Essai de mise en série et parallèle de C1 et C2.</t>
  </si>
  <si>
    <t>L3: réglage divers</t>
  </si>
  <si>
    <t>L2: réglage divers</t>
  </si>
  <si>
    <t>L1: réglage divers</t>
  </si>
  <si>
    <t>V3:montage support de liaison avec DPM3.</t>
  </si>
  <si>
    <t>C2:surchauffe. réglage consigne</t>
  </si>
  <si>
    <t>imprimante3: réglage encre fluide.</t>
  </si>
  <si>
    <t>1et 2 maintenance hebdo.</t>
  </si>
  <si>
    <t>maintenance 1mensuelle</t>
  </si>
  <si>
    <t>suite installation circuit d'air conditionnement</t>
  </si>
  <si>
    <t>1,2,3</t>
  </si>
  <si>
    <t>C2. appoint lubrifiant</t>
  </si>
  <si>
    <t>L1.réglage</t>
  </si>
  <si>
    <t>L2.réglage</t>
  </si>
  <si>
    <t>L3.réglage</t>
  </si>
  <si>
    <t>DPM</t>
  </si>
  <si>
    <t>L1.reglage capteur</t>
  </si>
  <si>
    <t>CTA</t>
  </si>
  <si>
    <t>Sécheur frigorifique</t>
  </si>
  <si>
    <t>aerorefroidisseur</t>
  </si>
  <si>
    <t>L1/L2/L3 maintenance hebdomadaire</t>
  </si>
  <si>
    <t>balance cuve à peson</t>
  </si>
  <si>
    <t>controle hebdomadaire</t>
  </si>
  <si>
    <t>B1/B2/B3 maintenance mensuelle</t>
  </si>
  <si>
    <t>extracteur d'air</t>
  </si>
  <si>
    <t>lampe UV</t>
  </si>
  <si>
    <t>grille aimanté</t>
  </si>
  <si>
    <t>CTA Torréfacteur</t>
  </si>
  <si>
    <t>depelliculeurse</t>
  </si>
  <si>
    <t>four</t>
  </si>
  <si>
    <t xml:space="preserve">trieuse </t>
  </si>
  <si>
    <t>convoyeur torréfacteur</t>
  </si>
  <si>
    <t>cyclone</t>
  </si>
  <si>
    <t>L1/L2/L3 controle capteur et sonde: mensuel</t>
  </si>
  <si>
    <t>L1: remplacement vérin piston</t>
  </si>
  <si>
    <t>controle des résistance: maintenance trimestrielle</t>
  </si>
  <si>
    <t>filtre produit fini</t>
  </si>
  <si>
    <t>pompe NEP</t>
  </si>
  <si>
    <t>Pompe thermisation</t>
  </si>
  <si>
    <t>DPM2: remplacement reducteur</t>
  </si>
  <si>
    <t>L1: courroie,spot,machoire, capteur et divers réglages</t>
  </si>
  <si>
    <t>L2: courroie,spot,machoire, capteur et divers réglages</t>
  </si>
  <si>
    <t>L3: courroie,spot,machoire, capteur et divers réglages</t>
  </si>
  <si>
    <t>remplacement détecteur vanne +cable</t>
  </si>
  <si>
    <t>DPM3: reglage pour ejection anormale</t>
  </si>
  <si>
    <t> </t>
  </si>
  <si>
    <t>remplacement joint et boisseau</t>
  </si>
  <si>
    <t>depannage sur le circuit d'alimentation, disjoncteur HS</t>
  </si>
  <si>
    <t>bouchon tuyau,arret pompe</t>
  </si>
  <si>
    <t>degrippage pompe SPX,</t>
  </si>
  <si>
    <t>extinction répétée imprimante L3,</t>
  </si>
  <si>
    <t>B1,B2: bouchon</t>
  </si>
  <si>
    <t>imprimante 3/remplacement pompe principale et reglage</t>
  </si>
  <si>
    <t>thermorégulateur:remplacement de roulement du moteur</t>
  </si>
  <si>
    <t>doseuse 2: remplacement de boisseau</t>
  </si>
  <si>
    <t xml:space="preserve">remplacement de disjoncteur </t>
  </si>
  <si>
    <t>pompe spx: deblogage pompe grippée</t>
  </si>
  <si>
    <t>doseuse 2: remplacement de joints piston pour fuite</t>
  </si>
  <si>
    <t>2Nut: réparation de capteur de position vanne</t>
  </si>
  <si>
    <t>broyeur 1: reparation sur le couvercle de protection externe</t>
  </si>
  <si>
    <t>compresseur 1: remplacement d'1 contacteur</t>
  </si>
  <si>
    <t>compresseur 2: remplacement de courroie et appoint de lubrifiant</t>
  </si>
  <si>
    <t>compresseur1: remplacement de roulement</t>
  </si>
  <si>
    <t>Pompe SPX MP; remplacement de couvercle (02) et réglage debit d'envoie</t>
  </si>
  <si>
    <t>filtre PF</t>
  </si>
  <si>
    <t>demontage et nettoyage après bouchon,</t>
  </si>
  <si>
    <t>remplacement pompe d'aspiration</t>
  </si>
  <si>
    <t>compresseur 2; appoint de lubrifiant</t>
  </si>
  <si>
    <t>remplacement d'un pistolet d'air</t>
  </si>
  <si>
    <t>CHL1;remplacement d'un tapis</t>
  </si>
  <si>
    <t>doseuse 2 :remplacement de joints</t>
  </si>
  <si>
    <t>pompe bloquée,remplacement de couvercle interne et externe</t>
  </si>
  <si>
    <t>l2 et L3 remplacement de joint vanne doseuse</t>
  </si>
  <si>
    <t>L2: remplacement capteur kinétrol et réglage</t>
  </si>
  <si>
    <t>cuve nep: tuyau rétour huile bouché, demontage et néttoyage</t>
  </si>
  <si>
    <t>L1: resolution problème électrique (court circuit)</t>
  </si>
  <si>
    <t>L1: réglage défaut d'impression</t>
  </si>
  <si>
    <t>L4 (sécours): réglage défaut d'impression</t>
  </si>
  <si>
    <t>C2:appoint de lubrifiant</t>
  </si>
  <si>
    <t>remplacement de lampe magasin externe zogona et kossodo</t>
  </si>
  <si>
    <t>assistance aux agents de ABNORM pour calibration de sonde</t>
  </si>
  <si>
    <t>Remplacement carte thermo et réinstallation du programme</t>
  </si>
  <si>
    <t>L2:remplacement pistolet et réglage machine</t>
  </si>
  <si>
    <t>H3: remplacement de tapis</t>
  </si>
  <si>
    <t>L1: remplacement joint du piston</t>
  </si>
  <si>
    <t>néttoyage du reducteur</t>
  </si>
  <si>
    <t>L1: remplacement de verin piston</t>
  </si>
  <si>
    <t>optinut: remplacement de joints vanne guillotines</t>
  </si>
  <si>
    <t>L2:remplacement embrayage</t>
  </si>
  <si>
    <t>B3: nettoyage pour caramélisation</t>
  </si>
  <si>
    <t>2</t>
  </si>
  <si>
    <t>L1/L2/L3: remplacement de tapis</t>
  </si>
  <si>
    <t>L2: reparation sur transformateur d'alimentation 24v</t>
  </si>
  <si>
    <t>recherche et depannage d'un mauvais contact sur le circuit électrique</t>
  </si>
  <si>
    <t>L1: remplacement pince d'arbre kinétrole et reglage</t>
  </si>
  <si>
    <t>Vertical L1: arret, remplacement d'un relais defectueux</t>
  </si>
  <si>
    <t>L3:reglage de capteur Kinétrol</t>
  </si>
  <si>
    <t>L3:remplacement de boisseau</t>
  </si>
  <si>
    <t>employees type</t>
  </si>
  <si>
    <t>Number employees</t>
  </si>
  <si>
    <t>Administrative employees</t>
  </si>
  <si>
    <t>Permanent production employees</t>
  </si>
  <si>
    <t>Temporary production employees</t>
  </si>
  <si>
    <t>Training subject</t>
  </si>
  <si>
    <t>Department trained</t>
  </si>
  <si>
    <t>Number of hours (Number of employees trained * hours of training)</t>
  </si>
  <si>
    <t>Pilotage de la plateforme SYLVIE</t>
  </si>
  <si>
    <t>Bintou BARRO</t>
  </si>
  <si>
    <t>Soumaila SIRIMA</t>
  </si>
  <si>
    <t>Desire DIMBONI</t>
  </si>
  <si>
    <t>Brahim COULIBALY</t>
  </si>
  <si>
    <t>Hygiène, flux BFP, BPH, Sécurité</t>
  </si>
  <si>
    <t>Djibril YANOGO</t>
  </si>
  <si>
    <t>Mathias KABORE</t>
  </si>
  <si>
    <t>Marc BAYILI</t>
  </si>
  <si>
    <t>Géoffroy M. KO</t>
  </si>
  <si>
    <t>Mohamed YAGO</t>
  </si>
  <si>
    <t>Abou COMPOARE</t>
  </si>
  <si>
    <t>Mourihoua KO</t>
  </si>
  <si>
    <t>Roland ABO</t>
  </si>
  <si>
    <t>Adama KABORE</t>
  </si>
  <si>
    <t>Israel W. TAPSOBA</t>
  </si>
  <si>
    <t>Abidine NIKIEMA</t>
  </si>
  <si>
    <t>Jerome TASSEMBEDO</t>
  </si>
  <si>
    <t>Mesmer KOANDA</t>
  </si>
  <si>
    <t>Omar Alpha KOA</t>
  </si>
  <si>
    <t>Paul NOUKOUBRI</t>
  </si>
  <si>
    <t>Boureima BARRY</t>
  </si>
  <si>
    <t>Idrissa K. OUEDRAOGO</t>
  </si>
  <si>
    <t>Abdoul K. Y.OUEDRAOGO</t>
  </si>
  <si>
    <t>Clothilde KONDITAMDE</t>
  </si>
  <si>
    <t>Barthelemy ZONGO</t>
  </si>
  <si>
    <t>Photoshop, Illustrator</t>
  </si>
  <si>
    <t>Tabitha OUEDRAOGO</t>
  </si>
  <si>
    <t>Prévention CVID-19: Gestes barrières</t>
  </si>
  <si>
    <t>Omar COULIBALY</t>
  </si>
  <si>
    <t>Salimata SOUNTOURA</t>
  </si>
  <si>
    <t>Désiré DIMBONI</t>
  </si>
  <si>
    <t>Thierry COMPAORE</t>
  </si>
  <si>
    <t>Gisèle TAGO</t>
  </si>
  <si>
    <t>Jean Christophe DABIRE</t>
  </si>
  <si>
    <t>Salif SAWADOGO</t>
  </si>
  <si>
    <t>Amlandine BONKOUNGOU</t>
  </si>
  <si>
    <t>Christine TASSEMBEDO</t>
  </si>
  <si>
    <t>COULIBALY Brahima</t>
  </si>
  <si>
    <t>ABO Roland</t>
  </si>
  <si>
    <t>BAGA Clothilde</t>
  </si>
  <si>
    <t>BARRY Boureima</t>
  </si>
  <si>
    <t>BAYILI Marc</t>
  </si>
  <si>
    <t>COMPAORE Ali</t>
  </si>
  <si>
    <t>DARAMKOUM Awa</t>
  </si>
  <si>
    <t>DEMSILI Inoussa</t>
  </si>
  <si>
    <t>ILBOUDO Jean claude</t>
  </si>
  <si>
    <t>ILBOUDO Songonman'gré Lazare</t>
  </si>
  <si>
    <t>KABORE Adama</t>
  </si>
  <si>
    <t>KABORE Barc-Wend Paulin</t>
  </si>
  <si>
    <t>KABORE Mathias</t>
  </si>
  <si>
    <t>KABRE Odile</t>
  </si>
  <si>
    <t>KAFANDO Abdoulaye</t>
  </si>
  <si>
    <t>KAFANDO Hubert</t>
  </si>
  <si>
    <t>KIEMA Karim</t>
  </si>
  <si>
    <t>KO Mougoua Géoffroy</t>
  </si>
  <si>
    <t>KO Mourihoua</t>
  </si>
  <si>
    <t>KOANDA Alpha Omar</t>
  </si>
  <si>
    <t>KOANDA Douldoul Fésal Mesmer</t>
  </si>
  <si>
    <t>KOLA Blaise</t>
  </si>
  <si>
    <t>KONDITAMDE Victorine</t>
  </si>
  <si>
    <t>KONSEIBO Ines</t>
  </si>
  <si>
    <t>NEBIE Boubié</t>
  </si>
  <si>
    <t>NIAMPA Adama</t>
  </si>
  <si>
    <t>NIKIEMA Abidine</t>
  </si>
  <si>
    <t>NIOUMOU Nathalie</t>
  </si>
  <si>
    <t>NOMBRE Gisèle</t>
  </si>
  <si>
    <t>NONGUIERMA Marie</t>
  </si>
  <si>
    <t>NOUKOUBRI Paul</t>
  </si>
  <si>
    <t>OUEDRAOGO Amadé</t>
  </si>
  <si>
    <t>Ouedraogo Hamado</t>
  </si>
  <si>
    <t>OUEDRAOGO Joseph</t>
  </si>
  <si>
    <t>OUEDRAOGO Kimbila  Soumaïla</t>
  </si>
  <si>
    <t>OUEDRAOGO Kimsé Idrissa</t>
  </si>
  <si>
    <t>OUEDRAOGO Moctar</t>
  </si>
  <si>
    <t>OUEDRAOGO Souleymane</t>
  </si>
  <si>
    <t>OUEDRAOGO Y. Abdoul Karim</t>
  </si>
  <si>
    <t>OUEDRAOGO Zakaria</t>
  </si>
  <si>
    <t>SAWADOGO Boureima</t>
  </si>
  <si>
    <t>SAWADOGO Salif</t>
  </si>
  <si>
    <t>TAPSOBA Wendpanga Israël</t>
  </si>
  <si>
    <t>TASSEMBEDO François</t>
  </si>
  <si>
    <t>TASSEMBEDO Jerôme</t>
  </si>
  <si>
    <t>TASSEMBEDO Wedsongdo Marcel</t>
  </si>
  <si>
    <t>TIENIN Brahima</t>
  </si>
  <si>
    <t>TINTO Souleymane</t>
  </si>
  <si>
    <t>TRAORE Fatoumata</t>
  </si>
  <si>
    <t>YAGO Mohamed</t>
  </si>
  <si>
    <t>YANOGO Djibril</t>
  </si>
  <si>
    <t>ZONGO Barthelemy</t>
  </si>
  <si>
    <t>OUEDRAOGO Tabitha</t>
  </si>
  <si>
    <t>Hoshin Kanri</t>
  </si>
  <si>
    <t>Boubié NEBIE</t>
  </si>
  <si>
    <t>Christophe Y. DABIRE</t>
  </si>
  <si>
    <t>Brahima COULIBALY</t>
  </si>
  <si>
    <t>Alain KIENTEGA</t>
  </si>
  <si>
    <t>Hosin Kanri</t>
  </si>
  <si>
    <t>La fonction Metrologie en Entreprise</t>
  </si>
  <si>
    <t>Amandine BONKOUGOU</t>
  </si>
  <si>
    <t>Chistophe Y. DABIRE</t>
  </si>
  <si>
    <t>Gestion de site</t>
  </si>
  <si>
    <t>Formation PowerPoint</t>
  </si>
  <si>
    <t>Gisèle NOMBRE/TAGO</t>
  </si>
  <si>
    <t>Chistine TASSEMBEDO</t>
  </si>
  <si>
    <t>Christophe DABIRE</t>
  </si>
  <si>
    <t>Désire DIMBONI</t>
  </si>
  <si>
    <t>Isidore LANKOANDE</t>
  </si>
  <si>
    <t>Moctar OUEDRAOGO</t>
  </si>
  <si>
    <t>Formation Avancée PowerPoint</t>
  </si>
  <si>
    <t>June</t>
  </si>
  <si>
    <t>Formation incendie</t>
  </si>
  <si>
    <t>Nathalie NIOUMOU</t>
  </si>
  <si>
    <t>Minata BONKOUNGOU</t>
  </si>
  <si>
    <t>Adbou COMPAORE</t>
  </si>
  <si>
    <t>Mariam OUERMI</t>
  </si>
  <si>
    <t>Clothilde BAGA</t>
  </si>
  <si>
    <t>Awa DARANKOUM</t>
  </si>
  <si>
    <t>Eunice MIEN</t>
  </si>
  <si>
    <t>Jolio BAH</t>
  </si>
  <si>
    <t>Christine ZONGO</t>
  </si>
  <si>
    <t>Kadidia ZARE</t>
  </si>
  <si>
    <t>Séfora OUEDRAOGO</t>
  </si>
  <si>
    <t>Abdoul OUEDRAOGO</t>
  </si>
  <si>
    <t>Mathias BADO</t>
  </si>
  <si>
    <t>Souleymane BOUDA</t>
  </si>
  <si>
    <t>Cyrille Isidore LANKOANDE</t>
  </si>
  <si>
    <t>Aimé Dimanche BASSOLE</t>
  </si>
  <si>
    <t>Halidou GUIRA</t>
  </si>
  <si>
    <t>Halidou KORGHO</t>
  </si>
  <si>
    <t>Denis YARO</t>
  </si>
  <si>
    <t>July</t>
  </si>
  <si>
    <t>NOMBRE/TAGO Gisèle</t>
  </si>
  <si>
    <t>Management de l'assurance qualité</t>
  </si>
  <si>
    <t>KIENTEGA Alain B. Joseph</t>
  </si>
  <si>
    <t>ISO 22000 and lead auditor</t>
  </si>
  <si>
    <t>DABIRE Y. Christophe</t>
  </si>
  <si>
    <t>Induction+ Hygène Sécurité</t>
  </si>
  <si>
    <t>Davy Lamou SIDIBE</t>
  </si>
  <si>
    <t>Abdoul Aziz SAWADOGO</t>
  </si>
  <si>
    <t>Hubert KAFANDO</t>
  </si>
  <si>
    <t>François TASSEMBEDO</t>
  </si>
  <si>
    <t>Aminata BONKOUNGOU</t>
  </si>
  <si>
    <t>Marie NONGUIERMA</t>
  </si>
  <si>
    <t>Ali COMPAORE</t>
  </si>
  <si>
    <t>Soumaïla SIRIMA</t>
  </si>
  <si>
    <t>Amandine BONKOUNGOU</t>
  </si>
  <si>
    <t>Victorine SAWADOGO</t>
  </si>
  <si>
    <t>Désiré Pangabara DIMBONI</t>
  </si>
  <si>
    <t>Abdoulaye KAFANDO</t>
  </si>
  <si>
    <t>Blaise KOLA</t>
  </si>
  <si>
    <t>Hamado Ouedraogo</t>
  </si>
  <si>
    <t>Djibril  YANOGO</t>
  </si>
  <si>
    <t>Chek Souleymane TRAORE</t>
  </si>
  <si>
    <t>Wendpanga Israël TAPSOBA</t>
  </si>
  <si>
    <t>Ines KONSEIBO</t>
  </si>
  <si>
    <t>Wedsongdo Marcel TASSEMBEDO</t>
  </si>
  <si>
    <t>Boureima SAWADOGO</t>
  </si>
  <si>
    <t>Amadé OUEDRAOGO</t>
  </si>
  <si>
    <t>Awa DARAMKOUM</t>
  </si>
  <si>
    <t>Y. Abdoul Karim OUEDRAOGO</t>
  </si>
  <si>
    <t>Souleymane OUEDRAOGO</t>
  </si>
  <si>
    <t>Adama NIAMPA</t>
  </si>
  <si>
    <t>Songonman'gré Lazare ILBOUDO</t>
  </si>
  <si>
    <t>Karim KIEMA</t>
  </si>
  <si>
    <t>Kimbila  Soumaïla OUEDRAOGO</t>
  </si>
  <si>
    <t>Jean claude ILBOUDO</t>
  </si>
  <si>
    <t>Abdou COMPAORE</t>
  </si>
  <si>
    <t>Sibiri Jerôme TASSEMBEDO</t>
  </si>
  <si>
    <t>Inoussa DEMSILI</t>
  </si>
  <si>
    <t>Joseph OUEDRAOGO</t>
  </si>
  <si>
    <t>Brahima TIENIN</t>
  </si>
  <si>
    <t>W. Pauline OUEDRAOGO</t>
  </si>
  <si>
    <t>Tabitha OUATTARA</t>
  </si>
  <si>
    <t>Gisèle   NOMBRE</t>
  </si>
  <si>
    <t>Zakaria OUEDRAOGO</t>
  </si>
  <si>
    <t>Kiswend -Sida Rodrigue KIEMA</t>
  </si>
  <si>
    <t xml:space="preserve">Wend-yam Hervé SAWADOGO  </t>
  </si>
  <si>
    <t>Dominique DRABO</t>
  </si>
  <si>
    <t>W. Christine TASSEMBEDO</t>
  </si>
  <si>
    <t>Isidore Cyrille LANKOANDE</t>
  </si>
  <si>
    <t>Sourgou SOME</t>
  </si>
  <si>
    <t>Zounogo Kadidia ZONO</t>
  </si>
  <si>
    <t>Kiswendsida Armel TIENTEGA</t>
  </si>
  <si>
    <t>Abdoul Rasmané OUEDRAOGO</t>
  </si>
  <si>
    <t>T. Grâce Marie Ines ILBOUDO</t>
  </si>
  <si>
    <t>Mahamadi Awal TANKO</t>
  </si>
  <si>
    <t>Wend Koma François BAMBARA</t>
  </si>
  <si>
    <t>Olivier KABA</t>
  </si>
  <si>
    <t>Mahamadi KIEKIETA</t>
  </si>
  <si>
    <t>Hamadé OUEDRAOGO</t>
  </si>
  <si>
    <t>Assami OUEDRAOGO</t>
  </si>
  <si>
    <t>Initiation au langage VBA</t>
  </si>
  <si>
    <t>Audit Interne</t>
  </si>
  <si>
    <t xml:space="preserve"> Christophe Y.DABIRE</t>
  </si>
  <si>
    <t>Induction;HACCP;Management SMQ &amp;SMSDA;SST;Hgiène;Stockage;Nettotyage;Food Fraud;Food défense</t>
  </si>
  <si>
    <t xml:space="preserve"> Clothilde BAGA /KONDITAMDE</t>
  </si>
  <si>
    <t>Wend koma François BAMBARA</t>
  </si>
  <si>
    <t xml:space="preserve">Bintou BARRO </t>
  </si>
  <si>
    <t>Induction;HACCP;Management SMQ &amp;SMSDA;SST;Hgiène;Stockage;Nettotyage;Food Fraud;Food défense;Controle en ligne</t>
  </si>
  <si>
    <t xml:space="preserve">Marc BAYILI </t>
  </si>
  <si>
    <t xml:space="preserve"> Aminata BONKOUNGOU </t>
  </si>
  <si>
    <t xml:space="preserve"> Amandine BONKOUNGOU </t>
  </si>
  <si>
    <t xml:space="preserve">Thierry COMPAORE </t>
  </si>
  <si>
    <t xml:space="preserve"> Ali COMPAORE </t>
  </si>
  <si>
    <t xml:space="preserve">Abdou COMPAORE </t>
  </si>
  <si>
    <t xml:space="preserve">Omar COULIBALY </t>
  </si>
  <si>
    <t>Jean Christophe  DABIRE</t>
  </si>
  <si>
    <t xml:space="preserve">Dominique DRABO </t>
  </si>
  <si>
    <t>Lazare ILBOUDO</t>
  </si>
  <si>
    <t>Teegawendé Grâce Marie Inès ILBOUDO</t>
  </si>
  <si>
    <t>Odette KABORE/KONTONGOM</t>
  </si>
  <si>
    <t>Kiswend-sida Rodrigue KIEMA</t>
  </si>
  <si>
    <t>Mssibaou Lassina KONATE</t>
  </si>
  <si>
    <t>Victorine KONDITAMDE</t>
  </si>
  <si>
    <t xml:space="preserve">Halidou KORGHO </t>
  </si>
  <si>
    <t>Korotimi MILLOGO</t>
  </si>
  <si>
    <t>Gisèle NOMBRE</t>
  </si>
  <si>
    <t>P Alice NOMBRE</t>
  </si>
  <si>
    <t>Hamado OUEDRAOGO</t>
  </si>
  <si>
    <t>Pauline W. OUEDRAOGO</t>
  </si>
  <si>
    <t>Mariétou OUEDRAOGO</t>
  </si>
  <si>
    <t>Yaab-Youré Abdoul Karim OUEDRAOGO</t>
  </si>
  <si>
    <t xml:space="preserve">Salif Béchir OUEDROGO </t>
  </si>
  <si>
    <t>Wend Yidé Obed PORGO</t>
  </si>
  <si>
    <t>Yvette SANKARA</t>
  </si>
  <si>
    <t xml:space="preserve">Balamoussa SANTARA </t>
  </si>
  <si>
    <t>Salif SARAMBE</t>
  </si>
  <si>
    <t>Cheik Abdoul Kader SAVADOGO</t>
  </si>
  <si>
    <t>Wend-yam  Hervé SAWADOGO</t>
  </si>
  <si>
    <t xml:space="preserve">Abdoul Aziz SAWADOGO </t>
  </si>
  <si>
    <t xml:space="preserve">Davy Lamou SIDIBE </t>
  </si>
  <si>
    <t xml:space="preserve">Soumaïla SIRIMA </t>
  </si>
  <si>
    <t xml:space="preserve">Mahamadi Awal TANKO </t>
  </si>
  <si>
    <t xml:space="preserve"> François TASSEMBEDO </t>
  </si>
  <si>
    <t xml:space="preserve">W. Christine TASSEMBEDO </t>
  </si>
  <si>
    <t>Chek  Souleymane TRAORE</t>
  </si>
  <si>
    <t>Ferdinand Wend Kuni WAONGA</t>
  </si>
  <si>
    <t>Mahamadi YANOGO</t>
  </si>
  <si>
    <t>Dénis YARO</t>
  </si>
  <si>
    <t>Séraphin YOUGBARRE</t>
  </si>
  <si>
    <t>Gesttion Allergènes, FSCC 22 000,VACCP,TACCP,Cybersécurité</t>
  </si>
  <si>
    <t>Séraphin YOUGBARE</t>
  </si>
  <si>
    <t>Balamoussa SANTARA</t>
  </si>
  <si>
    <t>Induction</t>
  </si>
  <si>
    <t xml:space="preserve">Yacouba BADO </t>
  </si>
  <si>
    <t>Souleymane Zongo</t>
  </si>
  <si>
    <t>Mohamed BARRO</t>
  </si>
  <si>
    <t>Steve Celestino ZERBO</t>
  </si>
  <si>
    <t>Ismael NANA</t>
  </si>
  <si>
    <t>Paulin MOYENGA</t>
  </si>
  <si>
    <t>Korotimi Elie SOUNTOURA</t>
  </si>
  <si>
    <t>Saidou SAWADOGO</t>
  </si>
  <si>
    <t>Adama OUEDRAOGO</t>
  </si>
  <si>
    <t>Sambo ILBOUDO</t>
  </si>
  <si>
    <t>Nasse Cheick DIABRI</t>
  </si>
  <si>
    <t>Nelson B. Ibrek BAMOUNI</t>
  </si>
  <si>
    <t>Romaric TASSEMBEDO</t>
  </si>
  <si>
    <t>Brahima COULIBAY</t>
  </si>
  <si>
    <t>Odette KABORE</t>
  </si>
  <si>
    <t>EQUIPEMENTS</t>
  </si>
  <si>
    <t>MOIS</t>
  </si>
  <si>
    <t>TYPE DE MAINTENANCE</t>
  </si>
  <si>
    <t>ANNEE</t>
  </si>
  <si>
    <t>TOTAL</t>
  </si>
  <si>
    <t>L1/L2/L3/Imprimante carton: maintenance hebdomadaire</t>
  </si>
  <si>
    <t>l2: fuite d'encre</t>
  </si>
  <si>
    <t>table de tri torrefacteur: reparation moteur</t>
  </si>
  <si>
    <t>TOTAL GENERAL</t>
  </si>
  <si>
    <t>controle de la grille aimantée</t>
  </si>
  <si>
    <t>chaudière: appoint huile therminol</t>
  </si>
  <si>
    <t>L3: poids instable de PF, inspection des joints, reglage du piston,</t>
  </si>
  <si>
    <t>remplacement du variateur de commande hélice,</t>
  </si>
  <si>
    <t>convecteur d'air laverie: maintenance hebdomadaire</t>
  </si>
  <si>
    <t>L3: remplacement de joints</t>
  </si>
  <si>
    <t>B1: remplacement de joints garlock</t>
  </si>
  <si>
    <t>echangeur à plaque: nettoyage pour bouchon</t>
  </si>
  <si>
    <t>convecteur d'air laveri</t>
  </si>
  <si>
    <t>chaudière</t>
  </si>
  <si>
    <t>demontage et remontge moteur pour rebobinage</t>
  </si>
  <si>
    <t>Identification,démontage tuyauterie: nettoyage générale</t>
  </si>
  <si>
    <t>demontage des doseuse (cuve,moteur,cylindre,pistons,verins)</t>
  </si>
  <si>
    <t>démontage des broyeurs 1/2/3; (dents, couronnes, joints)</t>
  </si>
  <si>
    <t>vidange therminol</t>
  </si>
  <si>
    <t>echangeur à plaque</t>
  </si>
  <si>
    <t>demontage de l'échangeur à plaque</t>
  </si>
  <si>
    <t>montage de l'échangeur à plaque</t>
  </si>
  <si>
    <t>demontage tuyauterie,nettoyage et montage</t>
  </si>
  <si>
    <t>montage tuyauterie</t>
  </si>
  <si>
    <t>remplacement de joints, montage 1/2/3,</t>
  </si>
  <si>
    <t>maintenance des vanne SMS</t>
  </si>
  <si>
    <t>maintenance D1/D2/D3</t>
  </si>
  <si>
    <t>0.25</t>
  </si>
  <si>
    <t>0.75</t>
  </si>
  <si>
    <t>1.00</t>
  </si>
  <si>
    <t>ANALYSE  DES DONNEES DE LA MAINTENANCE CORRECTIVE</t>
  </si>
  <si>
    <t>Période</t>
  </si>
  <si>
    <t>Total</t>
  </si>
  <si>
    <t>%</t>
  </si>
  <si>
    <t>Objectif</t>
  </si>
  <si>
    <t>75% mini</t>
  </si>
  <si>
    <t>25% max</t>
  </si>
  <si>
    <t>commentaires</t>
  </si>
  <si>
    <t>semaines</t>
  </si>
  <si>
    <t>Hubert</t>
  </si>
  <si>
    <t>Cheik</t>
  </si>
  <si>
    <t>Zakaria</t>
  </si>
  <si>
    <t>Ousseni</t>
  </si>
  <si>
    <t>Salif</t>
  </si>
  <si>
    <t>14h-22h</t>
  </si>
  <si>
    <t>22h-06h</t>
  </si>
  <si>
    <t>06h-14h</t>
  </si>
  <si>
    <t>P'NUT</t>
  </si>
  <si>
    <t>P'SUP</t>
  </si>
  <si>
    <t>Nettoyage</t>
  </si>
  <si>
    <t>S04</t>
  </si>
  <si>
    <t>Absence</t>
  </si>
  <si>
    <t>Congé payé</t>
  </si>
  <si>
    <t>Congé sans solde</t>
  </si>
  <si>
    <t>Récupération</t>
  </si>
  <si>
    <t>Autre</t>
  </si>
  <si>
    <t>Page 1/1</t>
  </si>
  <si>
    <t>Modifié le :</t>
  </si>
  <si>
    <t>Créée le : 01/01/2024</t>
  </si>
  <si>
    <t>Destinataires : DG, RAF, CL, RT, RQRD, CCQ,CAQM, AAQM,CM,AM,CQCP</t>
  </si>
  <si>
    <t>JANVIER</t>
  </si>
  <si>
    <t>FEVRIER</t>
  </si>
  <si>
    <t>MARS</t>
  </si>
  <si>
    <t>AVRIL</t>
  </si>
  <si>
    <t>MAI</t>
  </si>
  <si>
    <t>JUIN</t>
  </si>
  <si>
    <t>JUILLET</t>
  </si>
  <si>
    <t>AOUT</t>
  </si>
  <si>
    <t>SEPTEMBRE</t>
  </si>
  <si>
    <t>OCTOBRE</t>
  </si>
  <si>
    <t>NOVEMBRE</t>
  </si>
  <si>
    <t>DECEMBRE</t>
  </si>
  <si>
    <t>Emetteur : T. COMPAORE
Date : 01/01/2024
Fonction : RT
Signature :</t>
  </si>
  <si>
    <t>Vérificateur : C.Christophe
Date : 01/01/2024
Fonction : RQRD
Signature :</t>
  </si>
  <si>
    <t>Approbateur : O. COULIBALY
Date : 02/01/2024
Fonction : DG
Signature :</t>
  </si>
  <si>
    <t>Suivi des Données de la maintenance des équipements</t>
  </si>
  <si>
    <t>PS-ME-EN-SDM-A</t>
  </si>
  <si>
    <t>Page 2/1</t>
  </si>
  <si>
    <t>Page 3/1</t>
  </si>
  <si>
    <t>HeureS</t>
  </si>
  <si>
    <t>actions</t>
  </si>
  <si>
    <t>Sep</t>
  </si>
  <si>
    <t>difficultés ou remarques</t>
  </si>
  <si>
    <t>contrôle mensuelle de la CTA</t>
  </si>
  <si>
    <t>L4: remplacement lame et entaille des machoires horizontale</t>
  </si>
  <si>
    <t>C1: remplacement de roulement</t>
  </si>
  <si>
    <t>réglage de débit de la pompe SPX. Débit faible</t>
  </si>
  <si>
    <t>remplacement joint PTFE</t>
  </si>
  <si>
    <t>L4: courroie,spot,machoire, capteur et divers réglages</t>
  </si>
  <si>
    <t xml:space="preserve">L1:defaut d'impression. Problème d'oscillateur. </t>
  </si>
  <si>
    <t>échangeur à plaque. Bouchon. Demontage et néttoyage</t>
  </si>
  <si>
    <t>pompe bloquée. Réparation</t>
  </si>
  <si>
    <t>problème d'oscillateur avec imprimante sachet L1</t>
  </si>
  <si>
    <t>commande de pièce en cours</t>
  </si>
  <si>
    <t>LIGNE DE PRODUCTION</t>
  </si>
  <si>
    <t>CAUSE D'INDISPONIBLITE</t>
  </si>
  <si>
    <t>TEMPS DE COUVERTURE</t>
  </si>
  <si>
    <t>TAUX DE DISPONIBILTE</t>
  </si>
  <si>
    <t>MAINTENANCIER DU QUART</t>
  </si>
  <si>
    <t>L1</t>
  </si>
  <si>
    <t>L2</t>
  </si>
  <si>
    <t>L4</t>
  </si>
  <si>
    <t xml:space="preserve">TAUX CIBLE </t>
  </si>
  <si>
    <t>OBSERVATIONS</t>
  </si>
  <si>
    <t>S02</t>
  </si>
  <si>
    <t>QUART</t>
  </si>
  <si>
    <t>DATES</t>
  </si>
  <si>
    <t>DUREE D'ARRET (HEURE)</t>
  </si>
  <si>
    <t>poids doseuse et spot</t>
  </si>
  <si>
    <t>imprimante défectueuse</t>
  </si>
  <si>
    <t>poids instable. Problème de joint</t>
  </si>
  <si>
    <t>rupture stock de joint. Commande en cours</t>
  </si>
  <si>
    <t>défaut d'impression</t>
  </si>
  <si>
    <t>réglé par le maintenancier du quart à 4h40</t>
  </si>
  <si>
    <t>problème de soudure</t>
  </si>
  <si>
    <t>lame cassée</t>
  </si>
  <si>
    <t>pas en stock. Commande en cours</t>
  </si>
  <si>
    <t>problème d'oscillateur</t>
  </si>
  <si>
    <t>adaptation lame</t>
  </si>
  <si>
    <t>problème d'oscillateur.commande en cours</t>
  </si>
  <si>
    <t>S03</t>
  </si>
  <si>
    <t>défaut d'impression et doseuse</t>
  </si>
  <si>
    <t>défaut de convoyeur</t>
  </si>
  <si>
    <t>reglage poids</t>
  </si>
  <si>
    <t>panne capteur spot</t>
  </si>
  <si>
    <t>problème de poids</t>
  </si>
  <si>
    <t xml:space="preserve">capteur de doseuse </t>
  </si>
  <si>
    <t>commande oscillateur en cours</t>
  </si>
  <si>
    <t>poids instable</t>
  </si>
  <si>
    <t>panne de compresseur</t>
  </si>
  <si>
    <t>panne l4</t>
  </si>
  <si>
    <t>caramélisation en salle thermisation. Nettoyage des plaques</t>
  </si>
  <si>
    <t>debut des ligne du à un bouchon de broyeur</t>
  </si>
  <si>
    <t>CO-MAINTENANCIER</t>
  </si>
  <si>
    <t>L3</t>
  </si>
  <si>
    <t>LIGNE</t>
  </si>
  <si>
    <t xml:space="preserve">TAUX MOYEN DE  DISPONIBILITE </t>
  </si>
  <si>
    <t>DISPONIBILITE GLOBAL</t>
  </si>
  <si>
    <t>COMMENTAIRE</t>
  </si>
  <si>
    <t>Arret L1 sur plusieurs jours pour panne imprimante et doseuse. Rupture de pièce de rechange (joint PTFE et oscillateur pour imprimante. Rupture de solvant également). Commande en cours.</t>
  </si>
  <si>
    <t>MAINTENANCIER DE QUART</t>
  </si>
  <si>
    <t>TAUX MOYEN</t>
  </si>
  <si>
    <t>travaux sur seulement S2 pendant Janvier.</t>
  </si>
  <si>
    <t>S05</t>
  </si>
  <si>
    <t>S06</t>
  </si>
  <si>
    <t>soudure</t>
  </si>
  <si>
    <t>arret thermisation. Defaut broyeur 1</t>
  </si>
  <si>
    <t>défaut soudure</t>
  </si>
  <si>
    <t>remplacement embrayage</t>
  </si>
  <si>
    <t>bouchon broyeur</t>
  </si>
  <si>
    <t>rupure solvant</t>
  </si>
  <si>
    <t>problème de manque azote</t>
  </si>
  <si>
    <t>azote et lame cassée</t>
  </si>
  <si>
    <t>problème azote</t>
  </si>
  <si>
    <t>panne en thermisation</t>
  </si>
  <si>
    <t>panne ensacheuse</t>
  </si>
  <si>
    <t>S07</t>
  </si>
  <si>
    <t>S08</t>
  </si>
  <si>
    <t>S09</t>
  </si>
  <si>
    <t>fondoir:remplacement capteur de sécurité ouverture</t>
  </si>
  <si>
    <t>echangeur à plaque. Bouchon.</t>
  </si>
  <si>
    <t>echangeur à plaque. Réglage débit</t>
  </si>
  <si>
    <t>broyeur1: bouchon et defaut contacteur</t>
  </si>
  <si>
    <t>défaut du générateur d'azote. Électrovanne défaillant</t>
  </si>
  <si>
    <t>Thermisation: defaut de cycle NEP. Démarrage simultanée de pompe</t>
  </si>
  <si>
    <t>panne du générateur d'azote sur 2 jours + bouchons echangeur à plaque. Arret L1  pour problème d'imprimante</t>
  </si>
  <si>
    <t>nettoyage hebdo</t>
  </si>
  <si>
    <t>nettoyage changement produit ENB</t>
  </si>
  <si>
    <t>Pousse</t>
  </si>
  <si>
    <t xml:space="preserve">arret </t>
  </si>
  <si>
    <t>produit solidifié dans la trémie</t>
  </si>
  <si>
    <t>panne imprimante</t>
  </si>
  <si>
    <t>nettoyage changement produit pnut</t>
  </si>
  <si>
    <t>problème de spot</t>
  </si>
  <si>
    <t>panne doseuse</t>
  </si>
  <si>
    <t>panne imprimante. Problème oscillateur</t>
  </si>
  <si>
    <t>panne spot</t>
  </si>
  <si>
    <t>spot</t>
  </si>
  <si>
    <t>arret thermisation. Bouchon echangeur</t>
  </si>
  <si>
    <t>panne chaudière</t>
  </si>
  <si>
    <t>pompes spx et mouvex : maintenance trimestrielle</t>
  </si>
  <si>
    <t>filtre PF:maintenance trimestrielle</t>
  </si>
  <si>
    <t>contrôle résistance:maintenance trimestrielle</t>
  </si>
  <si>
    <t>boisseau des doseuses:maintenance trimestrielle</t>
  </si>
  <si>
    <t>graissage palier des mélangeurs et autres:maintenance trimestrielle</t>
  </si>
  <si>
    <t>contrôle des différents distributeurs:maintenance trimestrielle</t>
  </si>
  <si>
    <t>changement produit: nettoyage et remplacement kit ENB+</t>
  </si>
  <si>
    <t>changement produit: nettoyage et remplacement kit ENB+ (L1,L2)</t>
  </si>
  <si>
    <t>alimentation nouveau conteneur reefer</t>
  </si>
  <si>
    <t>changement produit: nettoyage et remplacement kit Pnut</t>
  </si>
  <si>
    <t>baisse de température du four. Réglage du bruleur</t>
  </si>
  <si>
    <t>balance carton l4:problème d'alimentation</t>
  </si>
  <si>
    <t>bouchon</t>
  </si>
  <si>
    <t>chaudière: réglage pour problème de chauffe</t>
  </si>
  <si>
    <t>Ensacheuse L1 à l'arret manque de pièce. Plusieurs panne sur L4</t>
  </si>
  <si>
    <t>changement de produit (ENB+) éssai difficile ayant nécéssité beaucoup de maintenance</t>
  </si>
  <si>
    <t>fuites</t>
  </si>
  <si>
    <t>fuites et spot</t>
  </si>
  <si>
    <t>panne soudure sachet</t>
  </si>
  <si>
    <t>arret prod.ferié</t>
  </si>
  <si>
    <t>congé sur 12 jours en mars.</t>
  </si>
  <si>
    <t>arret totale L1 du 01 au 9mars (09 jours). Plusieurs pannes sur L4 (problème de microfuite et de spot: des difficultés de réglages constatés</t>
  </si>
  <si>
    <t>Dispo</t>
  </si>
  <si>
    <t>panne machoire</t>
  </si>
  <si>
    <t>réparation entaille (élargissement)</t>
  </si>
  <si>
    <t>MARS 2025</t>
  </si>
  <si>
    <t>JANVIER 2025</t>
  </si>
  <si>
    <t>FEVRIER 2025</t>
  </si>
  <si>
    <t>EN FORMATION ISO DU 04FEV-8FEV</t>
  </si>
  <si>
    <t>S14</t>
  </si>
  <si>
    <t>S15</t>
  </si>
  <si>
    <t>S16</t>
  </si>
  <si>
    <t>S17</t>
  </si>
  <si>
    <t>S18</t>
  </si>
  <si>
    <t>S13</t>
  </si>
  <si>
    <t>S12</t>
  </si>
  <si>
    <t>S11</t>
  </si>
  <si>
    <t>S10</t>
  </si>
  <si>
    <t>panne soudure et impression</t>
  </si>
  <si>
    <t>panne de coupe sachet et défaut compresseur</t>
  </si>
  <si>
    <t>panne de coupe sachet defaut compresseur</t>
  </si>
  <si>
    <t>defaut compresseur. Manque d'air</t>
  </si>
  <si>
    <t>défaut compresseur</t>
  </si>
  <si>
    <t>absence huile de palme</t>
  </si>
  <si>
    <t>manque de matière et problème avec le compresseur</t>
  </si>
  <si>
    <t>periode de forte chaleur pour le compresseur</t>
  </si>
  <si>
    <t>problème de compresseur</t>
  </si>
  <si>
    <t>caramélisation pf en cuve 600l</t>
  </si>
  <si>
    <t>rupture complexe  6h à 10h</t>
  </si>
  <si>
    <t>arret compresseur</t>
  </si>
  <si>
    <t>congé annuel du 1/04/25 au 30/04/25</t>
  </si>
  <si>
    <t>panne avec L4. PROBLEME DE DEFAUT DOSEUR et capteur de spot sur l'ensacheuse.</t>
  </si>
  <si>
    <t>Inspetion et maintenance trimestrielle filtre PF</t>
  </si>
  <si>
    <t>Inspection et maintenance trimestrielle des pompes</t>
  </si>
  <si>
    <t>Inspection et maintenance trimestrielle filtre PF</t>
  </si>
  <si>
    <t>Inspection et maintenance trimestrielle des résistances électrique</t>
  </si>
  <si>
    <t xml:space="preserve">Inspection et graissage trimestriel </t>
  </si>
  <si>
    <t>Inspection et graissage trimestriel palier</t>
  </si>
  <si>
    <t>contrôle trimestriel des distributeur d'air</t>
  </si>
  <si>
    <t>maintenance trimestrielle des boisseau de doseur</t>
  </si>
  <si>
    <t>DPM3: panne reducteur tapis. Réparation</t>
  </si>
  <si>
    <t>L4: défaut d'impression</t>
  </si>
  <si>
    <t>L2: défaut d'impression</t>
  </si>
  <si>
    <t>C1 et C2: fuites huile et problème de moteur sur C2</t>
  </si>
  <si>
    <t>V4: réparation tapis convoyeur</t>
  </si>
  <si>
    <t>S20</t>
  </si>
  <si>
    <t>S21</t>
  </si>
  <si>
    <t>S22</t>
  </si>
  <si>
    <t>panne L4</t>
  </si>
  <si>
    <t>Panne spot</t>
  </si>
  <si>
    <t>panne spot+machoire</t>
  </si>
  <si>
    <t>S19</t>
  </si>
  <si>
    <t>nettpyage hebdo</t>
  </si>
  <si>
    <t>nettoyage profond et pousse</t>
  </si>
  <si>
    <t>changement produit PSUP</t>
  </si>
  <si>
    <t xml:space="preserve">Problème de poids </t>
  </si>
  <si>
    <t>rupture matière (9h57-12h27)</t>
  </si>
  <si>
    <t>arret pour maintenance dpm en ligne</t>
  </si>
  <si>
    <t>soudure et panne doseuse</t>
  </si>
  <si>
    <t>rupture MP 6h (nata6)</t>
  </si>
  <si>
    <t>reglage</t>
  </si>
  <si>
    <t>rupture MP (13h-14h)nata</t>
  </si>
  <si>
    <t>rupture MP (14h-17h)nata</t>
  </si>
  <si>
    <t>caramélisation vers 3h</t>
  </si>
  <si>
    <t>caramélisation (nettoyage plaque)</t>
  </si>
  <si>
    <t>réglage debit et chaudière</t>
  </si>
  <si>
    <t>férier</t>
  </si>
  <si>
    <t>incident sur le compresseur 2 (incendie). Production avec L4 à partir du 16/05/25 à 13h</t>
  </si>
  <si>
    <t>incendie compresseur2</t>
  </si>
  <si>
    <t>incendie compresseur3</t>
  </si>
  <si>
    <t>incendie compresseur4</t>
  </si>
  <si>
    <t>rupture MP 10h-30à 13h40 (colza)</t>
  </si>
  <si>
    <t>panne disjoncteur coffret MP+broyeur</t>
  </si>
  <si>
    <t>ferier</t>
  </si>
  <si>
    <t>panne imprimante L4A</t>
  </si>
  <si>
    <t>panne température et impression</t>
  </si>
  <si>
    <t>arret prod pour manque arachide</t>
  </si>
  <si>
    <t>C2:remplacement moteur de compresseur</t>
  </si>
  <si>
    <t>remplacement moteur cyclone</t>
  </si>
  <si>
    <t>C2:demontage pour incendie</t>
  </si>
  <si>
    <t>imprimante sachet</t>
  </si>
  <si>
    <t>B3; remplacement de contacteur.</t>
  </si>
  <si>
    <t>L4: remplacement joint piston</t>
  </si>
  <si>
    <t>L1: remplacement joint piston</t>
  </si>
  <si>
    <t>incendie sur le compresseur 2 le 16/05/2025 et panne non resolu jusqu'au fin mai. Production sur L4 uniquement</t>
  </si>
  <si>
    <t>commande en cours pour nouveau compresseur</t>
  </si>
  <si>
    <t>Responsable action</t>
  </si>
  <si>
    <t>Délais</t>
  </si>
  <si>
    <t>RT,LOG,</t>
  </si>
  <si>
    <t>reparation en mi-fevrier de l'imprimante</t>
  </si>
  <si>
    <t>CM</t>
  </si>
  <si>
    <t>panne sur L4 vers fin avril.panne du doseur. Problème resolu au bout de 10 jours environ</t>
  </si>
  <si>
    <t>demande de formation supplémentaires sur l'ensacheuse L4</t>
  </si>
  <si>
    <t>RT</t>
  </si>
  <si>
    <t>RT,LOG,RAF</t>
  </si>
  <si>
    <t>AVRIL 2025</t>
  </si>
  <si>
    <t>MAI 2025</t>
  </si>
  <si>
    <t>EN ATTENTE</t>
  </si>
  <si>
    <t>NON EFFECTIF</t>
  </si>
  <si>
    <t>OK</t>
  </si>
  <si>
    <t>jun</t>
  </si>
  <si>
    <t>maintenance semestrielle CTA</t>
  </si>
  <si>
    <t>maintenance semestrielle broyeur</t>
  </si>
  <si>
    <t>maintenance semestrielle</t>
  </si>
  <si>
    <t>remplacement disjoncteur depart MP dans le TGBT</t>
  </si>
  <si>
    <t>remplacement contacteur broyeur1</t>
  </si>
  <si>
    <t>demontage et nettoyage plaques</t>
  </si>
  <si>
    <t>reparation vanne VP06</t>
  </si>
  <si>
    <t>doseuse1: changement de joint</t>
  </si>
  <si>
    <t>C1:correction de fuite et complement d'huile</t>
  </si>
  <si>
    <t>panne compresseur (incendie)</t>
  </si>
  <si>
    <t>réglage (spot et soudure)</t>
  </si>
  <si>
    <t>ferié</t>
  </si>
  <si>
    <t>démarrage pousse problème de vannes</t>
  </si>
  <si>
    <t>panne DPM</t>
  </si>
  <si>
    <t>PANNE SOUDURE</t>
  </si>
  <si>
    <t>panne soudure</t>
  </si>
  <si>
    <t>arret broduction panne broyeur1</t>
  </si>
  <si>
    <t>arret broduction panne broyeur2</t>
  </si>
  <si>
    <t>arret broduction panne broyeur3</t>
  </si>
  <si>
    <t>panne compresseur1</t>
  </si>
  <si>
    <t>panne compresseur1.problrmr de debit</t>
  </si>
  <si>
    <t>problème de debit thermisation</t>
  </si>
  <si>
    <t>bouchon plaque</t>
  </si>
  <si>
    <t>panne doseuse2</t>
  </si>
  <si>
    <t>indisponibilté du compresseur 2. production sur 50% de la capacité. Maintenance corrective importante du fait de la faible capacité de production. En attente du nouveau compresseur à mi-juillet</t>
  </si>
  <si>
    <t>Arret prod manque arachide</t>
  </si>
  <si>
    <t>arret compresseur1 et 2</t>
  </si>
  <si>
    <t>problème d'azote arret prod</t>
  </si>
  <si>
    <t>plusieurs NEP Réaliser problème d'onduleur</t>
  </si>
  <si>
    <t>fuite</t>
  </si>
  <si>
    <t>manque produit problème de température thermisation</t>
  </si>
  <si>
    <t>bouchon thermisation</t>
  </si>
  <si>
    <t>rupture sucre</t>
  </si>
  <si>
    <t>panne L1 ENSACHEUSE</t>
  </si>
  <si>
    <t>PROBL7ME DE POIDS</t>
  </si>
  <si>
    <t>arret prod branchement nouveau compresseur</t>
  </si>
  <si>
    <t>balance cuve additif</t>
  </si>
  <si>
    <t>travaux d"installation du compresseur3.essais et configuration</t>
  </si>
  <si>
    <t>changement joints,boisseaux,correction poids de dosage</t>
  </si>
  <si>
    <t>problème/ Azote</t>
  </si>
  <si>
    <t>DPM1:reglage du convoyeur et sensibilité de détection</t>
  </si>
  <si>
    <t>echangeur bouché. Nettoyage</t>
  </si>
  <si>
    <t>L2: fuite d'encre et réglages.</t>
  </si>
  <si>
    <t>Groupefroid de CTA. Remplacement de contacteurs.</t>
  </si>
  <si>
    <t>panne debit thermisation</t>
  </si>
  <si>
    <t>demontage plaque</t>
  </si>
  <si>
    <t>demarrage prod</t>
  </si>
  <si>
    <t>nettoyage plaque</t>
  </si>
  <si>
    <t>fuite l4b</t>
  </si>
  <si>
    <t>groupe froid.remplacement contacteur</t>
  </si>
  <si>
    <t>L1.Réglage</t>
  </si>
  <si>
    <t>Echangeur.Bouchon.néttoyage</t>
  </si>
  <si>
    <t>mauvais contact de fils.identification et réparation</t>
  </si>
  <si>
    <t>broyeur bloquée</t>
  </si>
  <si>
    <t>installation du compresseur3 du 22 au 25</t>
  </si>
  <si>
    <t>RT/CM/AM</t>
  </si>
  <si>
    <t>CLOS</t>
  </si>
  <si>
    <t>Beaucoup de panne avec L4. problème de lames qui cassent</t>
  </si>
  <si>
    <t>commande de lame en cours</t>
  </si>
  <si>
    <t>problème de compresseur (incendie sur 1 compresseur). Le seul restant ne repond pas à la demande et s'arrete régulièrement pour surchauffe. Arret de la ligne L4 pour palier mais insuffisant. Problème d'azote egalement. Taux d'oxygène anormale. Nouveau compresseur installé le 24 juillet.</t>
  </si>
  <si>
    <t>problème de compresseur (incendie sur 1 compresseur). Le seul restant ne repond pas à la demande et s'arrete régulièrement pour surchauffe. Arret de la ligne L4 pour palier mais insuffisant. Problème d'azote egalement. Taux d'oxygène anormale. Nouveau compresseur installé le 24 juillet. cheik en congé sur une partie du mois.</t>
  </si>
  <si>
    <t>réglage</t>
  </si>
  <si>
    <t>panne groupe froid. Température en salle elevée</t>
  </si>
  <si>
    <t>demontage echangeur à plaques</t>
  </si>
  <si>
    <t>panne broyeur1</t>
  </si>
  <si>
    <t>panne résistance chauffante ensacheuse</t>
  </si>
  <si>
    <t>panne convoyeur</t>
  </si>
  <si>
    <t>demonatge plaques de l'échangeur</t>
  </si>
  <si>
    <t>changement produit</t>
  </si>
  <si>
    <t>Pas de problème majeur rencontré. Problème de debit lent surtout lié à la variété d'arachide local</t>
  </si>
  <si>
    <t>L1 et L2 nettoyage et pose changement produit pose de kit 20g</t>
  </si>
  <si>
    <t>L4: Tige canne cassé</t>
  </si>
  <si>
    <t xml:space="preserve">L2: </t>
  </si>
  <si>
    <t>L4A et L4B. Fuite</t>
  </si>
  <si>
    <t>montage plaques de l'échangeur</t>
  </si>
  <si>
    <t>compresseur1:réparation fuite d'huile</t>
  </si>
  <si>
    <t>pompe grippée</t>
  </si>
  <si>
    <t>L1: remplacement de joint interne et externe</t>
  </si>
  <si>
    <t>B2: bouchnon</t>
  </si>
  <si>
    <t>B1 : défaut de marche.</t>
  </si>
  <si>
    <t xml:space="preserve">changement de produit (ENB+) </t>
  </si>
  <si>
    <t>panne broyeur0</t>
  </si>
  <si>
    <t>panne broyeur2</t>
  </si>
  <si>
    <t>panne broyeur3</t>
  </si>
  <si>
    <t>panne pompe spx thermisation</t>
  </si>
  <si>
    <t>38</t>
  </si>
  <si>
    <t>rupture encre imprimante</t>
  </si>
  <si>
    <t>40</t>
  </si>
  <si>
    <t>41</t>
  </si>
  <si>
    <t>42</t>
  </si>
  <si>
    <t>43</t>
  </si>
  <si>
    <t>44</t>
  </si>
  <si>
    <t>probleme azote</t>
  </si>
  <si>
    <t>panne thermisation</t>
  </si>
  <si>
    <t>debit thermisation faible</t>
  </si>
  <si>
    <t>panne convoyeur vertical</t>
  </si>
  <si>
    <t>panne compresseur</t>
  </si>
  <si>
    <t xml:space="preserve">bonne productivité.pas de problème majeur. </t>
  </si>
  <si>
    <t>en congé depuis le 24/09/2025</t>
  </si>
  <si>
    <t>zakaria en congé. Possible deséquilibre dans les équipes avec des repercution sur les autres quarts mais sans problème majeur</t>
  </si>
  <si>
    <t>RAS.</t>
  </si>
  <si>
    <t>DPM2:Tapis bloqué. Démontage et reparation</t>
  </si>
  <si>
    <t>Compresseur1-appoint huile pour surchauffe</t>
  </si>
  <si>
    <t>demontage et nettoyages des plaque</t>
  </si>
  <si>
    <t>secheur1: remplacement ventilateur</t>
  </si>
  <si>
    <t>Imprimante carton (fuite encre-nettoyage-reglage)</t>
  </si>
  <si>
    <t>L1 (fuite encre-nettoyage-reglage)</t>
  </si>
  <si>
    <t>L4A: (fuite encre-nettoyage-reglage)</t>
  </si>
  <si>
    <t>L4B:(fuite encre-nettoyage-reglage)</t>
  </si>
  <si>
    <t>L4: courroie,spot,machoire, capteur et divers réglages-reducteur lame circulaire</t>
  </si>
  <si>
    <t>bonne production constatée sans problèmes majeures</t>
  </si>
  <si>
    <t>doseuse l2: poids et panne boisseau</t>
  </si>
  <si>
    <t>doseuseL1:poids et panne boisseau</t>
  </si>
  <si>
    <t>DPM1:regale tapis</t>
  </si>
  <si>
    <t>B2:bouchon</t>
  </si>
  <si>
    <t>secheur2:panne électrique</t>
  </si>
  <si>
    <t>thermorégulateur: réglage de la garniture mécanique</t>
  </si>
  <si>
    <t>onduleur principal: réparation écran d'affichage</t>
  </si>
  <si>
    <t>panne d'éclairage électrique</t>
  </si>
  <si>
    <t>bouchon de tuyautérie.</t>
  </si>
  <si>
    <t>bouchon echangeur à plaque</t>
  </si>
  <si>
    <t>bouchon pompe spx</t>
  </si>
  <si>
    <t>filtre PF:bouchon</t>
  </si>
  <si>
    <t>l4b:nettoyage de buse et reglage</t>
  </si>
  <si>
    <t>beaucoup de difficultés en thermisation avec des bouchons et le moteur de la chaudière HS</t>
  </si>
  <si>
    <t>Moteur rebobiné et une commande lancée pour un remplacement et stock</t>
  </si>
  <si>
    <t>clos</t>
  </si>
  <si>
    <t>maintenance annuelle générale</t>
  </si>
  <si>
    <t>doseuse L4: defaut de capteur.</t>
  </si>
  <si>
    <t>DPM1: blocage tambour</t>
  </si>
  <si>
    <t>arret en mi-décembre et debut des travaux de maintenance générale.</t>
  </si>
  <si>
    <t>arret prod changement prod 20g-92g</t>
  </si>
  <si>
    <t>pousse changement produit</t>
  </si>
  <si>
    <t>changement prod psup-pnut</t>
  </si>
  <si>
    <t>Arret PROD</t>
  </si>
  <si>
    <t>COUCHON FILTRE MP</t>
  </si>
  <si>
    <t>Nettoyage profond des cuves</t>
  </si>
  <si>
    <t>defaut ensacheuse</t>
  </si>
  <si>
    <t>arret débit faible</t>
  </si>
  <si>
    <t>problème de temperature thermisation</t>
  </si>
  <si>
    <t>panne doseuse,imprimante, ensacheuse</t>
  </si>
  <si>
    <t>rupture carton 14h50-17h42</t>
  </si>
  <si>
    <t>rupture carton 14h50-17h43</t>
  </si>
  <si>
    <t>rupture carton 14h50-17h44</t>
  </si>
  <si>
    <t>rupture colza 2h30-6h</t>
  </si>
  <si>
    <t>rupture colza 6h-11h27</t>
  </si>
  <si>
    <t>rupture colza 6h-11h28</t>
  </si>
  <si>
    <t>rupture colza 6h-11h29</t>
  </si>
  <si>
    <t>panne pompe et vanne th.</t>
  </si>
  <si>
    <t>rupture colza 8h28-10h34</t>
  </si>
  <si>
    <t>rupture colza 8h28-10h35</t>
  </si>
  <si>
    <t>rupture colza 8h28-10h36</t>
  </si>
  <si>
    <t>rupture complexe</t>
  </si>
  <si>
    <t>panne broyeur 1</t>
  </si>
  <si>
    <t>panne broyeur 2</t>
  </si>
  <si>
    <t>panne broyeur 3</t>
  </si>
  <si>
    <t>panne de la chaudière. Rebobinage de moteur et problème de débit d'envoi rencontré</t>
  </si>
  <si>
    <t>arret de production à partir du 08/12/2025</t>
  </si>
  <si>
    <t>SEPT</t>
  </si>
  <si>
    <t>OCT</t>
  </si>
  <si>
    <t>NOV</t>
  </si>
  <si>
    <t>MOYENNE</t>
  </si>
  <si>
    <t>DEC</t>
  </si>
  <si>
    <t>Dispo Moy</t>
  </si>
  <si>
    <t xml:space="preserve">cible </t>
  </si>
  <si>
    <t xml:space="preserve">
Prise en main difficile de la nouvelle ligne avec beaucoup de panne de lames cassée et d'arret de doseuse, causant une rupture de lame temporaire. Opérations d' élargissement des machoires et commande suplémentaire de lames pour resoudre le problème. 
Augmentation des travaux de maintenance corrective après l'incendie du compresseur 1. production avec un compresseur et à peine 2 ligne de conditionnement.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</si>
</sst>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 &quot;€&quot;_-;\-* #,##0.00\ &quot;€&quot;_-;_-* &quot;-&quot;??\ &quot;€&quot;_-;_-@_-"/>
    <numFmt numFmtId="165" formatCode="_-* #,##0.00\ _€_-;\-* #,##0.00\ _€_-;_-* &quot;-&quot;??\ _€_-;_-@_-"/>
    <numFmt numFmtId="166" formatCode="[$-F800]dddd\,\ mmmm\ dd\,\ yyyy"/>
    <numFmt numFmtId="167" formatCode="ddd\ dd\ mmm\ yy"/>
    <numFmt numFmtId="168" formatCode="[$-F400]h:mm:ss\ AM/PM"/>
    <numFmt numFmtId="169" formatCode="0.0"/>
  </numFmts>
  <fonts count="19">
    <font>
      <sz val="11"/>
      <color theme="1"/>
      <name val="Calibri"/>
      <family val="2"/>
      <scheme val="minor"/>
    </font>
    <font>
      <b/>
      <sz val="11"/>
      <color rgb="FFFFFFFF"/>
      <name val="Arial"/>
      <family val="2"/>
    </font>
    <font>
      <sz val="11"/>
      <color theme="1"/>
      <name val="Calibri"/>
      <family val="2"/>
      <scheme val="minor"/>
    </font>
    <font>
      <b/>
      <sz val="11"/>
      <color theme="1"/>
      <name val="Calibri"/>
      <family val="2"/>
      <scheme val="minor"/>
    </font>
    <font>
      <b/>
      <sz val="11"/>
      <color theme="0"/>
      <name val="Arial"/>
      <family val="2"/>
    </font>
    <font>
      <sz val="11"/>
      <color rgb="FF000000"/>
      <name val="Calibri"/>
      <family val="2"/>
      <scheme val="minor"/>
    </font>
    <font>
      <sz val="10"/>
      <color theme="1"/>
      <name val="Arial"/>
      <family val="2"/>
    </font>
    <font>
      <sz val="10"/>
      <color rgb="FF000000"/>
      <name val="Arial"/>
      <family val="2"/>
    </font>
    <font>
      <b/>
      <sz val="11"/>
      <color rgb="FFFFFFFF"/>
      <name val="Calibri"/>
      <family val="2"/>
      <scheme val="minor"/>
    </font>
    <font>
      <sz val="10"/>
      <name val="Arial"/>
      <family val="2"/>
    </font>
    <font>
      <sz val="11"/>
      <color rgb="FF000000"/>
      <name val="Calibri"/>
      <family val="2"/>
    </font>
    <font>
      <sz val="11"/>
      <name val="Arial"/>
      <family val="2"/>
    </font>
    <font>
      <b/>
      <sz val="14"/>
      <color theme="1"/>
      <name val="Calibri"/>
      <family val="2"/>
      <scheme val="minor"/>
    </font>
    <font>
      <sz val="8"/>
      <name val="Calibri"/>
      <family val="2"/>
      <scheme val="minor"/>
    </font>
    <font>
      <b/>
      <sz val="9"/>
      <color theme="1"/>
      <name val="Calibri"/>
      <family val="2"/>
      <scheme val="minor"/>
    </font>
    <font>
      <b/>
      <sz val="12"/>
      <color theme="1"/>
      <name val="Calibri"/>
      <family val="2"/>
      <scheme val="minor"/>
    </font>
    <font>
      <sz val="12"/>
      <color theme="5"/>
      <name val="Antique Olive Compact"/>
    </font>
    <font>
      <sz val="12"/>
      <color theme="1"/>
      <name val="Calibri"/>
      <family val="2"/>
      <scheme val="minor"/>
    </font>
    <font>
      <sz val="14"/>
      <color theme="1"/>
      <name val="Calibri"/>
      <family val="2"/>
      <scheme val="minor"/>
    </font>
  </fonts>
  <fills count="30">
    <fill>
      <patternFill patternType="none"/>
    </fill>
    <fill>
      <patternFill patternType="gray125"/>
    </fill>
    <fill>
      <patternFill patternType="solid">
        <fgColor rgb="FFC9C9C9"/>
        <bgColor rgb="FF000000"/>
      </patternFill>
    </fill>
    <fill>
      <patternFill patternType="solid">
        <fgColor rgb="FF525252"/>
        <bgColor rgb="FF000000"/>
      </patternFill>
    </fill>
    <fill>
      <patternFill patternType="solid">
        <fgColor theme="6" tint="0.39997558519241921"/>
        <bgColor indexed="64"/>
      </patternFill>
    </fill>
    <fill>
      <patternFill patternType="solid">
        <fgColor theme="6" tint="-0.499984740745262"/>
        <bgColor indexed="64"/>
      </patternFill>
    </fill>
    <fill>
      <patternFill patternType="solid">
        <fgColor theme="5" tint="0.59999389629810485"/>
        <bgColor theme="4" tint="0.79998168889431442"/>
      </patternFill>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rgb="FFD9E1F2"/>
        <bgColor rgb="FFD9E1F2"/>
      </patternFill>
    </fill>
    <fill>
      <patternFill patternType="solid">
        <fgColor rgb="FF4472C4"/>
        <bgColor rgb="FF4472C4"/>
      </patternFill>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00B0F0"/>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6337778862885"/>
        <bgColor indexed="64"/>
      </patternFill>
    </fill>
    <fill>
      <patternFill patternType="solid">
        <fgColor theme="7"/>
        <bgColor indexed="64"/>
      </patternFill>
    </fill>
    <fill>
      <patternFill patternType="solid">
        <fgColor rgb="FFFFC000"/>
        <bgColor indexed="64"/>
      </patternFill>
    </fill>
    <fill>
      <patternFill patternType="solid">
        <fgColor rgb="FFFF0000"/>
        <bgColor indexed="64"/>
      </patternFill>
    </fill>
    <fill>
      <patternFill patternType="solid">
        <fgColor theme="7" tint="0.39997558519241921"/>
        <bgColor theme="9" tint="0.79998168889431442"/>
      </patternFill>
    </fill>
    <fill>
      <patternFill patternType="solid">
        <fgColor theme="4" tint="0.79998168889431442"/>
        <bgColor indexed="64"/>
      </patternFill>
    </fill>
    <fill>
      <patternFill patternType="solid">
        <fgColor rgb="FFFFFF00"/>
        <bgColor theme="9" tint="0.79998168889431442"/>
      </patternFill>
    </fill>
    <fill>
      <patternFill patternType="solid">
        <fgColor rgb="FF92D050"/>
        <bgColor theme="9" tint="0.79998168889431442"/>
      </patternFill>
    </fill>
    <fill>
      <patternFill patternType="solid">
        <fgColor theme="2"/>
        <bgColor indexed="64"/>
      </patternFill>
    </fill>
    <fill>
      <patternFill patternType="solid">
        <fgColor theme="6" tint="0.79998168889431442"/>
        <bgColor indexed="64"/>
      </patternFill>
    </fill>
  </fills>
  <borders count="59">
    <border>
      <left/>
      <right/>
      <top/>
      <bottom/>
      <diagonal/>
    </border>
    <border>
      <left style="thin">
        <color rgb="FF8EA9DB"/>
      </left>
      <right/>
      <top/>
      <bottom style="thin">
        <color rgb="FF8EA9DB"/>
      </bottom>
      <diagonal/>
    </border>
    <border>
      <left/>
      <right/>
      <top/>
      <bottom style="thin">
        <color rgb="FF8EA9DB"/>
      </bottom>
      <diagonal/>
    </border>
    <border>
      <left style="thin">
        <color theme="4" tint="0.39994506668294322"/>
      </left>
      <right style="thin">
        <color theme="4" tint="0.39991454817346722"/>
      </right>
      <top/>
      <bottom/>
      <diagonal/>
    </border>
    <border>
      <left style="thin">
        <color theme="4" tint="0.39997558519241921"/>
      </left>
      <right/>
      <top style="thin">
        <color theme="4" tint="0.39997558519241921"/>
      </top>
      <bottom/>
      <diagonal/>
    </border>
    <border>
      <left style="thin">
        <color theme="4" tint="0.39994506668294322"/>
      </left>
      <right style="thin">
        <color theme="4" tint="0.39991454817346722"/>
      </right>
      <top style="thin">
        <color theme="4" tint="0.39997558519241921"/>
      </top>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auto="1"/>
      </left>
      <right style="thin">
        <color auto="1"/>
      </right>
      <top style="thin">
        <color auto="1"/>
      </top>
      <bottom style="thin">
        <color auto="1"/>
      </bottom>
      <diagonal/>
    </border>
    <border>
      <left style="thin">
        <color rgb="FF8EA9DB"/>
      </left>
      <right style="thin">
        <color rgb="FF8EA9DB"/>
      </right>
      <top/>
      <bottom style="thin">
        <color rgb="FF8EA9DB"/>
      </bottom>
      <diagonal/>
    </border>
    <border>
      <left/>
      <right/>
      <top style="thin">
        <color theme="9"/>
      </top>
      <bottom/>
      <diagonal/>
    </border>
    <border>
      <left style="thin">
        <color theme="4"/>
      </left>
      <right style="thin">
        <color theme="4"/>
      </right>
      <top style="thin">
        <color theme="4" tint="0.39997558519241921"/>
      </top>
      <bottom style="thin">
        <color theme="4" tint="0.39997558519241921"/>
      </bottom>
      <diagonal/>
    </border>
    <border>
      <left/>
      <right/>
      <top style="thin">
        <color theme="9"/>
      </top>
      <bottom style="thin">
        <color theme="4" tint="0.39997558519241921"/>
      </bottom>
      <diagonal/>
    </border>
    <border>
      <left style="thin">
        <color theme="4" tint="0.39997558519241921"/>
      </left>
      <right style="thin">
        <color theme="4" tint="0.39997558519241921"/>
      </right>
      <top style="thin">
        <color theme="9"/>
      </top>
      <bottom style="thin">
        <color theme="4" tint="0.39997558519241921"/>
      </bottom>
      <diagonal/>
    </border>
    <border>
      <left style="thin">
        <color rgb="FF8EA9DB"/>
      </left>
      <right style="thin">
        <color rgb="FF8EA9DB"/>
      </right>
      <top/>
      <bottom/>
      <diagonal/>
    </border>
    <border>
      <left style="thin">
        <color rgb="FFF79646"/>
      </left>
      <right/>
      <top style="thin">
        <color rgb="FFF79646"/>
      </top>
      <bottom/>
      <diagonal/>
    </border>
    <border>
      <left/>
      <right/>
      <top style="thin">
        <color rgb="FFF79646"/>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ck">
        <color auto="1"/>
      </top>
      <bottom style="medium">
        <color auto="1"/>
      </bottom>
      <diagonal/>
    </border>
    <border>
      <left style="medium">
        <color auto="1"/>
      </left>
      <right style="thin">
        <color auto="1"/>
      </right>
      <top style="thick">
        <color auto="1"/>
      </top>
      <bottom style="medium">
        <color auto="1"/>
      </bottom>
      <diagonal/>
    </border>
    <border>
      <left style="thin">
        <color auto="1"/>
      </left>
      <right style="thin">
        <color indexed="64"/>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auto="1"/>
      </left>
      <right style="thin">
        <color auto="1"/>
      </right>
      <top style="thin">
        <color theme="0" tint="-0.34998626667073579"/>
      </top>
      <bottom style="thin">
        <color auto="1"/>
      </bottom>
      <diagonal/>
    </border>
    <border>
      <left style="thin">
        <color auto="1"/>
      </left>
      <right style="thin">
        <color auto="1"/>
      </right>
      <top/>
      <bottom style="thin">
        <color theme="0" tint="-0.34998626667073579"/>
      </bottom>
      <diagonal/>
    </border>
    <border>
      <left style="medium">
        <color auto="1"/>
      </left>
      <right style="thin">
        <color auto="1"/>
      </right>
      <top/>
      <bottom style="thin">
        <color theme="0" tint="-0.34998626667073579"/>
      </bottom>
      <diagonal/>
    </border>
    <border>
      <left style="thin">
        <color auto="1"/>
      </left>
      <right style="thin">
        <color auto="1"/>
      </right>
      <top style="thick">
        <color auto="1"/>
      </top>
      <bottom/>
      <diagonal/>
    </border>
    <border>
      <left style="thick">
        <color auto="1"/>
      </left>
      <right style="thin">
        <color auto="1"/>
      </right>
      <top style="thick">
        <color auto="1"/>
      </top>
      <bottom/>
      <diagonal/>
    </border>
    <border>
      <left style="thin">
        <color auto="1"/>
      </left>
      <right/>
      <top style="thick">
        <color auto="1"/>
      </top>
      <bottom/>
      <diagonal/>
    </border>
    <border>
      <left style="thin">
        <color auto="1"/>
      </left>
      <right style="thin">
        <color auto="1"/>
      </right>
      <top style="thin">
        <color auto="1"/>
      </top>
      <bottom style="thin">
        <color theme="0" tint="-0.14996795556505021"/>
      </bottom>
      <diagonal/>
    </border>
    <border>
      <left style="medium">
        <color auto="1"/>
      </left>
      <right style="thin">
        <color auto="1"/>
      </right>
      <top style="thin">
        <color auto="1"/>
      </top>
      <bottom style="thin">
        <color theme="0" tint="-0.34998626667073579"/>
      </bottom>
      <diagonal/>
    </border>
    <border>
      <left/>
      <right style="thin">
        <color auto="1"/>
      </right>
      <top/>
      <bottom style="thin">
        <color theme="0" tint="-0.34998626667073579"/>
      </bottom>
      <diagonal/>
    </border>
    <border>
      <left/>
      <right style="thin">
        <color auto="1"/>
      </right>
      <top style="thin">
        <color theme="0" tint="-0.34998626667073579"/>
      </top>
      <bottom style="thin">
        <color auto="1"/>
      </bottom>
      <diagonal/>
    </border>
    <border>
      <left/>
      <right style="thin">
        <color auto="1"/>
      </right>
      <top style="thick">
        <color auto="1"/>
      </top>
      <bottom style="medium">
        <color auto="1"/>
      </bottom>
      <diagonal/>
    </border>
    <border>
      <left style="thin">
        <color indexed="64"/>
      </left>
      <right style="thin">
        <color auto="1"/>
      </right>
      <top style="thin">
        <color indexed="64"/>
      </top>
      <bottom style="thin">
        <color theme="0" tint="-0.34998626667073579"/>
      </bottom>
      <diagonal/>
    </border>
    <border>
      <left style="thin">
        <color auto="1"/>
      </left>
      <right style="thin">
        <color auto="1"/>
      </right>
      <top/>
      <bottom style="thin">
        <color theme="0" tint="-0.14996795556505021"/>
      </bottom>
      <diagonal/>
    </border>
    <border>
      <left style="thin">
        <color indexed="64"/>
      </left>
      <right style="thin">
        <color auto="1"/>
      </right>
      <top style="medium">
        <color auto="1"/>
      </top>
      <bottom/>
      <diagonal/>
    </border>
    <border>
      <left style="medium">
        <color auto="1"/>
      </left>
      <right style="thin">
        <color auto="1"/>
      </right>
      <top/>
      <bottom/>
      <diagonal/>
    </border>
    <border>
      <left style="thin">
        <color indexed="64"/>
      </left>
      <right style="thin">
        <color auto="1"/>
      </right>
      <top/>
      <bottom style="medium">
        <color auto="1"/>
      </bottom>
      <diagonal/>
    </border>
    <border>
      <left/>
      <right style="thin">
        <color auto="1"/>
      </right>
      <top/>
      <bottom style="thin">
        <color theme="0" tint="-0.14996795556505021"/>
      </bottom>
      <diagonal/>
    </border>
    <border>
      <left/>
      <right style="thin">
        <color auto="1"/>
      </right>
      <top style="thin">
        <color indexed="64"/>
      </top>
      <bottom style="thin">
        <color theme="0" tint="-0.34998626667073579"/>
      </bottom>
      <diagonal/>
    </border>
    <border>
      <left style="medium">
        <color auto="1"/>
      </left>
      <right style="thin">
        <color auto="1"/>
      </right>
      <top/>
      <bottom style="thin">
        <color indexed="64"/>
      </bottom>
      <diagonal/>
    </border>
    <border>
      <left style="thin">
        <color auto="1"/>
      </left>
      <right/>
      <top/>
      <bottom style="thin">
        <color theme="0" tint="-0.14996795556505021"/>
      </bottom>
      <diagonal/>
    </border>
    <border>
      <left style="thin">
        <color auto="1"/>
      </left>
      <right/>
      <top style="thin">
        <color auto="1"/>
      </top>
      <bottom style="thin">
        <color theme="0" tint="-0.14996795556505021"/>
      </bottom>
      <diagonal/>
    </border>
  </borders>
  <cellStyleXfs count="12">
    <xf numFmtId="0" fontId="0" fillId="0" borderId="0"/>
    <xf numFmtId="164" fontId="2" fillId="0" borderId="0" applyFont="0" applyFill="0" applyBorder="0" applyAlignment="0" applyProtection="0"/>
    <xf numFmtId="0" fontId="2" fillId="0" borderId="0"/>
    <xf numFmtId="9" fontId="2" fillId="0" borderId="0" applyFont="0" applyFill="0" applyBorder="0" applyAlignment="0" applyProtection="0"/>
    <xf numFmtId="0" fontId="9" fillId="0" borderId="0"/>
    <xf numFmtId="164" fontId="2" fillId="0" borderId="0" applyFont="0" applyFill="0" applyBorder="0" applyAlignment="0" applyProtection="0"/>
    <xf numFmtId="0" fontId="9" fillId="0" borderId="0"/>
    <xf numFmtId="0" fontId="2" fillId="0" borderId="0"/>
    <xf numFmtId="43" fontId="2" fillId="0" borderId="0" applyFont="0" applyFill="0" applyBorder="0" applyAlignment="0" applyProtection="0"/>
    <xf numFmtId="165" fontId="2" fillId="0" borderId="0" applyFont="0" applyFill="0" applyBorder="0" applyAlignment="0" applyProtection="0"/>
    <xf numFmtId="43" fontId="2" fillId="0" borderId="0" applyFont="0" applyFill="0" applyBorder="0" applyAlignment="0" applyProtection="0"/>
    <xf numFmtId="0" fontId="9" fillId="0" borderId="0"/>
  </cellStyleXfs>
  <cellXfs count="26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3" borderId="0" xfId="0" applyFont="1" applyFill="1" applyAlignment="1">
      <alignment horizontal="center" vertical="center" wrapText="1"/>
    </xf>
    <xf numFmtId="37" fontId="4" fillId="4" borderId="0" xfId="1" applyNumberFormat="1" applyFont="1" applyFill="1" applyBorder="1" applyAlignment="1">
      <alignment horizontal="center" vertical="center" wrapText="1"/>
    </xf>
    <xf numFmtId="37" fontId="4" fillId="5" borderId="0" xfId="1" applyNumberFormat="1" applyFont="1" applyFill="1" applyBorder="1" applyAlignment="1">
      <alignment horizontal="center" vertical="center" wrapText="1"/>
    </xf>
    <xf numFmtId="0" fontId="0" fillId="6" borderId="3" xfId="0" applyFill="1" applyBorder="1" applyAlignment="1">
      <alignment horizontal="center"/>
    </xf>
    <xf numFmtId="0" fontId="3" fillId="7" borderId="4" xfId="0" applyFont="1" applyFill="1" applyBorder="1" applyAlignment="1">
      <alignment horizontal="center"/>
    </xf>
    <xf numFmtId="0" fontId="0" fillId="6" borderId="5" xfId="0" applyFill="1" applyBorder="1" applyAlignment="1">
      <alignment horizontal="center"/>
    </xf>
    <xf numFmtId="0" fontId="0" fillId="8" borderId="7" xfId="0" applyFill="1" applyBorder="1"/>
    <xf numFmtId="0" fontId="0" fillId="0" borderId="7" xfId="0" applyBorder="1"/>
    <xf numFmtId="0" fontId="5" fillId="0" borderId="0" xfId="0" applyFont="1"/>
    <xf numFmtId="0" fontId="6" fillId="8" borderId="7" xfId="0" applyFont="1" applyFill="1" applyBorder="1"/>
    <xf numFmtId="0" fontId="6" fillId="8" borderId="8" xfId="0" applyFont="1" applyFill="1" applyBorder="1"/>
    <xf numFmtId="0" fontId="0" fillId="0" borderId="9" xfId="0" applyBorder="1" applyAlignment="1">
      <alignment horizontal="left" vertical="center" wrapText="1"/>
    </xf>
    <xf numFmtId="0" fontId="5" fillId="0" borderId="10" xfId="0" applyFont="1" applyBorder="1"/>
    <xf numFmtId="0" fontId="6" fillId="0" borderId="8" xfId="0" applyFont="1" applyBorder="1"/>
    <xf numFmtId="0" fontId="6" fillId="0" borderId="7" xfId="0" applyFont="1" applyBorder="1"/>
    <xf numFmtId="0" fontId="5" fillId="9" borderId="10" xfId="0" applyFont="1" applyFill="1" applyBorder="1"/>
    <xf numFmtId="0" fontId="5" fillId="9" borderId="0" xfId="0" applyFont="1" applyFill="1"/>
    <xf numFmtId="0" fontId="5" fillId="9" borderId="2" xfId="0" applyFont="1" applyFill="1" applyBorder="1"/>
    <xf numFmtId="0" fontId="0" fillId="0" borderId="6" xfId="0" applyBorder="1"/>
    <xf numFmtId="0" fontId="8" fillId="10" borderId="0" xfId="0" applyFont="1" applyFill="1"/>
    <xf numFmtId="0" fontId="5" fillId="9" borderId="7" xfId="0" applyFont="1" applyFill="1" applyBorder="1"/>
    <xf numFmtId="0" fontId="5" fillId="0" borderId="7" xfId="0" applyFont="1" applyBorder="1"/>
    <xf numFmtId="0" fontId="5" fillId="9" borderId="6" xfId="0" applyFont="1" applyFill="1" applyBorder="1"/>
    <xf numFmtId="0" fontId="0" fillId="0" borderId="11" xfId="0" applyBorder="1"/>
    <xf numFmtId="0" fontId="2" fillId="0" borderId="11" xfId="0" applyFont="1" applyBorder="1"/>
    <xf numFmtId="0" fontId="2" fillId="0" borderId="0" xfId="0" applyFont="1"/>
    <xf numFmtId="0" fontId="0" fillId="0" borderId="0" xfId="0" applyAlignment="1">
      <alignment horizontal="right"/>
    </xf>
    <xf numFmtId="0" fontId="2" fillId="0" borderId="0" xfId="0" applyFont="1" applyAlignment="1">
      <alignment horizontal="right"/>
    </xf>
    <xf numFmtId="0" fontId="0" fillId="0" borderId="11" xfId="0" applyBorder="1" applyAlignment="1">
      <alignment horizontal="left"/>
    </xf>
    <xf numFmtId="0" fontId="9" fillId="8" borderId="12" xfId="0" applyFont="1" applyFill="1" applyBorder="1" applyAlignment="1">
      <alignment vertical="center"/>
    </xf>
    <xf numFmtId="0" fontId="9" fillId="0" borderId="7" xfId="0" applyFont="1" applyBorder="1" applyAlignment="1">
      <alignment vertical="center"/>
    </xf>
    <xf numFmtId="0" fontId="6" fillId="0" borderId="0" xfId="0" applyFont="1"/>
    <xf numFmtId="0" fontId="0" fillId="8" borderId="6" xfId="0" applyFill="1" applyBorder="1"/>
    <xf numFmtId="0" fontId="0" fillId="0" borderId="11" xfId="0" applyBorder="1" applyAlignment="1">
      <alignment horizontal="right"/>
    </xf>
    <xf numFmtId="0" fontId="0" fillId="0" borderId="11" xfId="0" applyBorder="1" applyAlignment="1">
      <alignment horizontal="right" vertical="center" wrapText="1"/>
    </xf>
    <xf numFmtId="0" fontId="0" fillId="11" borderId="11" xfId="0" applyFill="1" applyBorder="1" applyAlignment="1">
      <alignment horizontal="right"/>
    </xf>
    <xf numFmtId="0" fontId="0" fillId="0" borderId="13" xfId="0" applyBorder="1" applyAlignment="1">
      <alignment horizontal="left"/>
    </xf>
    <xf numFmtId="0" fontId="0" fillId="8" borderId="14" xfId="0" applyFill="1" applyBorder="1" applyAlignment="1">
      <alignment horizontal="left"/>
    </xf>
    <xf numFmtId="0" fontId="0" fillId="11" borderId="14" xfId="0" applyFill="1" applyBorder="1" applyAlignment="1">
      <alignment horizontal="left"/>
    </xf>
    <xf numFmtId="0" fontId="0" fillId="0" borderId="14" xfId="0" applyBorder="1" applyAlignment="1">
      <alignment horizontal="left"/>
    </xf>
    <xf numFmtId="0" fontId="0" fillId="0" borderId="13" xfId="0" applyBorder="1"/>
    <xf numFmtId="0" fontId="9" fillId="9" borderId="15" xfId="0" applyFont="1" applyFill="1" applyBorder="1"/>
    <xf numFmtId="0" fontId="9" fillId="0" borderId="12" xfId="0" applyFont="1" applyBorder="1" applyAlignment="1">
      <alignment vertical="center"/>
    </xf>
    <xf numFmtId="0" fontId="7" fillId="9" borderId="15" xfId="0" applyFont="1" applyFill="1" applyBorder="1"/>
    <xf numFmtId="0" fontId="9" fillId="0" borderId="7" xfId="0" applyFont="1" applyBorder="1"/>
    <xf numFmtId="0" fontId="5" fillId="9" borderId="15" xfId="0" applyFont="1" applyFill="1" applyBorder="1"/>
    <xf numFmtId="0" fontId="6" fillId="0" borderId="6" xfId="0" applyFont="1" applyBorder="1"/>
    <xf numFmtId="0" fontId="0" fillId="9" borderId="15" xfId="0" applyFill="1" applyBorder="1"/>
    <xf numFmtId="0" fontId="10" fillId="8" borderId="16" xfId="0" applyFont="1" applyFill="1" applyBorder="1"/>
    <xf numFmtId="0" fontId="10" fillId="0" borderId="17" xfId="0" applyFont="1" applyBorder="1"/>
    <xf numFmtId="0" fontId="11" fillId="0" borderId="0" xfId="0" applyFont="1"/>
    <xf numFmtId="3" fontId="0" fillId="0" borderId="0" xfId="0" applyNumberFormat="1"/>
    <xf numFmtId="49" fontId="0" fillId="6" borderId="6" xfId="0" applyNumberFormat="1" applyFill="1" applyBorder="1" applyAlignment="1">
      <alignment horizontal="center"/>
    </xf>
    <xf numFmtId="49" fontId="0" fillId="6" borderId="0" xfId="0" applyNumberFormat="1" applyFill="1" applyAlignment="1">
      <alignment horizontal="center"/>
    </xf>
    <xf numFmtId="0" fontId="0" fillId="7" borderId="6" xfId="0" applyFill="1" applyBorder="1"/>
    <xf numFmtId="0" fontId="0" fillId="7" borderId="0" xfId="0" applyFill="1"/>
    <xf numFmtId="0" fontId="0" fillId="0" borderId="18" xfId="0" applyBorder="1"/>
    <xf numFmtId="0" fontId="6" fillId="8" borderId="6" xfId="0" applyFont="1" applyFill="1" applyBorder="1"/>
    <xf numFmtId="49" fontId="0" fillId="6" borderId="19" xfId="0" applyNumberFormat="1" applyFill="1" applyBorder="1" applyAlignment="1">
      <alignment horizontal="center"/>
    </xf>
    <xf numFmtId="0" fontId="0" fillId="0" borderId="0" xfId="0" applyAlignment="1">
      <alignment horizontal="center"/>
    </xf>
    <xf numFmtId="0" fontId="0" fillId="0" borderId="9" xfId="0" applyBorder="1"/>
    <xf numFmtId="0" fontId="0" fillId="0" borderId="9" xfId="0" applyBorder="1" applyAlignment="1">
      <alignment horizontal="center" vertical="center"/>
    </xf>
    <xf numFmtId="0" fontId="0" fillId="14" borderId="9" xfId="0" applyFill="1" applyBorder="1" applyAlignment="1">
      <alignment horizontal="center"/>
    </xf>
    <xf numFmtId="0" fontId="0" fillId="11" borderId="9" xfId="0" applyFill="1" applyBorder="1" applyAlignment="1">
      <alignment horizontal="center" vertical="center"/>
    </xf>
    <xf numFmtId="9" fontId="0" fillId="0" borderId="0" xfId="3" applyFont="1"/>
    <xf numFmtId="0" fontId="0" fillId="0" borderId="9" xfId="0" applyBorder="1" applyAlignment="1">
      <alignment horizontal="left" vertical="center"/>
    </xf>
    <xf numFmtId="0" fontId="0" fillId="16" borderId="9" xfId="0" applyFill="1" applyBorder="1" applyAlignment="1">
      <alignment horizontal="center" vertical="center"/>
    </xf>
    <xf numFmtId="0" fontId="0" fillId="17" borderId="9" xfId="0" applyFill="1" applyBorder="1" applyAlignment="1">
      <alignment horizontal="center" vertical="center" wrapText="1"/>
    </xf>
    <xf numFmtId="0" fontId="0" fillId="0" borderId="0" xfId="0" applyAlignment="1">
      <alignment vertical="center"/>
    </xf>
    <xf numFmtId="9" fontId="0" fillId="0" borderId="9" xfId="3" applyFont="1" applyBorder="1" applyAlignment="1">
      <alignment horizontal="center" vertical="center"/>
    </xf>
    <xf numFmtId="0" fontId="0" fillId="19" borderId="9" xfId="0" applyFill="1" applyBorder="1" applyAlignment="1">
      <alignment horizontal="center"/>
    </xf>
    <xf numFmtId="0" fontId="0" fillId="0" borderId="0" xfId="0" applyAlignment="1">
      <alignment horizontal="centerContinuous" vertical="center"/>
    </xf>
    <xf numFmtId="0" fontId="12" fillId="0" borderId="0" xfId="0" applyFont="1" applyAlignment="1">
      <alignment horizontal="centerContinuous" vertical="center"/>
    </xf>
    <xf numFmtId="0" fontId="12" fillId="0" borderId="24" xfId="0" applyFont="1" applyBorder="1" applyAlignment="1">
      <alignment horizontal="centerContinuous" vertical="center"/>
    </xf>
    <xf numFmtId="1" fontId="0" fillId="12" borderId="39" xfId="0" applyNumberFormat="1" applyFill="1" applyBorder="1" applyAlignment="1" applyProtection="1">
      <alignment horizontal="center"/>
      <protection locked="0"/>
    </xf>
    <xf numFmtId="1" fontId="0" fillId="14" borderId="46" xfId="0" applyNumberFormat="1" applyFill="1" applyBorder="1" applyAlignment="1" applyProtection="1">
      <alignment horizontal="center"/>
      <protection locked="0"/>
    </xf>
    <xf numFmtId="0" fontId="0" fillId="0" borderId="0" xfId="0" applyAlignment="1">
      <alignment horizontal="left" vertical="center"/>
    </xf>
    <xf numFmtId="0" fontId="12" fillId="0" borderId="35" xfId="0" applyFont="1" applyBorder="1" applyAlignment="1">
      <alignment horizontal="centerContinuous" vertical="center" shrinkToFit="1"/>
    </xf>
    <xf numFmtId="0" fontId="0" fillId="0" borderId="35" xfId="0" applyBorder="1" applyAlignment="1">
      <alignment horizontal="centerContinuous" vertical="center" shrinkToFit="1"/>
    </xf>
    <xf numFmtId="0" fontId="0" fillId="0" borderId="35" xfId="0" applyBorder="1"/>
    <xf numFmtId="0" fontId="0" fillId="15" borderId="9" xfId="0" applyFill="1" applyBorder="1" applyAlignment="1">
      <alignment horizontal="center" vertical="center"/>
    </xf>
    <xf numFmtId="0" fontId="0" fillId="0" borderId="9" xfId="0" applyBorder="1" applyAlignment="1">
      <alignment horizontal="center"/>
    </xf>
    <xf numFmtId="0" fontId="15" fillId="0" borderId="9" xfId="0" applyFont="1" applyBorder="1" applyAlignment="1">
      <alignment vertical="center"/>
    </xf>
    <xf numFmtId="10" fontId="15" fillId="0" borderId="22" xfId="3" applyNumberFormat="1" applyFont="1" applyBorder="1" applyAlignment="1">
      <alignment horizontal="center" vertical="center"/>
    </xf>
    <xf numFmtId="9" fontId="15" fillId="0" borderId="9" xfId="3" applyFont="1" applyBorder="1" applyAlignment="1">
      <alignment horizontal="center" vertical="center"/>
    </xf>
    <xf numFmtId="0" fontId="15" fillId="24" borderId="9" xfId="0" applyFont="1" applyFill="1" applyBorder="1" applyAlignment="1">
      <alignment horizontal="left" vertical="center"/>
    </xf>
    <xf numFmtId="0" fontId="15" fillId="15" borderId="9" xfId="0" applyFont="1" applyFill="1" applyBorder="1" applyAlignment="1">
      <alignment horizontal="left" vertical="center"/>
    </xf>
    <xf numFmtId="0" fontId="0" fillId="15" borderId="35" xfId="0" applyFill="1" applyBorder="1" applyAlignment="1">
      <alignment horizontal="center" vertical="center"/>
    </xf>
    <xf numFmtId="0" fontId="0" fillId="25" borderId="9" xfId="0" applyFill="1" applyBorder="1" applyAlignment="1">
      <alignment horizontal="center" vertical="center"/>
    </xf>
    <xf numFmtId="0" fontId="0" fillId="25" borderId="9" xfId="0" applyFill="1" applyBorder="1" applyAlignment="1">
      <alignment horizontal="center"/>
    </xf>
    <xf numFmtId="0" fontId="18" fillId="25" borderId="9" xfId="0" applyFont="1" applyFill="1" applyBorder="1" applyAlignment="1">
      <alignment horizontal="center" vertical="center"/>
    </xf>
    <xf numFmtId="0" fontId="18" fillId="0" borderId="9" xfId="0" applyFont="1" applyBorder="1" applyAlignment="1">
      <alignment horizontal="center" vertical="center"/>
    </xf>
    <xf numFmtId="0" fontId="18" fillId="12" borderId="9" xfId="0" applyFont="1" applyFill="1" applyBorder="1" applyAlignment="1">
      <alignment horizontal="center" vertical="center"/>
    </xf>
    <xf numFmtId="9" fontId="18" fillId="12" borderId="9" xfId="3" applyFont="1" applyFill="1" applyBorder="1" applyAlignment="1">
      <alignment horizontal="center" vertical="center"/>
    </xf>
    <xf numFmtId="0" fontId="12" fillId="0" borderId="22" xfId="0" applyFont="1" applyBorder="1" applyAlignment="1">
      <alignment horizontal="center" vertical="center"/>
    </xf>
    <xf numFmtId="0" fontId="0" fillId="17" borderId="9" xfId="0" applyFill="1" applyBorder="1" applyAlignment="1">
      <alignment horizontal="center" vertical="center"/>
    </xf>
    <xf numFmtId="0" fontId="0" fillId="17" borderId="9" xfId="0" applyFill="1" applyBorder="1" applyAlignment="1">
      <alignment horizontal="center"/>
    </xf>
    <xf numFmtId="0" fontId="12" fillId="27" borderId="22" xfId="0" applyFont="1" applyFill="1" applyBorder="1" applyAlignment="1">
      <alignment horizontal="center" vertical="center"/>
    </xf>
    <xf numFmtId="0" fontId="0" fillId="23" borderId="9" xfId="0" applyFill="1" applyBorder="1" applyAlignment="1">
      <alignment horizontal="center" vertical="center"/>
    </xf>
    <xf numFmtId="0" fontId="3" fillId="23" borderId="9" xfId="0" applyFont="1" applyFill="1" applyBorder="1" applyAlignment="1">
      <alignment horizontal="center" vertical="center"/>
    </xf>
    <xf numFmtId="0" fontId="3" fillId="23" borderId="35" xfId="0" applyFont="1" applyFill="1" applyBorder="1" applyAlignment="1">
      <alignment horizontal="center" vertical="center"/>
    </xf>
    <xf numFmtId="0" fontId="3" fillId="12" borderId="9" xfId="0" applyFont="1" applyFill="1" applyBorder="1" applyAlignment="1">
      <alignment horizontal="center" vertical="center" wrapText="1"/>
    </xf>
    <xf numFmtId="0" fontId="3" fillId="26" borderId="9" xfId="0" applyFont="1" applyFill="1" applyBorder="1" applyAlignment="1">
      <alignment horizontal="center" vertical="center" wrapText="1"/>
    </xf>
    <xf numFmtId="166" fontId="0" fillId="29" borderId="44" xfId="0" applyNumberFormat="1" applyFill="1" applyBorder="1" applyAlignment="1" applyProtection="1">
      <alignment horizontal="center" vertical="center"/>
      <protection locked="0"/>
    </xf>
    <xf numFmtId="168" fontId="0" fillId="0" borderId="40" xfId="0" applyNumberFormat="1" applyBorder="1" applyAlignment="1" applyProtection="1">
      <alignment horizontal="center"/>
      <protection locked="0"/>
    </xf>
    <xf numFmtId="168" fontId="0" fillId="0" borderId="46" xfId="0" applyNumberFormat="1" applyBorder="1" applyAlignment="1" applyProtection="1">
      <alignment horizontal="center"/>
      <protection locked="0"/>
    </xf>
    <xf numFmtId="10" fontId="0" fillId="0" borderId="46" xfId="3" applyNumberFormat="1" applyFont="1" applyBorder="1" applyAlignment="1" applyProtection="1">
      <alignment horizontal="center"/>
      <protection locked="0"/>
    </xf>
    <xf numFmtId="1" fontId="0" fillId="14" borderId="49" xfId="0" applyNumberFormat="1" applyFill="1" applyBorder="1" applyAlignment="1" applyProtection="1">
      <alignment horizontal="center"/>
      <protection locked="0"/>
    </xf>
    <xf numFmtId="166" fontId="0" fillId="29" borderId="50" xfId="0" applyNumberFormat="1" applyFill="1" applyBorder="1" applyAlignment="1" applyProtection="1">
      <alignment horizontal="center" vertical="center"/>
      <protection locked="0"/>
    </xf>
    <xf numFmtId="0" fontId="0" fillId="0" borderId="20" xfId="0" applyBorder="1"/>
    <xf numFmtId="1" fontId="0" fillId="14" borderId="20" xfId="0" applyNumberFormat="1" applyFill="1" applyBorder="1" applyAlignment="1" applyProtection="1">
      <alignment horizontal="center"/>
      <protection locked="0"/>
    </xf>
    <xf numFmtId="166" fontId="0" fillId="29" borderId="35" xfId="0" applyNumberFormat="1" applyFill="1" applyBorder="1" applyAlignment="1" applyProtection="1">
      <alignment horizontal="center" vertical="center"/>
      <protection locked="0"/>
    </xf>
    <xf numFmtId="10" fontId="0" fillId="0" borderId="47" xfId="3" applyNumberFormat="1" applyFont="1" applyBorder="1" applyAlignment="1" applyProtection="1">
      <alignment horizontal="center"/>
      <protection locked="0"/>
    </xf>
    <xf numFmtId="0" fontId="0" fillId="15" borderId="20" xfId="0" applyFill="1" applyBorder="1"/>
    <xf numFmtId="167" fontId="14" fillId="15" borderId="20" xfId="0" applyNumberFormat="1" applyFont="1" applyFill="1" applyBorder="1" applyAlignment="1">
      <alignment horizontal="center" vertical="center"/>
    </xf>
    <xf numFmtId="1" fontId="0" fillId="15" borderId="20" xfId="0" applyNumberFormat="1" applyFill="1" applyBorder="1" applyAlignment="1" applyProtection="1">
      <alignment horizontal="center"/>
      <protection locked="0"/>
    </xf>
    <xf numFmtId="166" fontId="3" fillId="15" borderId="20" xfId="0" applyNumberFormat="1" applyFont="1" applyFill="1" applyBorder="1" applyAlignment="1" applyProtection="1">
      <alignment horizontal="center" vertical="center"/>
      <protection locked="0"/>
    </xf>
    <xf numFmtId="10" fontId="0" fillId="15" borderId="25" xfId="3" applyNumberFormat="1" applyFont="1" applyFill="1" applyBorder="1" applyAlignment="1" applyProtection="1">
      <alignment horizontal="center"/>
      <protection locked="0"/>
    </xf>
    <xf numFmtId="10" fontId="0" fillId="15" borderId="46" xfId="3" applyNumberFormat="1" applyFont="1" applyFill="1" applyBorder="1" applyAlignment="1" applyProtection="1">
      <alignment horizontal="center"/>
      <protection locked="0"/>
    </xf>
    <xf numFmtId="168" fontId="0" fillId="0" borderId="52" xfId="0" applyNumberFormat="1" applyBorder="1" applyAlignment="1" applyProtection="1">
      <alignment horizontal="center"/>
      <protection locked="0"/>
    </xf>
    <xf numFmtId="168" fontId="0" fillId="0" borderId="25" xfId="0" applyNumberFormat="1" applyBorder="1" applyAlignment="1" applyProtection="1">
      <alignment horizontal="center"/>
      <protection locked="0"/>
    </xf>
    <xf numFmtId="168" fontId="0" fillId="15" borderId="35" xfId="0" applyNumberFormat="1" applyFill="1" applyBorder="1" applyAlignment="1" applyProtection="1">
      <alignment horizontal="center"/>
      <protection locked="0"/>
    </xf>
    <xf numFmtId="166" fontId="0" fillId="13" borderId="50" xfId="0" applyNumberFormat="1" applyFill="1" applyBorder="1" applyAlignment="1" applyProtection="1">
      <alignment horizontal="center" vertical="center"/>
      <protection locked="0"/>
    </xf>
    <xf numFmtId="168" fontId="0" fillId="13" borderId="40" xfId="0" applyNumberFormat="1" applyFill="1" applyBorder="1" applyAlignment="1" applyProtection="1">
      <alignment horizontal="center"/>
      <protection locked="0"/>
    </xf>
    <xf numFmtId="168" fontId="0" fillId="13" borderId="46" xfId="0" applyNumberFormat="1" applyFill="1" applyBorder="1" applyAlignment="1" applyProtection="1">
      <alignment horizontal="center"/>
      <protection locked="0"/>
    </xf>
    <xf numFmtId="166" fontId="0" fillId="13" borderId="35" xfId="0" applyNumberFormat="1" applyFill="1" applyBorder="1" applyAlignment="1" applyProtection="1">
      <alignment horizontal="center" vertical="center"/>
      <protection locked="0"/>
    </xf>
    <xf numFmtId="166" fontId="0" fillId="13" borderId="44" xfId="0" applyNumberFormat="1" applyFill="1" applyBorder="1" applyAlignment="1" applyProtection="1">
      <alignment horizontal="center" vertical="center"/>
      <protection locked="0"/>
    </xf>
    <xf numFmtId="168" fontId="0" fillId="13" borderId="38" xfId="0" applyNumberFormat="1" applyFill="1" applyBorder="1" applyAlignment="1" applyProtection="1">
      <alignment horizontal="center"/>
      <protection locked="0"/>
    </xf>
    <xf numFmtId="168" fontId="0" fillId="13" borderId="47" xfId="0" applyNumberFormat="1" applyFill="1" applyBorder="1" applyAlignment="1" applyProtection="1">
      <alignment horizontal="center"/>
      <protection locked="0"/>
    </xf>
    <xf numFmtId="1" fontId="0" fillId="13" borderId="46" xfId="0" applyNumberFormat="1" applyFill="1" applyBorder="1" applyAlignment="1" applyProtection="1">
      <alignment horizontal="center"/>
      <protection locked="0"/>
    </xf>
    <xf numFmtId="1" fontId="0" fillId="13" borderId="20" xfId="0" applyNumberFormat="1" applyFill="1" applyBorder="1" applyAlignment="1" applyProtection="1">
      <alignment horizontal="center"/>
      <protection locked="0"/>
    </xf>
    <xf numFmtId="10" fontId="0" fillId="13" borderId="46" xfId="3" applyNumberFormat="1" applyFont="1" applyFill="1" applyBorder="1" applyAlignment="1" applyProtection="1">
      <alignment horizontal="center"/>
      <protection locked="0"/>
    </xf>
    <xf numFmtId="1" fontId="0" fillId="13" borderId="39" xfId="0" applyNumberFormat="1" applyFill="1" applyBorder="1" applyAlignment="1" applyProtection="1">
      <alignment horizontal="center"/>
      <protection locked="0"/>
    </xf>
    <xf numFmtId="0" fontId="0" fillId="13" borderId="35" xfId="0" applyFill="1" applyBorder="1"/>
    <xf numFmtId="0" fontId="0" fillId="13" borderId="20" xfId="0" applyFill="1" applyBorder="1"/>
    <xf numFmtId="10" fontId="0" fillId="13" borderId="47" xfId="3" applyNumberFormat="1" applyFont="1" applyFill="1" applyBorder="1" applyAlignment="1" applyProtection="1">
      <alignment horizontal="center"/>
      <protection locked="0"/>
    </xf>
    <xf numFmtId="0" fontId="14" fillId="12" borderId="42" xfId="0" applyFont="1" applyFill="1" applyBorder="1" applyAlignment="1">
      <alignment horizontal="center" vertical="center"/>
    </xf>
    <xf numFmtId="0" fontId="14" fillId="12" borderId="33" xfId="0" applyFont="1" applyFill="1" applyBorder="1" applyAlignment="1">
      <alignment horizontal="center" vertical="center" wrapText="1"/>
    </xf>
    <xf numFmtId="0" fontId="14" fillId="12" borderId="43" xfId="0" applyFont="1" applyFill="1" applyBorder="1" applyAlignment="1">
      <alignment horizontal="center" vertical="center" wrapText="1"/>
    </xf>
    <xf numFmtId="1" fontId="14" fillId="12" borderId="34" xfId="0" applyNumberFormat="1" applyFont="1" applyFill="1" applyBorder="1" applyAlignment="1">
      <alignment horizontal="center" vertical="center" wrapText="1"/>
    </xf>
    <xf numFmtId="1" fontId="14" fillId="12" borderId="48" xfId="0" applyNumberFormat="1" applyFont="1" applyFill="1" applyBorder="1" applyAlignment="1">
      <alignment horizontal="center" vertical="center" wrapText="1"/>
    </xf>
    <xf numFmtId="1" fontId="14" fillId="12" borderId="33" xfId="0" applyNumberFormat="1" applyFont="1" applyFill="1" applyBorder="1" applyAlignment="1">
      <alignment horizontal="center" vertical="center" wrapText="1"/>
    </xf>
    <xf numFmtId="1" fontId="14" fillId="12" borderId="41" xfId="0" applyNumberFormat="1" applyFont="1" applyFill="1" applyBorder="1" applyAlignment="1">
      <alignment horizontal="center" vertical="center" wrapText="1"/>
    </xf>
    <xf numFmtId="1" fontId="0" fillId="13" borderId="39" xfId="0" applyNumberFormat="1" applyFill="1" applyBorder="1" applyAlignment="1" applyProtection="1">
      <alignment horizontal="center" vertical="top"/>
      <protection locked="0"/>
    </xf>
    <xf numFmtId="1" fontId="0" fillId="11" borderId="46" xfId="0" applyNumberFormat="1" applyFill="1" applyBorder="1" applyAlignment="1" applyProtection="1">
      <alignment horizontal="center"/>
      <protection locked="0"/>
    </xf>
    <xf numFmtId="166" fontId="0" fillId="11" borderId="50" xfId="0" applyNumberFormat="1" applyFill="1" applyBorder="1" applyAlignment="1" applyProtection="1">
      <alignment horizontal="center" vertical="center"/>
      <protection locked="0"/>
    </xf>
    <xf numFmtId="168" fontId="0" fillId="11" borderId="40" xfId="0" applyNumberFormat="1" applyFill="1" applyBorder="1" applyAlignment="1" applyProtection="1">
      <alignment horizontal="center"/>
      <protection locked="0"/>
    </xf>
    <xf numFmtId="1" fontId="0" fillId="11" borderId="39" xfId="0" applyNumberFormat="1" applyFill="1" applyBorder="1" applyAlignment="1" applyProtection="1">
      <alignment horizontal="center"/>
      <protection locked="0"/>
    </xf>
    <xf numFmtId="0" fontId="0" fillId="11" borderId="20" xfId="0" applyFill="1" applyBorder="1"/>
    <xf numFmtId="166" fontId="0" fillId="11" borderId="44" xfId="0" applyNumberFormat="1" applyFill="1" applyBorder="1" applyAlignment="1" applyProtection="1">
      <alignment horizontal="center" vertical="center"/>
      <protection locked="0"/>
    </xf>
    <xf numFmtId="0" fontId="0" fillId="11" borderId="35" xfId="0" applyFill="1" applyBorder="1"/>
    <xf numFmtId="1" fontId="0" fillId="11" borderId="20" xfId="0" applyNumberFormat="1" applyFill="1" applyBorder="1" applyAlignment="1" applyProtection="1">
      <alignment horizontal="center"/>
      <protection locked="0"/>
    </xf>
    <xf numFmtId="166" fontId="0" fillId="11" borderId="35" xfId="0" applyNumberFormat="1" applyFill="1" applyBorder="1" applyAlignment="1" applyProtection="1">
      <alignment horizontal="center" vertical="center"/>
      <protection locked="0"/>
    </xf>
    <xf numFmtId="1" fontId="0" fillId="14" borderId="37" xfId="0" applyNumberFormat="1" applyFill="1" applyBorder="1" applyAlignment="1" applyProtection="1">
      <alignment horizontal="center"/>
      <protection locked="0"/>
    </xf>
    <xf numFmtId="1" fontId="0" fillId="14" borderId="36" xfId="0" applyNumberFormat="1" applyFill="1" applyBorder="1" applyAlignment="1" applyProtection="1">
      <alignment horizontal="center"/>
      <protection locked="0"/>
    </xf>
    <xf numFmtId="1" fontId="0" fillId="13" borderId="25" xfId="0" applyNumberFormat="1" applyFill="1" applyBorder="1" applyAlignment="1" applyProtection="1">
      <alignment horizontal="center"/>
      <protection locked="0"/>
    </xf>
    <xf numFmtId="1" fontId="0" fillId="14" borderId="25" xfId="0" applyNumberFormat="1" applyFill="1" applyBorder="1" applyAlignment="1" applyProtection="1">
      <alignment horizontal="center"/>
      <protection locked="0"/>
    </xf>
    <xf numFmtId="1" fontId="0" fillId="11" borderId="25" xfId="0" applyNumberFormat="1" applyFill="1" applyBorder="1" applyAlignment="1" applyProtection="1">
      <alignment horizontal="center"/>
      <protection locked="0"/>
    </xf>
    <xf numFmtId="0" fontId="0" fillId="21" borderId="35" xfId="0" applyFill="1" applyBorder="1"/>
    <xf numFmtId="9" fontId="15" fillId="21" borderId="35" xfId="3" applyFont="1" applyFill="1" applyBorder="1" applyAlignment="1">
      <alignment horizontal="center" vertical="center"/>
    </xf>
    <xf numFmtId="1" fontId="14" fillId="12" borderId="35" xfId="0" applyNumberFormat="1" applyFont="1" applyFill="1" applyBorder="1" applyAlignment="1">
      <alignment horizontal="center" vertical="center" wrapText="1"/>
    </xf>
    <xf numFmtId="0" fontId="14" fillId="12" borderId="35" xfId="0" applyFont="1" applyFill="1" applyBorder="1" applyAlignment="1">
      <alignment horizontal="center" vertical="center" wrapText="1"/>
    </xf>
    <xf numFmtId="168" fontId="0" fillId="13" borderId="25" xfId="0" applyNumberFormat="1" applyFill="1" applyBorder="1" applyAlignment="1" applyProtection="1">
      <alignment horizontal="center"/>
      <protection locked="0"/>
    </xf>
    <xf numFmtId="1" fontId="0" fillId="13" borderId="20" xfId="0" applyNumberFormat="1" applyFill="1" applyBorder="1" applyAlignment="1" applyProtection="1">
      <alignment horizontal="left"/>
      <protection locked="0"/>
    </xf>
    <xf numFmtId="21" fontId="0" fillId="0" borderId="0" xfId="0" applyNumberFormat="1" applyAlignment="1">
      <alignment horizontal="center"/>
    </xf>
    <xf numFmtId="0" fontId="0" fillId="12" borderId="35" xfId="0" applyFill="1" applyBorder="1"/>
    <xf numFmtId="0" fontId="0" fillId="12" borderId="20" xfId="0" applyFill="1" applyBorder="1"/>
    <xf numFmtId="0" fontId="3" fillId="29" borderId="35" xfId="0" applyFont="1" applyFill="1" applyBorder="1" applyAlignment="1">
      <alignment horizontal="center" vertical="center" wrapText="1"/>
    </xf>
    <xf numFmtId="166" fontId="0" fillId="29" borderId="54" xfId="0" applyNumberFormat="1" applyFill="1" applyBorder="1" applyAlignment="1" applyProtection="1">
      <alignment horizontal="center" vertical="center"/>
      <protection locked="0"/>
    </xf>
    <xf numFmtId="1" fontId="0" fillId="14" borderId="0" xfId="0" applyNumberFormat="1" applyFill="1" applyAlignment="1" applyProtection="1">
      <alignment horizontal="center"/>
      <protection locked="0"/>
    </xf>
    <xf numFmtId="166" fontId="0" fillId="29" borderId="37" xfId="0" applyNumberFormat="1" applyFill="1" applyBorder="1" applyAlignment="1" applyProtection="1">
      <alignment horizontal="center" vertical="center"/>
      <protection locked="0"/>
    </xf>
    <xf numFmtId="1" fontId="0" fillId="12" borderId="39" xfId="0" applyNumberFormat="1" applyFill="1" applyBorder="1" applyAlignment="1" applyProtection="1">
      <alignment horizontal="left" vertical="top"/>
      <protection locked="0"/>
    </xf>
    <xf numFmtId="166" fontId="0" fillId="13" borderId="36" xfId="0" applyNumberFormat="1" applyFill="1" applyBorder="1" applyAlignment="1" applyProtection="1">
      <alignment horizontal="center" vertical="center"/>
      <protection locked="0"/>
    </xf>
    <xf numFmtId="1" fontId="0" fillId="13" borderId="35" xfId="0" applyNumberFormat="1" applyFill="1" applyBorder="1" applyAlignment="1" applyProtection="1">
      <alignment horizontal="center"/>
      <protection locked="0"/>
    </xf>
    <xf numFmtId="168" fontId="0" fillId="13" borderId="52" xfId="0" applyNumberFormat="1" applyFill="1" applyBorder="1" applyAlignment="1" applyProtection="1">
      <alignment horizontal="center"/>
      <protection locked="0"/>
    </xf>
    <xf numFmtId="10" fontId="0" fillId="0" borderId="25" xfId="3" applyNumberFormat="1" applyFont="1" applyBorder="1" applyAlignment="1" applyProtection="1">
      <alignment horizontal="center"/>
      <protection locked="0"/>
    </xf>
    <xf numFmtId="10" fontId="0" fillId="13" borderId="25" xfId="3" applyNumberFormat="1" applyFont="1" applyFill="1" applyBorder="1" applyAlignment="1" applyProtection="1">
      <alignment horizontal="center"/>
      <protection locked="0"/>
    </xf>
    <xf numFmtId="1" fontId="0" fillId="13" borderId="36" xfId="0" applyNumberFormat="1" applyFill="1" applyBorder="1" applyAlignment="1" applyProtection="1">
      <alignment horizontal="center"/>
      <protection locked="0"/>
    </xf>
    <xf numFmtId="0" fontId="0" fillId="13" borderId="36" xfId="0" applyFill="1" applyBorder="1"/>
    <xf numFmtId="1" fontId="0" fillId="13" borderId="55" xfId="0" applyNumberFormat="1" applyFill="1" applyBorder="1" applyAlignment="1" applyProtection="1">
      <alignment horizontal="center"/>
      <protection locked="0"/>
    </xf>
    <xf numFmtId="1" fontId="0" fillId="13" borderId="28" xfId="0" applyNumberFormat="1" applyFill="1" applyBorder="1" applyAlignment="1" applyProtection="1">
      <alignment horizontal="center"/>
      <protection locked="0"/>
    </xf>
    <xf numFmtId="168" fontId="0" fillId="13" borderId="45" xfId="0" applyNumberFormat="1" applyFill="1" applyBorder="1" applyAlignment="1" applyProtection="1">
      <alignment horizontal="center"/>
      <protection locked="0"/>
    </xf>
    <xf numFmtId="168" fontId="0" fillId="13" borderId="55" xfId="0" applyNumberFormat="1" applyFill="1" applyBorder="1" applyAlignment="1" applyProtection="1">
      <alignment horizontal="center"/>
      <protection locked="0"/>
    </xf>
    <xf numFmtId="10" fontId="0" fillId="0" borderId="55" xfId="3" applyNumberFormat="1" applyFont="1" applyBorder="1" applyAlignment="1" applyProtection="1">
      <alignment horizontal="center"/>
      <protection locked="0"/>
    </xf>
    <xf numFmtId="10" fontId="0" fillId="13" borderId="55" xfId="3" applyNumberFormat="1" applyFont="1" applyFill="1" applyBorder="1" applyAlignment="1" applyProtection="1">
      <alignment horizontal="center"/>
      <protection locked="0"/>
    </xf>
    <xf numFmtId="1" fontId="0" fillId="13" borderId="49" xfId="0" applyNumberFormat="1" applyFill="1" applyBorder="1" applyAlignment="1" applyProtection="1">
      <alignment horizontal="center"/>
      <protection locked="0"/>
    </xf>
    <xf numFmtId="1" fontId="0" fillId="13" borderId="31" xfId="0" applyNumberFormat="1" applyFill="1" applyBorder="1" applyAlignment="1" applyProtection="1">
      <alignment horizontal="center"/>
      <protection locked="0"/>
    </xf>
    <xf numFmtId="168" fontId="0" fillId="13" borderId="56" xfId="0" applyNumberFormat="1" applyFill="1" applyBorder="1" applyAlignment="1" applyProtection="1">
      <alignment horizontal="center"/>
      <protection locked="0"/>
    </xf>
    <xf numFmtId="168" fontId="0" fillId="13" borderId="31" xfId="0" applyNumberFormat="1" applyFill="1" applyBorder="1" applyAlignment="1" applyProtection="1">
      <alignment horizontal="center"/>
      <protection locked="0"/>
    </xf>
    <xf numFmtId="10" fontId="0" fillId="0" borderId="31" xfId="3" applyNumberFormat="1" applyFont="1" applyBorder="1" applyAlignment="1" applyProtection="1">
      <alignment horizontal="center"/>
      <protection locked="0"/>
    </xf>
    <xf numFmtId="10" fontId="0" fillId="13" borderId="31" xfId="3" applyNumberFormat="1" applyFont="1" applyFill="1" applyBorder="1" applyAlignment="1" applyProtection="1">
      <alignment horizontal="center"/>
      <protection locked="0"/>
    </xf>
    <xf numFmtId="2" fontId="0" fillId="14" borderId="9" xfId="0" applyNumberFormat="1" applyFill="1" applyBorder="1" applyAlignment="1">
      <alignment horizontal="center"/>
    </xf>
    <xf numFmtId="169" fontId="0" fillId="14" borderId="9" xfId="0" applyNumberFormat="1" applyFill="1" applyBorder="1" applyAlignment="1">
      <alignment horizontal="center"/>
    </xf>
    <xf numFmtId="1" fontId="0" fillId="12" borderId="20" xfId="0" applyNumberFormat="1" applyFill="1" applyBorder="1" applyAlignment="1" applyProtection="1">
      <alignment horizontal="center"/>
      <protection locked="0"/>
    </xf>
    <xf numFmtId="166" fontId="0" fillId="29" borderId="57" xfId="0" applyNumberFormat="1" applyFill="1" applyBorder="1" applyAlignment="1" applyProtection="1">
      <alignment horizontal="center" vertical="center"/>
      <protection locked="0"/>
    </xf>
    <xf numFmtId="166" fontId="0" fillId="29" borderId="58" xfId="0" applyNumberFormat="1" applyFill="1" applyBorder="1" applyAlignment="1" applyProtection="1">
      <alignment horizontal="center" vertical="center"/>
      <protection locked="0"/>
    </xf>
    <xf numFmtId="168" fontId="0" fillId="0" borderId="35" xfId="0" applyNumberFormat="1" applyBorder="1" applyAlignment="1" applyProtection="1">
      <alignment horizontal="center"/>
      <protection locked="0"/>
    </xf>
    <xf numFmtId="9" fontId="0" fillId="0" borderId="0" xfId="0" applyNumberFormat="1"/>
    <xf numFmtId="0" fontId="0" fillId="0" borderId="35" xfId="0" applyBorder="1" applyAlignment="1">
      <alignment horizontal="center"/>
    </xf>
    <xf numFmtId="0" fontId="0" fillId="0" borderId="35" xfId="0" applyBorder="1" applyAlignment="1">
      <alignment horizontal="center" wrapText="1"/>
    </xf>
    <xf numFmtId="14" fontId="0" fillId="0" borderId="35" xfId="0" applyNumberFormat="1" applyBorder="1" applyAlignment="1">
      <alignment horizontal="center"/>
    </xf>
    <xf numFmtId="0" fontId="0" fillId="25" borderId="21" xfId="0" applyFill="1" applyBorder="1" applyAlignment="1">
      <alignment horizontal="center" vertical="center"/>
    </xf>
    <xf numFmtId="0" fontId="0" fillId="25" borderId="20" xfId="0" applyFill="1" applyBorder="1" applyAlignment="1">
      <alignment horizontal="center" vertical="center"/>
    </xf>
    <xf numFmtId="16" fontId="0" fillId="0" borderId="35" xfId="0" applyNumberFormat="1" applyBorder="1" applyAlignment="1">
      <alignment horizontal="center"/>
    </xf>
    <xf numFmtId="0" fontId="0" fillId="28" borderId="35" xfId="0" applyFill="1" applyBorder="1" applyAlignment="1">
      <alignment horizontal="center" vertical="center" wrapText="1"/>
    </xf>
    <xf numFmtId="0" fontId="0" fillId="22" borderId="21" xfId="0" applyFill="1" applyBorder="1" applyAlignment="1">
      <alignment horizontal="center" vertical="center"/>
    </xf>
    <xf numFmtId="0" fontId="0" fillId="22" borderId="20" xfId="0" applyFill="1" applyBorder="1" applyAlignment="1">
      <alignment horizontal="center" vertical="center"/>
    </xf>
    <xf numFmtId="0" fontId="12" fillId="0" borderId="35" xfId="0" applyFont="1" applyBorder="1" applyAlignment="1">
      <alignment horizontal="center" vertical="center"/>
    </xf>
    <xf numFmtId="0" fontId="0" fillId="0" borderId="22" xfId="0" applyBorder="1" applyAlignment="1">
      <alignment horizontal="center"/>
    </xf>
    <xf numFmtId="0" fontId="0" fillId="0" borderId="32" xfId="0" applyBorder="1" applyAlignment="1">
      <alignment horizontal="center"/>
    </xf>
    <xf numFmtId="0" fontId="0" fillId="0" borderId="23" xfId="0" applyBorder="1" applyAlignment="1">
      <alignment horizontal="center"/>
    </xf>
    <xf numFmtId="0" fontId="17" fillId="0" borderId="35" xfId="0" applyFont="1" applyBorder="1" applyAlignment="1">
      <alignment horizontal="right" vertical="center"/>
    </xf>
    <xf numFmtId="0" fontId="18" fillId="0" borderId="22" xfId="0" applyFont="1" applyBorder="1" applyAlignment="1">
      <alignment horizontal="left" vertical="center"/>
    </xf>
    <xf numFmtId="0" fontId="18" fillId="0" borderId="32" xfId="0" applyFont="1" applyBorder="1" applyAlignment="1">
      <alignment horizontal="left" vertical="center"/>
    </xf>
    <xf numFmtId="0" fontId="18" fillId="0" borderId="23" xfId="0" applyFont="1" applyBorder="1" applyAlignment="1">
      <alignment horizontal="left" vertical="center"/>
    </xf>
    <xf numFmtId="0" fontId="0" fillId="0" borderId="22" xfId="0" applyBorder="1" applyAlignment="1">
      <alignment horizontal="left" vertical="center" wrapText="1"/>
    </xf>
    <xf numFmtId="0" fontId="0" fillId="0" borderId="32" xfId="0" applyBorder="1" applyAlignment="1">
      <alignment horizontal="left" vertical="center" wrapText="1"/>
    </xf>
    <xf numFmtId="0" fontId="0" fillId="0" borderId="23" xfId="0" applyBorder="1" applyAlignment="1">
      <alignment horizontal="left" vertical="center" wrapText="1"/>
    </xf>
    <xf numFmtId="0" fontId="0" fillId="0" borderId="35" xfId="0" applyBorder="1" applyAlignment="1">
      <alignment horizontal="left" vertical="center" wrapText="1"/>
    </xf>
    <xf numFmtId="0" fontId="0" fillId="0" borderId="35" xfId="0" applyBorder="1" applyAlignment="1">
      <alignment horizontal="left" vertical="center"/>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0" fillId="0" borderId="0" xfId="0" applyAlignment="1">
      <alignment horizontal="left" vertical="top" wrapText="1"/>
    </xf>
    <xf numFmtId="0" fontId="0" fillId="0" borderId="25" xfId="0" applyBorder="1" applyAlignment="1">
      <alignment horizontal="left" vertical="top" wrapText="1"/>
    </xf>
    <xf numFmtId="0" fontId="0" fillId="0" borderId="30" xfId="0" applyBorder="1" applyAlignment="1">
      <alignment horizontal="left" vertical="top" wrapText="1"/>
    </xf>
    <xf numFmtId="0" fontId="0" fillId="0" borderId="24" xfId="0" applyBorder="1" applyAlignment="1">
      <alignment horizontal="left" vertical="top" wrapText="1"/>
    </xf>
    <xf numFmtId="0" fontId="0" fillId="0" borderId="31" xfId="0" applyBorder="1" applyAlignment="1">
      <alignment horizontal="left" vertical="top" wrapText="1"/>
    </xf>
    <xf numFmtId="0" fontId="0" fillId="15" borderId="22" xfId="0" applyFill="1" applyBorder="1" applyAlignment="1">
      <alignment horizontal="center" vertical="center"/>
    </xf>
    <xf numFmtId="0" fontId="0" fillId="15" borderId="32" xfId="0" applyFill="1" applyBorder="1" applyAlignment="1">
      <alignment horizontal="center" vertical="center"/>
    </xf>
    <xf numFmtId="0" fontId="0" fillId="15" borderId="23" xfId="0" applyFill="1" applyBorder="1" applyAlignment="1">
      <alignment horizontal="center" vertical="center"/>
    </xf>
    <xf numFmtId="0" fontId="0" fillId="11" borderId="20" xfId="0" applyFill="1" applyBorder="1" applyAlignment="1">
      <alignment horizontal="center" vertical="center"/>
    </xf>
    <xf numFmtId="0" fontId="0" fillId="11" borderId="9" xfId="0" applyFill="1" applyBorder="1" applyAlignment="1">
      <alignment horizontal="center" vertical="center"/>
    </xf>
    <xf numFmtId="0" fontId="0" fillId="15" borderId="35" xfId="0" applyFill="1" applyBorder="1" applyAlignment="1">
      <alignment horizontal="center" vertical="center"/>
    </xf>
    <xf numFmtId="0" fontId="0" fillId="13" borderId="9" xfId="0" applyFill="1" applyBorder="1" applyAlignment="1">
      <alignment horizontal="center" vertical="center"/>
    </xf>
    <xf numFmtId="0" fontId="0" fillId="13" borderId="9" xfId="0" applyFill="1" applyBorder="1" applyAlignment="1">
      <alignment horizontal="center" vertical="center" wrapText="1"/>
    </xf>
    <xf numFmtId="0" fontId="0" fillId="18" borderId="9" xfId="0" applyFill="1" applyBorder="1" applyAlignment="1">
      <alignment horizontal="center" vertical="center"/>
    </xf>
    <xf numFmtId="0" fontId="0" fillId="18" borderId="22" xfId="0" applyFill="1" applyBorder="1" applyAlignment="1">
      <alignment horizontal="center"/>
    </xf>
    <xf numFmtId="0" fontId="0" fillId="18" borderId="23" xfId="0" applyFill="1" applyBorder="1" applyAlignment="1">
      <alignment horizontal="center"/>
    </xf>
    <xf numFmtId="167" fontId="14" fillId="0" borderId="36" xfId="0" applyNumberFormat="1" applyFont="1" applyBorder="1" applyAlignment="1">
      <alignment horizontal="center" vertical="center"/>
    </xf>
    <xf numFmtId="167" fontId="14" fillId="0" borderId="37" xfId="0" applyNumberFormat="1" applyFont="1" applyBorder="1" applyAlignment="1">
      <alignment horizontal="center" vertical="center"/>
    </xf>
    <xf numFmtId="167" fontId="14" fillId="0" borderId="20" xfId="0" applyNumberFormat="1" applyFont="1" applyBorder="1" applyAlignment="1">
      <alignment horizontal="center" vertical="center"/>
    </xf>
    <xf numFmtId="0" fontId="17" fillId="0" borderId="35" xfId="0" applyFont="1" applyBorder="1" applyAlignment="1">
      <alignment horizontal="center" vertical="center"/>
    </xf>
    <xf numFmtId="0" fontId="0" fillId="0" borderId="35" xfId="0" applyBorder="1" applyAlignment="1">
      <alignment horizontal="center" vertical="center" wrapText="1"/>
    </xf>
    <xf numFmtId="167" fontId="14" fillId="13" borderId="36" xfId="0" applyNumberFormat="1" applyFont="1" applyFill="1" applyBorder="1" applyAlignment="1">
      <alignment horizontal="center" vertical="center"/>
    </xf>
    <xf numFmtId="167" fontId="14" fillId="13" borderId="37" xfId="0" applyNumberFormat="1" applyFont="1" applyFill="1" applyBorder="1" applyAlignment="1">
      <alignment horizontal="center" vertical="center"/>
    </xf>
    <xf numFmtId="167" fontId="14" fillId="13" borderId="20" xfId="0" applyNumberFormat="1" applyFont="1" applyFill="1" applyBorder="1" applyAlignment="1">
      <alignment horizontal="center" vertical="center"/>
    </xf>
    <xf numFmtId="167" fontId="14" fillId="0" borderId="51" xfId="0" applyNumberFormat="1" applyFont="1" applyBorder="1" applyAlignment="1">
      <alignment horizontal="center" vertical="center"/>
    </xf>
    <xf numFmtId="49" fontId="16" fillId="20" borderId="36" xfId="0" applyNumberFormat="1" applyFont="1" applyFill="1" applyBorder="1" applyAlignment="1">
      <alignment horizontal="center" vertical="center"/>
    </xf>
    <xf numFmtId="49" fontId="16" fillId="20" borderId="37" xfId="0" applyNumberFormat="1" applyFont="1" applyFill="1" applyBorder="1" applyAlignment="1">
      <alignment horizontal="center" vertical="center"/>
    </xf>
    <xf numFmtId="9" fontId="15" fillId="21" borderId="35" xfId="3" applyFont="1" applyFill="1" applyBorder="1" applyAlignment="1">
      <alignment horizontal="center" vertical="center"/>
    </xf>
    <xf numFmtId="1" fontId="14" fillId="12" borderId="35" xfId="0" applyNumberFormat="1" applyFont="1" applyFill="1" applyBorder="1" applyAlignment="1">
      <alignment horizontal="center" vertical="center" wrapText="1"/>
    </xf>
    <xf numFmtId="0" fontId="0" fillId="0" borderId="26" xfId="0" applyBorder="1" applyAlignment="1">
      <alignment horizontal="left" wrapText="1"/>
    </xf>
    <xf numFmtId="0" fontId="0" fillId="0" borderId="29" xfId="0" applyBorder="1" applyAlignment="1">
      <alignment horizontal="left" wrapText="1"/>
    </xf>
    <xf numFmtId="0" fontId="0" fillId="12" borderId="0" xfId="0" applyFill="1" applyAlignment="1">
      <alignment horizontal="center"/>
    </xf>
    <xf numFmtId="0" fontId="0" fillId="0" borderId="35" xfId="0" applyBorder="1" applyAlignment="1">
      <alignment horizontal="left" vertical="top" wrapText="1"/>
    </xf>
    <xf numFmtId="9" fontId="15" fillId="21" borderId="26" xfId="3" applyFont="1" applyFill="1" applyBorder="1" applyAlignment="1">
      <alignment horizontal="center" vertical="center"/>
    </xf>
    <xf numFmtId="9" fontId="15" fillId="21" borderId="29" xfId="3" applyFont="1" applyFill="1" applyBorder="1" applyAlignment="1">
      <alignment horizontal="center" vertical="center"/>
    </xf>
    <xf numFmtId="49" fontId="16" fillId="20" borderId="35" xfId="0" applyNumberFormat="1" applyFont="1" applyFill="1" applyBorder="1" applyAlignment="1">
      <alignment horizontal="center" vertical="center"/>
    </xf>
    <xf numFmtId="167" fontId="14" fillId="0" borderId="53" xfId="0" applyNumberFormat="1" applyFont="1" applyBorder="1" applyAlignment="1">
      <alignment horizontal="center" vertical="center"/>
    </xf>
    <xf numFmtId="0" fontId="0" fillId="0" borderId="35" xfId="0" applyBorder="1" applyAlignment="1">
      <alignment horizontal="left" wrapText="1"/>
    </xf>
    <xf numFmtId="9" fontId="15" fillId="21" borderId="36" xfId="3" applyFont="1" applyFill="1" applyBorder="1" applyAlignment="1">
      <alignment horizontal="center" vertical="center"/>
    </xf>
    <xf numFmtId="9" fontId="15" fillId="21" borderId="37" xfId="3" applyFont="1" applyFill="1" applyBorder="1" applyAlignment="1">
      <alignment horizontal="center" vertical="center"/>
    </xf>
    <xf numFmtId="9" fontId="15" fillId="21" borderId="20" xfId="3" applyFont="1" applyFill="1" applyBorder="1" applyAlignment="1">
      <alignment horizontal="center" vertical="center"/>
    </xf>
    <xf numFmtId="49" fontId="16" fillId="20" borderId="20" xfId="0" applyNumberFormat="1" applyFont="1" applyFill="1" applyBorder="1" applyAlignment="1">
      <alignment horizontal="center" vertical="center"/>
    </xf>
  </cellXfs>
  <cellStyles count="12">
    <cellStyle name="Milliers 2" xfId="8" xr:uid="{01BF0124-12AA-4F8F-9EBD-627D8DFE1750}"/>
    <cellStyle name="Milliers 3" xfId="9" xr:uid="{11002678-5151-4CF2-95F6-3EB96055DE68}"/>
    <cellStyle name="Milliers 4" xfId="10" xr:uid="{7444489E-C57A-4BD4-B3DE-7311E0275A54}"/>
    <cellStyle name="Monétaire" xfId="1" builtinId="4"/>
    <cellStyle name="Monétaire 2" xfId="5" xr:uid="{7D92EFD4-ECC1-4674-807C-7BDC91F81374}"/>
    <cellStyle name="Normal" xfId="0" builtinId="0"/>
    <cellStyle name="Normal 2" xfId="6" xr:uid="{556385AF-356A-494B-AF73-A2158AE72C6E}"/>
    <cellStyle name="Normal 3" xfId="2" xr:uid="{4089C19C-0ED5-4686-81A2-1B4821212E48}"/>
    <cellStyle name="Normal 3 2" xfId="4" xr:uid="{F9DB6CF3-1D2E-4BA1-8B88-9DB3E735C62A}"/>
    <cellStyle name="Normal 4" xfId="7" xr:uid="{ED5EB706-5801-4D52-B6F1-8EE8E17B0CC0}"/>
    <cellStyle name="Normal 4 2" xfId="11" xr:uid="{942E9AD7-2658-4C76-8D1A-9A4573281148}"/>
    <cellStyle name="Pourcentage" xfId="3" builtinId="5"/>
  </cellStyles>
  <dxfs count="250">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EE0000"/>
        </patternFill>
      </fill>
    </dxf>
    <dxf>
      <fill>
        <patternFill>
          <bgColor rgb="FFFF0000"/>
        </patternFill>
      </fill>
    </dxf>
    <dxf>
      <fill>
        <patternFill>
          <bgColor rgb="FFFF0000"/>
        </patternFill>
      </fill>
    </dxf>
    <dxf>
      <fill>
        <patternFill>
          <bgColor rgb="FFEE0000"/>
        </patternFill>
      </fill>
    </dxf>
    <dxf>
      <fill>
        <patternFill>
          <bgColor rgb="FFFF0000"/>
        </patternFill>
      </fill>
    </dxf>
    <dxf>
      <fill>
        <patternFill>
          <bgColor rgb="FFEE0000"/>
        </patternFill>
      </fill>
    </dxf>
    <dxf>
      <fill>
        <patternFill>
          <bgColor rgb="FFFF0000"/>
        </patternFill>
      </fill>
    </dxf>
    <dxf>
      <fill>
        <patternFill>
          <bgColor rgb="FFEE0000"/>
        </patternFill>
      </fill>
    </dxf>
    <dxf>
      <fill>
        <patternFill>
          <bgColor rgb="FFFF0000"/>
        </patternFill>
      </fill>
    </dxf>
    <dxf>
      <fill>
        <patternFill>
          <bgColor rgb="FFEE0000"/>
        </patternFill>
      </fill>
    </dxf>
    <dxf>
      <fill>
        <patternFill>
          <bgColor rgb="FFEE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theme="9" tint="0.59996337778862885"/>
        </patternFill>
      </fill>
    </dxf>
    <dxf>
      <fill>
        <patternFill>
          <bgColor theme="5" tint="0.59996337778862885"/>
        </patternFill>
      </fill>
    </dxf>
    <dxf>
      <fill>
        <patternFill>
          <bgColor theme="5" tint="0.59996337778862885"/>
        </patternFill>
      </fill>
    </dxf>
    <dxf>
      <fill>
        <patternFill>
          <bgColor theme="9" tint="0.59996337778862885"/>
        </patternFill>
      </fill>
    </dxf>
    <dxf>
      <fill>
        <patternFill>
          <bgColor theme="9" tint="0.59996337778862885"/>
        </patternFill>
      </fill>
    </dxf>
    <dxf>
      <fill>
        <patternFill>
          <bgColor theme="5" tint="0.59996337778862885"/>
        </patternFill>
      </fill>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D9E1F2"/>
          <bgColor rgb="FFD9E1F2"/>
        </patternFill>
      </fill>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font>
        <sz val="10"/>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rgb="FFFFFFFF"/>
        <name val="Arial"/>
        <family val="2"/>
        <scheme val="none"/>
      </font>
      <fill>
        <patternFill patternType="solid">
          <fgColor rgb="FF000000"/>
          <bgColor rgb="FF525252"/>
        </patternFill>
      </fill>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3" formatCode="#,##0"/>
    </dxf>
    <dxf>
      <font>
        <b val="0"/>
        <i val="0"/>
        <strike val="0"/>
        <condense val="0"/>
        <extend val="0"/>
        <outline val="0"/>
        <shadow val="0"/>
        <u val="none"/>
        <vertAlign val="baseline"/>
        <sz val="11"/>
        <color rgb="FF000000"/>
        <name val="Calibri"/>
        <family val="2"/>
        <scheme val="none"/>
      </font>
      <border diagonalUp="0" diagonalDown="0">
        <left/>
        <right/>
        <top style="thin">
          <color rgb="FFF79646"/>
        </top>
        <bottom/>
        <vertical/>
        <horizontal/>
      </border>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rgb="FF000000"/>
        <name val="Calibri"/>
        <family val="2"/>
        <scheme val="none"/>
      </font>
      <border diagonalUp="0" diagonalDown="0">
        <left/>
        <right/>
        <top style="thin">
          <color rgb="FFF79646"/>
        </top>
        <bottom/>
        <vertical/>
        <horizontal/>
      </border>
    </dxf>
    <dxf>
      <font>
        <b val="0"/>
        <i val="0"/>
        <strike val="0"/>
        <condense val="0"/>
        <extend val="0"/>
        <outline val="0"/>
        <shadow val="0"/>
        <u val="none"/>
        <vertAlign val="baseline"/>
        <sz val="11"/>
        <color rgb="FF000000"/>
        <name val="Calibri"/>
        <family val="2"/>
        <scheme val="none"/>
      </font>
      <border diagonalUp="0" diagonalDown="0">
        <left style="thin">
          <color rgb="FFF79646"/>
        </left>
        <right/>
        <top style="thin">
          <color rgb="FFF79646"/>
        </top>
        <bottom/>
        <vertical/>
        <horizontal/>
      </border>
    </dxf>
    <dxf>
      <fill>
        <patternFill patternType="solid">
          <fgColor theme="4" tint="0.79998168889431442"/>
          <bgColor theme="5" tint="0.59999389629810485"/>
        </patternFill>
      </fill>
      <alignment horizontal="center" vertical="bottom" textRotation="0" wrapText="0" indent="0" justifyLastLine="0" shrinkToFit="0" readingOrder="0"/>
      <border diagonalUp="0" diagonalDown="0">
        <left style="thin">
          <color theme="4" tint="0.39994506668294322"/>
        </left>
        <right style="thin">
          <color theme="4" tint="0.39991454817346722"/>
        </right>
        <top/>
        <bottom/>
        <vertical/>
        <horizontal/>
      </border>
    </dxf>
    <dxf>
      <fill>
        <patternFill patternType="solid">
          <fgColor theme="4" tint="0.79998168889431442"/>
          <bgColor theme="5" tint="0.59999389629810485"/>
        </patternFill>
      </fill>
      <alignment horizontal="center" vertical="bottom" textRotation="0" wrapText="0" indent="0" justifyLastLine="0" shrinkToFit="0" readingOrder="0"/>
      <border diagonalUp="0" diagonalDown="0">
        <left style="thin">
          <color theme="4" tint="0.39994506668294322"/>
        </left>
        <right style="thin">
          <color theme="4" tint="0.39991454817346722"/>
        </right>
        <top style="thin">
          <color theme="4" tint="0.39997558519241921"/>
        </top>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5" tint="0.59999389629810485"/>
        </patternFill>
      </fill>
      <alignment horizontal="center" vertical="bottom" textRotation="0" wrapText="0" indent="0" justifyLastLine="0" shrinkToFit="0" readingOrder="0"/>
      <border diagonalUp="0" diagonalDown="0">
        <left style="thin">
          <color theme="4" tint="0.39997558519241921"/>
        </left>
        <right/>
        <top style="thin">
          <color theme="4" tint="0.39997558519241921"/>
        </top>
        <bottom/>
        <vertical/>
        <horizontal/>
      </border>
    </dxf>
    <dxf>
      <numFmt numFmtId="30" formatCode="@"/>
      <fill>
        <patternFill patternType="solid">
          <fgColor theme="4" tint="0.79998168889431442"/>
          <bgColor theme="5" tint="0.59999389629810485"/>
        </patternFill>
      </fill>
      <alignment horizontal="center" vertical="bottom" textRotation="0" wrapText="0" indent="0" justifyLastLine="0" shrinkToFit="0" readingOrder="0"/>
      <border diagonalUp="0" diagonalDown="0">
        <left style="thin">
          <color theme="4" tint="0.39997558519241921"/>
        </left>
        <right/>
        <top style="thin">
          <color theme="4" tint="0.39997558519241921"/>
        </top>
        <bottom/>
        <vertical/>
        <horizontal/>
      </border>
    </dxf>
    <dxf>
      <numFmt numFmtId="30" formatCode="@"/>
      <fill>
        <patternFill patternType="solid">
          <fgColor theme="4" tint="0.79998168889431442"/>
          <bgColor theme="5" tint="0.59999389629810485"/>
        </patternFill>
      </fill>
      <alignment horizontal="center" vertical="bottom" textRotation="0" wrapText="0" indent="0" justifyLastLine="0" shrinkToFit="0" readingOrder="0"/>
      <border diagonalUp="0" diagonalDown="0">
        <left style="thin">
          <color theme="4" tint="0.39997558519241921"/>
        </left>
        <right/>
        <top style="thin">
          <color theme="4" tint="0.39997558519241921"/>
        </top>
        <bottom/>
        <vertical/>
        <horizontal/>
      </border>
    </dxf>
    <dxf>
      <numFmt numFmtId="30" formatCode="@"/>
      <fill>
        <patternFill patternType="solid">
          <fgColor theme="4" tint="0.79998168889431442"/>
          <bgColor theme="5" tint="0.59999389629810485"/>
        </patternFill>
      </fill>
      <alignment horizontal="center" vertical="bottom" textRotation="0" wrapText="0" indent="0" justifyLastLine="0" shrinkToFit="0" readingOrder="0"/>
      <border diagonalUp="0" diagonalDown="0">
        <left style="thin">
          <color theme="4" tint="0.39994506668294322"/>
        </left>
        <right/>
        <top style="thin">
          <color theme="4" tint="0.39997558519241921"/>
        </top>
        <bottom/>
        <vertical/>
        <horizontal/>
      </border>
    </dxf>
    <dxf>
      <fill>
        <patternFill patternType="solid">
          <fgColor indexed="64"/>
          <bgColor theme="5" tint="0.59999389629810485"/>
        </patternFill>
      </fill>
      <border diagonalUp="0" diagonalDown="0">
        <left/>
        <right/>
        <top style="thin">
          <color theme="4" tint="0.39997558519241921"/>
        </top>
        <bottom/>
        <vertical/>
        <horizontal/>
      </border>
    </dxf>
    <dxf>
      <fill>
        <patternFill patternType="solid">
          <fgColor indexed="64"/>
          <bgColor theme="5" tint="0.59999389629810485"/>
        </patternFill>
      </fill>
      <border diagonalUp="0" diagonalDown="0">
        <left/>
        <right/>
        <top style="thin">
          <color theme="4" tint="0.39997558519241921"/>
        </top>
        <bottom/>
        <vertical/>
        <horizontal/>
      </border>
    </dxf>
    <dxf>
      <fill>
        <patternFill patternType="solid">
          <fgColor indexed="64"/>
          <bgColor theme="5" tint="0.59999389629810485"/>
        </patternFill>
      </fill>
      <border diagonalUp="0" diagonalDown="0">
        <left/>
        <right/>
        <top style="thin">
          <color theme="4" tint="0.39997558519241921"/>
        </top>
        <bottom/>
        <vertical/>
        <horizontal/>
      </border>
    </dxf>
    <dxf>
      <fill>
        <patternFill patternType="solid">
          <fgColor indexed="64"/>
          <bgColor theme="5" tint="0.59999389629810485"/>
        </patternFill>
      </fill>
    </dxf>
    <dxf>
      <numFmt numFmtId="30" formatCode="@"/>
      <fill>
        <patternFill patternType="solid">
          <fgColor theme="4" tint="0.79998168889431442"/>
          <bgColor theme="5" tint="0.59999389629810485"/>
        </patternFill>
      </fill>
      <alignment horizontal="center" vertical="bottom" textRotation="0" wrapText="0" indent="0" justifyLastLine="0" shrinkToFit="0" readingOrder="0"/>
      <border diagonalUp="0" diagonalDown="0">
        <left/>
        <right/>
        <top style="thin">
          <color theme="4" tint="0.39997558519241921"/>
        </top>
        <bottom/>
        <vertical/>
        <horizontal/>
      </border>
    </dxf>
    <dxf>
      <numFmt numFmtId="30" formatCode="@"/>
      <fill>
        <patternFill patternType="solid">
          <fgColor theme="4" tint="0.79998168889431442"/>
          <bgColor theme="5" tint="0.59999389629810485"/>
        </patternFill>
      </fill>
      <alignment horizontal="center" vertical="bottom" textRotation="0" wrapText="0" indent="0" justifyLastLine="0" shrinkToFit="0" readingOrder="0"/>
      <border diagonalUp="0" diagonalDown="0">
        <left style="thin">
          <color theme="4" tint="0.39994506668294322"/>
        </left>
        <right/>
        <top style="thin">
          <color theme="4" tint="0.39997558519241921"/>
        </top>
        <bottom/>
        <vertical/>
        <horizontal/>
      </border>
    </dxf>
    <dxf>
      <numFmt numFmtId="0" formatCode="General"/>
      <fill>
        <patternFill patternType="solid">
          <fgColor theme="4" tint="0.79998168889431442"/>
          <bgColor theme="5" tint="0.59999389629810485"/>
        </patternFill>
      </fill>
      <alignment horizontal="center" vertical="bottom" textRotation="0" wrapText="0" indent="0" justifyLastLine="0" shrinkToFit="0" readingOrder="0"/>
      <border diagonalUp="0" diagonalDown="0">
        <left style="thin">
          <color theme="4" tint="0.39994506668294322"/>
        </left>
        <right style="thin">
          <color theme="4" tint="0.39991454817346722"/>
        </right>
        <top/>
        <bottom/>
        <vertical/>
        <horizontal/>
      </border>
    </dxf>
    <dxf>
      <numFmt numFmtId="0" formatCode="General"/>
      <fill>
        <patternFill patternType="solid">
          <fgColor theme="4" tint="0.79998168889431442"/>
          <bgColor theme="5" tint="0.59999389629810485"/>
        </patternFill>
      </fill>
      <alignment horizontal="center" vertical="bottom" textRotation="0" wrapText="0" indent="0" justifyLastLine="0" shrinkToFit="0" readingOrder="0"/>
      <border diagonalUp="0" diagonalDown="0">
        <left style="thin">
          <color theme="4" tint="0.39994506668294322"/>
        </left>
        <right style="thin">
          <color theme="4" tint="0.39991454817346722"/>
        </right>
        <top style="thin">
          <color theme="4" tint="0.39997558519241921"/>
        </top>
        <bottom/>
        <vertical/>
        <horizontal/>
      </border>
    </dxf>
    <dxf>
      <font>
        <b/>
      </font>
      <fill>
        <patternFill patternType="solid">
          <fgColor indexed="64"/>
          <bgColor theme="5" tint="0.59999389629810485"/>
        </patternFill>
      </fil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border>
    </dxf>
    <dxf>
      <border outline="0">
        <top style="medium">
          <color indexed="64"/>
        </top>
      </border>
    </dxf>
    <dxf>
      <font>
        <b/>
        <i val="0"/>
        <strike val="0"/>
        <condense val="0"/>
        <extend val="0"/>
        <outline val="0"/>
        <shadow val="0"/>
        <u val="none"/>
        <vertAlign val="baseline"/>
        <sz val="11"/>
        <color theme="0"/>
        <name val="Arial"/>
        <family val="2"/>
        <scheme val="none"/>
      </font>
      <numFmt numFmtId="5" formatCode="#,##0;\-#,##0"/>
      <fill>
        <patternFill patternType="solid">
          <fgColor indexed="64"/>
          <bgColor theme="6" tint="-0.499984740745262"/>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0"/>
        <color theme="1"/>
        <name val="Arial"/>
        <family val="2"/>
        <scheme val="none"/>
      </font>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rgb="FFFFFFFF"/>
        <name val="Arial"/>
        <family val="2"/>
        <scheme val="none"/>
      </font>
      <fill>
        <patternFill patternType="solid">
          <fgColor rgb="FF000000"/>
          <bgColor rgb="FF525252"/>
        </patternFill>
      </fill>
      <alignment horizontal="center" vertical="center" textRotation="0" wrapText="1" indent="0" justifyLastLine="0" shrinkToFit="0" readingOrder="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42" Type="http://schemas.openxmlformats.org/officeDocument/2006/relationships/customXml" Target="../customXml/item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38"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onnections" Target="connections.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 Id="rId35"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Equipements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'analyse-maint-corrective'!$C$10:$N$10</c:f>
              <c:strCache>
                <c:ptCount val="12"/>
                <c:pt idx="0">
                  <c:v>Packing machine</c:v>
                </c:pt>
                <c:pt idx="1">
                  <c:v>Filling machine</c:v>
                </c:pt>
                <c:pt idx="2">
                  <c:v>Premixing heat treatment</c:v>
                </c:pt>
                <c:pt idx="3">
                  <c:v>Sachet Printer - Carton Printer</c:v>
                </c:pt>
                <c:pt idx="4">
                  <c:v>Grinder - Vibroreactor</c:v>
                </c:pt>
                <c:pt idx="5">
                  <c:v>Air compressor</c:v>
                </c:pt>
                <c:pt idx="6">
                  <c:v>Finished Product Transfer Pump</c:v>
                </c:pt>
                <c:pt idx="7">
                  <c:v>Others equipments</c:v>
                </c:pt>
                <c:pt idx="8">
                  <c:v>Mixer</c:v>
                </c:pt>
                <c:pt idx="9">
                  <c:v>Conveyor</c:v>
                </c:pt>
                <c:pt idx="10">
                  <c:v>Nitrogen generator - Filter</c:v>
                </c:pt>
                <c:pt idx="11">
                  <c:v>Main electrical panel</c:v>
                </c:pt>
              </c:strCache>
            </c:strRef>
          </c:cat>
          <c:val>
            <c:numRef>
              <c:f>'analyse-maint-corrective'!$C$23:$N$23</c:f>
              <c:numCache>
                <c:formatCode>General</c:formatCode>
                <c:ptCount val="12"/>
                <c:pt idx="0">
                  <c:v>215.5</c:v>
                </c:pt>
                <c:pt idx="1">
                  <c:v>30.450000000000003</c:v>
                </c:pt>
                <c:pt idx="2">
                  <c:v>74.099999999999994</c:v>
                </c:pt>
                <c:pt idx="3">
                  <c:v>32.950000000000003</c:v>
                </c:pt>
                <c:pt idx="4">
                  <c:v>10.8</c:v>
                </c:pt>
                <c:pt idx="5">
                  <c:v>12.65</c:v>
                </c:pt>
                <c:pt idx="6">
                  <c:v>3.25</c:v>
                </c:pt>
                <c:pt idx="7">
                  <c:v>27.049999999999997</c:v>
                </c:pt>
                <c:pt idx="8">
                  <c:v>0</c:v>
                </c:pt>
                <c:pt idx="9">
                  <c:v>1</c:v>
                </c:pt>
                <c:pt idx="10">
                  <c:v>8.5</c:v>
                </c:pt>
                <c:pt idx="11">
                  <c:v>0</c:v>
                </c:pt>
              </c:numCache>
            </c:numRef>
          </c:val>
          <c:smooth val="1"/>
          <c:extLst>
            <c:ext xmlns:c16="http://schemas.microsoft.com/office/drawing/2014/chart" uri="{C3380CC4-5D6E-409C-BE32-E72D297353CC}">
              <c16:uniqueId val="{00000000-642E-4B1C-86A6-EEDA035F8579}"/>
            </c:ext>
          </c:extLst>
        </c:ser>
        <c:dLbls>
          <c:showLegendKey val="0"/>
          <c:showVal val="0"/>
          <c:showCatName val="0"/>
          <c:showSerName val="0"/>
          <c:showPercent val="0"/>
          <c:showBubbleSize val="0"/>
        </c:dLbls>
        <c:marker val="1"/>
        <c:smooth val="0"/>
        <c:axId val="653347624"/>
        <c:axId val="653347984"/>
      </c:lineChart>
      <c:catAx>
        <c:axId val="653347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347984"/>
        <c:crosses val="autoZero"/>
        <c:auto val="1"/>
        <c:lblAlgn val="ctr"/>
        <c:lblOffset val="100"/>
        <c:noMultiLvlLbl val="0"/>
      </c:catAx>
      <c:valAx>
        <c:axId val="65334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347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'Recap de dispo'!$A$6</c:f>
              <c:strCache>
                <c:ptCount val="1"/>
                <c:pt idx="0">
                  <c:v>L1</c:v>
                </c:pt>
              </c:strCache>
            </c:strRef>
          </c:tx>
          <c:spPr>
            <a:ln w="28575" cap="rnd">
              <a:solidFill>
                <a:schemeClr val="accent1"/>
              </a:solidFill>
              <a:round/>
            </a:ln>
            <a:effectLst/>
          </c:spPr>
          <c:marker>
            <c:symbol val="none"/>
          </c:marker>
          <c:cat>
            <c:strRef>
              <c:f>'Recap de dispo'!$B$5:$M$5</c:f>
              <c:strCache>
                <c:ptCount val="12"/>
                <c:pt idx="0">
                  <c:v>JANVIER</c:v>
                </c:pt>
                <c:pt idx="1">
                  <c:v>FEVRIER</c:v>
                </c:pt>
                <c:pt idx="2">
                  <c:v>MARS</c:v>
                </c:pt>
                <c:pt idx="3">
                  <c:v>AVRIL</c:v>
                </c:pt>
                <c:pt idx="4">
                  <c:v>MAI</c:v>
                </c:pt>
                <c:pt idx="5">
                  <c:v>JUIN</c:v>
                </c:pt>
                <c:pt idx="6">
                  <c:v>JUILLET</c:v>
                </c:pt>
                <c:pt idx="7">
                  <c:v>AOUT</c:v>
                </c:pt>
                <c:pt idx="8">
                  <c:v>SEPT</c:v>
                </c:pt>
                <c:pt idx="9">
                  <c:v>OCT</c:v>
                </c:pt>
                <c:pt idx="10">
                  <c:v>NOV</c:v>
                </c:pt>
                <c:pt idx="11">
                  <c:v>DEC</c:v>
                </c:pt>
              </c:strCache>
            </c:strRef>
          </c:cat>
          <c:val>
            <c:numRef>
              <c:f>'Recap de dispo'!$B$6:$M$6</c:f>
              <c:numCache>
                <c:formatCode>0%</c:formatCode>
                <c:ptCount val="12"/>
                <c:pt idx="0">
                  <c:v>0.41092592592592569</c:v>
                </c:pt>
                <c:pt idx="1">
                  <c:v>0</c:v>
                </c:pt>
                <c:pt idx="2">
                  <c:v>0.44549603174603175</c:v>
                </c:pt>
                <c:pt idx="3">
                  <c:v>0.98555555555555541</c:v>
                </c:pt>
                <c:pt idx="4">
                  <c:v>0.55674603174603177</c:v>
                </c:pt>
                <c:pt idx="5">
                  <c:v>0.85267857142857129</c:v>
                </c:pt>
                <c:pt idx="6">
                  <c:v>0.86241732804232796</c:v>
                </c:pt>
                <c:pt idx="7">
                  <c:v>0.95922619047619051</c:v>
                </c:pt>
                <c:pt idx="8">
                  <c:v>0.93166666666666664</c:v>
                </c:pt>
                <c:pt idx="9">
                  <c:v>0.95342757936507938</c:v>
                </c:pt>
                <c:pt idx="10">
                  <c:v>0.87311507936507926</c:v>
                </c:pt>
                <c:pt idx="11">
                  <c:v>0.99540441176470584</c:v>
                </c:pt>
              </c:numCache>
            </c:numRef>
          </c:val>
          <c:smooth val="0"/>
          <c:extLst>
            <c:ext xmlns:c16="http://schemas.microsoft.com/office/drawing/2014/chart" uri="{C3380CC4-5D6E-409C-BE32-E72D297353CC}">
              <c16:uniqueId val="{00000000-A39E-4597-8C96-C7C25BE643E3}"/>
            </c:ext>
          </c:extLst>
        </c:ser>
        <c:ser>
          <c:idx val="1"/>
          <c:order val="1"/>
          <c:tx>
            <c:strRef>
              <c:f>'Recap de dispo'!$A$7</c:f>
              <c:strCache>
                <c:ptCount val="1"/>
                <c:pt idx="0">
                  <c:v>L2</c:v>
                </c:pt>
              </c:strCache>
            </c:strRef>
          </c:tx>
          <c:spPr>
            <a:ln w="28575" cap="rnd">
              <a:solidFill>
                <a:schemeClr val="accent2"/>
              </a:solidFill>
              <a:round/>
            </a:ln>
            <a:effectLst/>
          </c:spPr>
          <c:marker>
            <c:symbol val="none"/>
          </c:marker>
          <c:cat>
            <c:strRef>
              <c:f>'Recap de dispo'!$B$5:$M$5</c:f>
              <c:strCache>
                <c:ptCount val="12"/>
                <c:pt idx="0">
                  <c:v>JANVIER</c:v>
                </c:pt>
                <c:pt idx="1">
                  <c:v>FEVRIER</c:v>
                </c:pt>
                <c:pt idx="2">
                  <c:v>MARS</c:v>
                </c:pt>
                <c:pt idx="3">
                  <c:v>AVRIL</c:v>
                </c:pt>
                <c:pt idx="4">
                  <c:v>MAI</c:v>
                </c:pt>
                <c:pt idx="5">
                  <c:v>JUIN</c:v>
                </c:pt>
                <c:pt idx="6">
                  <c:v>JUILLET</c:v>
                </c:pt>
                <c:pt idx="7">
                  <c:v>AOUT</c:v>
                </c:pt>
                <c:pt idx="8">
                  <c:v>SEPT</c:v>
                </c:pt>
                <c:pt idx="9">
                  <c:v>OCT</c:v>
                </c:pt>
                <c:pt idx="10">
                  <c:v>NOV</c:v>
                </c:pt>
                <c:pt idx="11">
                  <c:v>DEC</c:v>
                </c:pt>
              </c:strCache>
            </c:strRef>
          </c:cat>
          <c:val>
            <c:numRef>
              <c:f>'Recap de dispo'!$B$7:$M$7</c:f>
              <c:numCache>
                <c:formatCode>0%</c:formatCode>
                <c:ptCount val="12"/>
                <c:pt idx="0">
                  <c:v>0.92245370370370372</c:v>
                </c:pt>
                <c:pt idx="1">
                  <c:v>0.91290476190476189</c:v>
                </c:pt>
                <c:pt idx="2">
                  <c:v>0.91170634920634919</c:v>
                </c:pt>
                <c:pt idx="3">
                  <c:v>0.97956349206349214</c:v>
                </c:pt>
                <c:pt idx="4">
                  <c:v>0.53699404761904757</c:v>
                </c:pt>
                <c:pt idx="5">
                  <c:v>0.88920304232804226</c:v>
                </c:pt>
                <c:pt idx="6">
                  <c:v>0.81537698412698401</c:v>
                </c:pt>
                <c:pt idx="7">
                  <c:v>0.95208333333333339</c:v>
                </c:pt>
                <c:pt idx="8">
                  <c:v>0.83708333333333318</c:v>
                </c:pt>
                <c:pt idx="9">
                  <c:v>0.91655753968253961</c:v>
                </c:pt>
                <c:pt idx="10">
                  <c:v>0.8763293650793651</c:v>
                </c:pt>
                <c:pt idx="11">
                  <c:v>0.9780092592592593</c:v>
                </c:pt>
              </c:numCache>
            </c:numRef>
          </c:val>
          <c:smooth val="0"/>
          <c:extLst>
            <c:ext xmlns:c16="http://schemas.microsoft.com/office/drawing/2014/chart" uri="{C3380CC4-5D6E-409C-BE32-E72D297353CC}">
              <c16:uniqueId val="{00000001-A39E-4597-8C96-C7C25BE643E3}"/>
            </c:ext>
          </c:extLst>
        </c:ser>
        <c:ser>
          <c:idx val="2"/>
          <c:order val="2"/>
          <c:tx>
            <c:strRef>
              <c:f>'Recap de dispo'!$A$8</c:f>
              <c:strCache>
                <c:ptCount val="1"/>
                <c:pt idx="0">
                  <c:v>L4</c:v>
                </c:pt>
              </c:strCache>
            </c:strRef>
          </c:tx>
          <c:spPr>
            <a:ln w="28575" cap="rnd">
              <a:solidFill>
                <a:schemeClr val="accent3"/>
              </a:solidFill>
              <a:round/>
            </a:ln>
            <a:effectLst/>
          </c:spPr>
          <c:marker>
            <c:symbol val="none"/>
          </c:marker>
          <c:cat>
            <c:strRef>
              <c:f>'Recap de dispo'!$B$5:$M$5</c:f>
              <c:strCache>
                <c:ptCount val="12"/>
                <c:pt idx="0">
                  <c:v>JANVIER</c:v>
                </c:pt>
                <c:pt idx="1">
                  <c:v>FEVRIER</c:v>
                </c:pt>
                <c:pt idx="2">
                  <c:v>MARS</c:v>
                </c:pt>
                <c:pt idx="3">
                  <c:v>AVRIL</c:v>
                </c:pt>
                <c:pt idx="4">
                  <c:v>MAI</c:v>
                </c:pt>
                <c:pt idx="5">
                  <c:v>JUIN</c:v>
                </c:pt>
                <c:pt idx="6">
                  <c:v>JUILLET</c:v>
                </c:pt>
                <c:pt idx="7">
                  <c:v>AOUT</c:v>
                </c:pt>
                <c:pt idx="8">
                  <c:v>SEPT</c:v>
                </c:pt>
                <c:pt idx="9">
                  <c:v>OCT</c:v>
                </c:pt>
                <c:pt idx="10">
                  <c:v>NOV</c:v>
                </c:pt>
                <c:pt idx="11">
                  <c:v>DEC</c:v>
                </c:pt>
              </c:strCache>
            </c:strRef>
          </c:cat>
          <c:val>
            <c:numRef>
              <c:f>'Recap de dispo'!$B$8:$M$8</c:f>
              <c:numCache>
                <c:formatCode>0%</c:formatCode>
                <c:ptCount val="12"/>
                <c:pt idx="0">
                  <c:v>0.83773148148148147</c:v>
                </c:pt>
                <c:pt idx="1">
                  <c:v>0.82701984126984129</c:v>
                </c:pt>
                <c:pt idx="2">
                  <c:v>0.84047619047619038</c:v>
                </c:pt>
                <c:pt idx="3">
                  <c:v>0.69869047619047608</c:v>
                </c:pt>
                <c:pt idx="4">
                  <c:v>0.88313657407407398</c:v>
                </c:pt>
                <c:pt idx="5">
                  <c:v>0.45791997354497349</c:v>
                </c:pt>
                <c:pt idx="6">
                  <c:v>0.1479828042328041</c:v>
                </c:pt>
                <c:pt idx="7">
                  <c:v>0.93789682539682528</c:v>
                </c:pt>
                <c:pt idx="8">
                  <c:v>0.91499999999999981</c:v>
                </c:pt>
                <c:pt idx="9">
                  <c:v>0.9515674603174602</c:v>
                </c:pt>
                <c:pt idx="10">
                  <c:v>0.83057539682539683</c:v>
                </c:pt>
                <c:pt idx="11">
                  <c:v>0.97598379629629628</c:v>
                </c:pt>
              </c:numCache>
            </c:numRef>
          </c:val>
          <c:smooth val="0"/>
          <c:extLst>
            <c:ext xmlns:c16="http://schemas.microsoft.com/office/drawing/2014/chart" uri="{C3380CC4-5D6E-409C-BE32-E72D297353CC}">
              <c16:uniqueId val="{00000002-A39E-4597-8C96-C7C25BE643E3}"/>
            </c:ext>
          </c:extLst>
        </c:ser>
        <c:ser>
          <c:idx val="3"/>
          <c:order val="3"/>
          <c:tx>
            <c:strRef>
              <c:f>'Recap de dispo'!$A$9</c:f>
              <c:strCache>
                <c:ptCount val="1"/>
                <c:pt idx="0">
                  <c:v>Dispo Moy</c:v>
                </c:pt>
              </c:strCache>
            </c:strRef>
          </c:tx>
          <c:spPr>
            <a:ln w="28575" cap="rnd">
              <a:solidFill>
                <a:schemeClr val="accent4"/>
              </a:solidFill>
              <a:round/>
            </a:ln>
            <a:effectLst/>
          </c:spPr>
          <c:marker>
            <c:symbol val="none"/>
          </c:marker>
          <c:cat>
            <c:strRef>
              <c:f>'Recap de dispo'!$B$5:$M$5</c:f>
              <c:strCache>
                <c:ptCount val="12"/>
                <c:pt idx="0">
                  <c:v>JANVIER</c:v>
                </c:pt>
                <c:pt idx="1">
                  <c:v>FEVRIER</c:v>
                </c:pt>
                <c:pt idx="2">
                  <c:v>MARS</c:v>
                </c:pt>
                <c:pt idx="3">
                  <c:v>AVRIL</c:v>
                </c:pt>
                <c:pt idx="4">
                  <c:v>MAI</c:v>
                </c:pt>
                <c:pt idx="5">
                  <c:v>JUIN</c:v>
                </c:pt>
                <c:pt idx="6">
                  <c:v>JUILLET</c:v>
                </c:pt>
                <c:pt idx="7">
                  <c:v>AOUT</c:v>
                </c:pt>
                <c:pt idx="8">
                  <c:v>SEPT</c:v>
                </c:pt>
                <c:pt idx="9">
                  <c:v>OCT</c:v>
                </c:pt>
                <c:pt idx="10">
                  <c:v>NOV</c:v>
                </c:pt>
                <c:pt idx="11">
                  <c:v>DEC</c:v>
                </c:pt>
              </c:strCache>
            </c:strRef>
          </c:cat>
          <c:val>
            <c:numRef>
              <c:f>'Recap de dispo'!$B$9:$M$9</c:f>
              <c:numCache>
                <c:formatCode>0%</c:formatCode>
                <c:ptCount val="12"/>
                <c:pt idx="0">
                  <c:v>0.72370370370370363</c:v>
                </c:pt>
                <c:pt idx="1">
                  <c:v>0.57997486772486773</c:v>
                </c:pt>
                <c:pt idx="2">
                  <c:v>0.73255952380952383</c:v>
                </c:pt>
                <c:pt idx="3">
                  <c:v>0.8879365079365078</c:v>
                </c:pt>
                <c:pt idx="4">
                  <c:v>0.65895888447971773</c:v>
                </c:pt>
                <c:pt idx="5">
                  <c:v>0.73326719576719557</c:v>
                </c:pt>
                <c:pt idx="6">
                  <c:v>0.60859237213403872</c:v>
                </c:pt>
                <c:pt idx="7">
                  <c:v>0.94973544973544977</c:v>
                </c:pt>
                <c:pt idx="8">
                  <c:v>0.89458333333333329</c:v>
                </c:pt>
                <c:pt idx="9">
                  <c:v>0.9405175264550264</c:v>
                </c:pt>
                <c:pt idx="10">
                  <c:v>0.8600066137566138</c:v>
                </c:pt>
                <c:pt idx="11">
                  <c:v>0.98313248910675377</c:v>
                </c:pt>
              </c:numCache>
            </c:numRef>
          </c:val>
          <c:smooth val="0"/>
          <c:extLst>
            <c:ext xmlns:c16="http://schemas.microsoft.com/office/drawing/2014/chart" uri="{C3380CC4-5D6E-409C-BE32-E72D297353CC}">
              <c16:uniqueId val="{00000003-A39E-4597-8C96-C7C25BE643E3}"/>
            </c:ext>
          </c:extLst>
        </c:ser>
        <c:ser>
          <c:idx val="4"/>
          <c:order val="4"/>
          <c:tx>
            <c:strRef>
              <c:f>'Recap de dispo'!$A$10</c:f>
              <c:strCache>
                <c:ptCount val="1"/>
                <c:pt idx="0">
                  <c:v>cible </c:v>
                </c:pt>
              </c:strCache>
            </c:strRef>
          </c:tx>
          <c:spPr>
            <a:ln w="28575" cap="rnd">
              <a:solidFill>
                <a:schemeClr val="accent5"/>
              </a:solidFill>
              <a:round/>
            </a:ln>
            <a:effectLst/>
          </c:spPr>
          <c:marker>
            <c:symbol val="none"/>
          </c:marker>
          <c:cat>
            <c:strRef>
              <c:f>'Recap de dispo'!$B$5:$M$5</c:f>
              <c:strCache>
                <c:ptCount val="12"/>
                <c:pt idx="0">
                  <c:v>JANVIER</c:v>
                </c:pt>
                <c:pt idx="1">
                  <c:v>FEVRIER</c:v>
                </c:pt>
                <c:pt idx="2">
                  <c:v>MARS</c:v>
                </c:pt>
                <c:pt idx="3">
                  <c:v>AVRIL</c:v>
                </c:pt>
                <c:pt idx="4">
                  <c:v>MAI</c:v>
                </c:pt>
                <c:pt idx="5">
                  <c:v>JUIN</c:v>
                </c:pt>
                <c:pt idx="6">
                  <c:v>JUILLET</c:v>
                </c:pt>
                <c:pt idx="7">
                  <c:v>AOUT</c:v>
                </c:pt>
                <c:pt idx="8">
                  <c:v>SEPT</c:v>
                </c:pt>
                <c:pt idx="9">
                  <c:v>OCT</c:v>
                </c:pt>
                <c:pt idx="10">
                  <c:v>NOV</c:v>
                </c:pt>
                <c:pt idx="11">
                  <c:v>DEC</c:v>
                </c:pt>
              </c:strCache>
            </c:strRef>
          </c:cat>
          <c:val>
            <c:numRef>
              <c:f>'Recap de dispo'!$B$10:$M$10</c:f>
              <c:numCache>
                <c:formatCode>0%</c:formatCode>
                <c:ptCount val="12"/>
                <c:pt idx="0">
                  <c:v>0.9</c:v>
                </c:pt>
                <c:pt idx="1">
                  <c:v>0.9</c:v>
                </c:pt>
                <c:pt idx="2">
                  <c:v>0.9</c:v>
                </c:pt>
                <c:pt idx="3">
                  <c:v>0.9</c:v>
                </c:pt>
                <c:pt idx="4">
                  <c:v>0.9</c:v>
                </c:pt>
                <c:pt idx="5">
                  <c:v>0.9</c:v>
                </c:pt>
                <c:pt idx="6">
                  <c:v>0.9</c:v>
                </c:pt>
                <c:pt idx="7">
                  <c:v>0.9</c:v>
                </c:pt>
                <c:pt idx="8">
                  <c:v>0.9</c:v>
                </c:pt>
                <c:pt idx="9">
                  <c:v>0.9</c:v>
                </c:pt>
                <c:pt idx="10">
                  <c:v>0.9</c:v>
                </c:pt>
                <c:pt idx="11">
                  <c:v>0.9</c:v>
                </c:pt>
              </c:numCache>
            </c:numRef>
          </c:val>
          <c:smooth val="0"/>
          <c:extLst>
            <c:ext xmlns:c16="http://schemas.microsoft.com/office/drawing/2014/chart" uri="{C3380CC4-5D6E-409C-BE32-E72D297353CC}">
              <c16:uniqueId val="{00000004-A39E-4597-8C96-C7C25BE643E3}"/>
            </c:ext>
          </c:extLst>
        </c:ser>
        <c:dLbls>
          <c:showLegendKey val="0"/>
          <c:showVal val="0"/>
          <c:showCatName val="0"/>
          <c:showSerName val="0"/>
          <c:showPercent val="0"/>
          <c:showBubbleSize val="0"/>
        </c:dLbls>
        <c:smooth val="0"/>
        <c:axId val="980510008"/>
        <c:axId val="980504248"/>
      </c:lineChart>
      <c:catAx>
        <c:axId val="980510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504248"/>
        <c:crosses val="autoZero"/>
        <c:auto val="1"/>
        <c:lblAlgn val="ctr"/>
        <c:lblOffset val="100"/>
        <c:noMultiLvlLbl val="0"/>
      </c:catAx>
      <c:valAx>
        <c:axId val="9805042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510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587828</xdr:colOff>
      <xdr:row>0</xdr:row>
      <xdr:rowOff>54429</xdr:rowOff>
    </xdr:from>
    <xdr:to>
      <xdr:col>2</xdr:col>
      <xdr:colOff>733960</xdr:colOff>
      <xdr:row>0</xdr:row>
      <xdr:rowOff>270429</xdr:rowOff>
    </xdr:to>
    <xdr:pic>
      <xdr:nvPicPr>
        <xdr:cNvPr id="2" name="Image 1" descr="InnoFaso">
          <a:extLst>
            <a:ext uri="{FF2B5EF4-FFF2-40B4-BE49-F238E27FC236}">
              <a16:creationId xmlns:a16="http://schemas.microsoft.com/office/drawing/2014/main" id="{886C93EB-D880-4F37-962E-0C4569CFD9A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2485" y="54429"/>
          <a:ext cx="1147618" cy="2160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314324</xdr:colOff>
      <xdr:row>9</xdr:row>
      <xdr:rowOff>38100</xdr:rowOff>
    </xdr:from>
    <xdr:to>
      <xdr:col>23</xdr:col>
      <xdr:colOff>723899</xdr:colOff>
      <xdr:row>24</xdr:row>
      <xdr:rowOff>9525</xdr:rowOff>
    </xdr:to>
    <xdr:graphicFrame macro="">
      <xdr:nvGraphicFramePr>
        <xdr:cNvPr id="5" name="Graphique 4">
          <a:extLst>
            <a:ext uri="{FF2B5EF4-FFF2-40B4-BE49-F238E27FC236}">
              <a16:creationId xmlns:a16="http://schemas.microsoft.com/office/drawing/2014/main" id="{C635F4D8-A4C5-3309-49F9-8713CBD2B0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587828</xdr:colOff>
      <xdr:row>0</xdr:row>
      <xdr:rowOff>54429</xdr:rowOff>
    </xdr:from>
    <xdr:to>
      <xdr:col>3</xdr:col>
      <xdr:colOff>215800</xdr:colOff>
      <xdr:row>0</xdr:row>
      <xdr:rowOff>287574</xdr:rowOff>
    </xdr:to>
    <xdr:pic>
      <xdr:nvPicPr>
        <xdr:cNvPr id="4" name="Image 3" descr="InnoFaso">
          <a:extLst>
            <a:ext uri="{FF2B5EF4-FFF2-40B4-BE49-F238E27FC236}">
              <a16:creationId xmlns:a16="http://schemas.microsoft.com/office/drawing/2014/main" id="{08F1CBA1-E0C1-43AF-9541-870F3EB3C19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80308" y="54429"/>
          <a:ext cx="1151972" cy="21600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587828</xdr:colOff>
      <xdr:row>0</xdr:row>
      <xdr:rowOff>54429</xdr:rowOff>
    </xdr:from>
    <xdr:to>
      <xdr:col>2</xdr:col>
      <xdr:colOff>833020</xdr:colOff>
      <xdr:row>0</xdr:row>
      <xdr:rowOff>301918</xdr:rowOff>
    </xdr:to>
    <xdr:pic>
      <xdr:nvPicPr>
        <xdr:cNvPr id="4" name="Image 3" descr="InnoFaso">
          <a:extLst>
            <a:ext uri="{FF2B5EF4-FFF2-40B4-BE49-F238E27FC236}">
              <a16:creationId xmlns:a16="http://schemas.microsoft.com/office/drawing/2014/main" id="{3C28E87A-B39E-4FB7-963D-4851E30C6DB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4528" y="481149"/>
          <a:ext cx="1151972" cy="233145"/>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587828</xdr:colOff>
      <xdr:row>0</xdr:row>
      <xdr:rowOff>123825</xdr:rowOff>
    </xdr:from>
    <xdr:to>
      <xdr:col>2</xdr:col>
      <xdr:colOff>833020</xdr:colOff>
      <xdr:row>0</xdr:row>
      <xdr:rowOff>381000</xdr:rowOff>
    </xdr:to>
    <xdr:pic>
      <xdr:nvPicPr>
        <xdr:cNvPr id="2" name="Image 1" descr="InnoFaso">
          <a:extLst>
            <a:ext uri="{FF2B5EF4-FFF2-40B4-BE49-F238E27FC236}">
              <a16:creationId xmlns:a16="http://schemas.microsoft.com/office/drawing/2014/main" id="{AE7F1A36-C860-4802-BC67-72CCC14A566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8403" y="123825"/>
          <a:ext cx="1150067" cy="2571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587829</xdr:colOff>
      <xdr:row>0</xdr:row>
      <xdr:rowOff>114299</xdr:rowOff>
    </xdr:from>
    <xdr:to>
      <xdr:col>3</xdr:col>
      <xdr:colOff>657226</xdr:colOff>
      <xdr:row>0</xdr:row>
      <xdr:rowOff>409574</xdr:rowOff>
    </xdr:to>
    <xdr:pic>
      <xdr:nvPicPr>
        <xdr:cNvPr id="2" name="Image 1" descr="InnoFaso">
          <a:extLst>
            <a:ext uri="{FF2B5EF4-FFF2-40B4-BE49-F238E27FC236}">
              <a16:creationId xmlns:a16="http://schemas.microsoft.com/office/drawing/2014/main" id="{8E442189-83C1-4E7A-BCEB-24BAE79D037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8404" y="114299"/>
          <a:ext cx="1793422" cy="29527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491066</xdr:colOff>
      <xdr:row>0</xdr:row>
      <xdr:rowOff>127000</xdr:rowOff>
    </xdr:from>
    <xdr:to>
      <xdr:col>2</xdr:col>
      <xdr:colOff>737810</xdr:colOff>
      <xdr:row>0</xdr:row>
      <xdr:rowOff>389467</xdr:rowOff>
    </xdr:to>
    <xdr:pic>
      <xdr:nvPicPr>
        <xdr:cNvPr id="2" name="Image 1" descr="InnoFaso">
          <a:extLst>
            <a:ext uri="{FF2B5EF4-FFF2-40B4-BE49-F238E27FC236}">
              <a16:creationId xmlns:a16="http://schemas.microsoft.com/office/drawing/2014/main" id="{09A4FF52-813F-49EB-9F02-1DD46C4E966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6933" y="127000"/>
          <a:ext cx="1405467" cy="262467"/>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491067</xdr:colOff>
      <xdr:row>0</xdr:row>
      <xdr:rowOff>127001</xdr:rowOff>
    </xdr:from>
    <xdr:to>
      <xdr:col>2</xdr:col>
      <xdr:colOff>434341</xdr:colOff>
      <xdr:row>0</xdr:row>
      <xdr:rowOff>388621</xdr:rowOff>
    </xdr:to>
    <xdr:pic>
      <xdr:nvPicPr>
        <xdr:cNvPr id="2" name="Image 1" descr="InnoFaso">
          <a:extLst>
            <a:ext uri="{FF2B5EF4-FFF2-40B4-BE49-F238E27FC236}">
              <a16:creationId xmlns:a16="http://schemas.microsoft.com/office/drawing/2014/main" id="{984D5FC0-94BD-4272-8FC4-31BAEAF625D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3547" y="127001"/>
          <a:ext cx="850054" cy="26162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319616</xdr:colOff>
      <xdr:row>0</xdr:row>
      <xdr:rowOff>66674</xdr:rowOff>
    </xdr:from>
    <xdr:to>
      <xdr:col>1</xdr:col>
      <xdr:colOff>600074</xdr:colOff>
      <xdr:row>0</xdr:row>
      <xdr:rowOff>409575</xdr:rowOff>
    </xdr:to>
    <xdr:pic>
      <xdr:nvPicPr>
        <xdr:cNvPr id="2" name="Image 1" descr="InnoFaso">
          <a:extLst>
            <a:ext uri="{FF2B5EF4-FFF2-40B4-BE49-F238E27FC236}">
              <a16:creationId xmlns:a16="http://schemas.microsoft.com/office/drawing/2014/main" id="{69622E8A-E361-4CF9-B231-9C8F6591F9B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616" y="66674"/>
          <a:ext cx="1071033" cy="342901"/>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3386</xdr:colOff>
      <xdr:row>0</xdr:row>
      <xdr:rowOff>96521</xdr:rowOff>
    </xdr:from>
    <xdr:to>
      <xdr:col>2</xdr:col>
      <xdr:colOff>503767</xdr:colOff>
      <xdr:row>0</xdr:row>
      <xdr:rowOff>426721</xdr:rowOff>
    </xdr:to>
    <xdr:pic>
      <xdr:nvPicPr>
        <xdr:cNvPr id="2" name="Image 1" descr="InnoFaso">
          <a:extLst>
            <a:ext uri="{FF2B5EF4-FFF2-40B4-BE49-F238E27FC236}">
              <a16:creationId xmlns:a16="http://schemas.microsoft.com/office/drawing/2014/main" id="{4A76011B-4757-418B-BC60-3D0276ABD02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5866" y="96521"/>
          <a:ext cx="1407161" cy="33020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784436</xdr:colOff>
      <xdr:row>1</xdr:row>
      <xdr:rowOff>39371</xdr:rowOff>
    </xdr:from>
    <xdr:to>
      <xdr:col>2</xdr:col>
      <xdr:colOff>312986</xdr:colOff>
      <xdr:row>1</xdr:row>
      <xdr:rowOff>291371</xdr:rowOff>
    </xdr:to>
    <xdr:pic>
      <xdr:nvPicPr>
        <xdr:cNvPr id="2" name="Image 1" descr="InnoFaso">
          <a:extLst>
            <a:ext uri="{FF2B5EF4-FFF2-40B4-BE49-F238E27FC236}">
              <a16:creationId xmlns:a16="http://schemas.microsoft.com/office/drawing/2014/main" id="{C02770BE-2BC8-408F-9756-3B88AD9D84E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436" y="525146"/>
          <a:ext cx="1224000" cy="25200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784436</xdr:colOff>
      <xdr:row>1</xdr:row>
      <xdr:rowOff>39371</xdr:rowOff>
    </xdr:from>
    <xdr:to>
      <xdr:col>2</xdr:col>
      <xdr:colOff>312986</xdr:colOff>
      <xdr:row>2</xdr:row>
      <xdr:rowOff>108491</xdr:rowOff>
    </xdr:to>
    <xdr:pic>
      <xdr:nvPicPr>
        <xdr:cNvPr id="2" name="Image 1" descr="InnoFaso">
          <a:extLst>
            <a:ext uri="{FF2B5EF4-FFF2-40B4-BE49-F238E27FC236}">
              <a16:creationId xmlns:a16="http://schemas.microsoft.com/office/drawing/2014/main" id="{3EACBF33-EB4E-4B8D-A3D3-6447E843007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436" y="527051"/>
          <a:ext cx="1227810" cy="252000"/>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784436</xdr:colOff>
      <xdr:row>1</xdr:row>
      <xdr:rowOff>39371</xdr:rowOff>
    </xdr:from>
    <xdr:to>
      <xdr:col>2</xdr:col>
      <xdr:colOff>95271</xdr:colOff>
      <xdr:row>2</xdr:row>
      <xdr:rowOff>108491</xdr:rowOff>
    </xdr:to>
    <xdr:pic>
      <xdr:nvPicPr>
        <xdr:cNvPr id="2" name="Image 1" descr="InnoFaso">
          <a:extLst>
            <a:ext uri="{FF2B5EF4-FFF2-40B4-BE49-F238E27FC236}">
              <a16:creationId xmlns:a16="http://schemas.microsoft.com/office/drawing/2014/main" id="{C66E0476-CD15-42B6-B25C-69847F48147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436" y="527051"/>
          <a:ext cx="1227810" cy="252000"/>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784436</xdr:colOff>
      <xdr:row>1</xdr:row>
      <xdr:rowOff>39371</xdr:rowOff>
    </xdr:from>
    <xdr:to>
      <xdr:col>2</xdr:col>
      <xdr:colOff>149700</xdr:colOff>
      <xdr:row>3</xdr:row>
      <xdr:rowOff>78011</xdr:rowOff>
    </xdr:to>
    <xdr:pic>
      <xdr:nvPicPr>
        <xdr:cNvPr id="2" name="Image 1" descr="InnoFaso">
          <a:extLst>
            <a:ext uri="{FF2B5EF4-FFF2-40B4-BE49-F238E27FC236}">
              <a16:creationId xmlns:a16="http://schemas.microsoft.com/office/drawing/2014/main" id="{F391FC39-2D9F-4A84-BB9D-C74DDA50F63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436" y="527051"/>
          <a:ext cx="1227810" cy="40440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784436</xdr:colOff>
      <xdr:row>1</xdr:row>
      <xdr:rowOff>39371</xdr:rowOff>
    </xdr:from>
    <xdr:to>
      <xdr:col>2</xdr:col>
      <xdr:colOff>312986</xdr:colOff>
      <xdr:row>5</xdr:row>
      <xdr:rowOff>0</xdr:rowOff>
    </xdr:to>
    <xdr:pic>
      <xdr:nvPicPr>
        <xdr:cNvPr id="2" name="Image 1" descr="InnoFaso">
          <a:extLst>
            <a:ext uri="{FF2B5EF4-FFF2-40B4-BE49-F238E27FC236}">
              <a16:creationId xmlns:a16="http://schemas.microsoft.com/office/drawing/2014/main" id="{F4AA6DC1-75E6-4100-B029-B885E8C26D7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436" y="527051"/>
          <a:ext cx="1227810" cy="70920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xdr:from>
      <xdr:col>15</xdr:col>
      <xdr:colOff>621030</xdr:colOff>
      <xdr:row>0</xdr:row>
      <xdr:rowOff>99060</xdr:rowOff>
    </xdr:from>
    <xdr:to>
      <xdr:col>21</xdr:col>
      <xdr:colOff>438150</xdr:colOff>
      <xdr:row>10</xdr:row>
      <xdr:rowOff>99060</xdr:rowOff>
    </xdr:to>
    <xdr:graphicFrame macro="">
      <xdr:nvGraphicFramePr>
        <xdr:cNvPr id="2" name="Graphique 1">
          <a:extLst>
            <a:ext uri="{FF2B5EF4-FFF2-40B4-BE49-F238E27FC236}">
              <a16:creationId xmlns:a16="http://schemas.microsoft.com/office/drawing/2014/main" id="{DC0E59FA-F873-5F9D-4AED-B1269F015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EPARTEMENT%20TECHNIQUE%202023/08%20MAINTENIR%20LES%20EQUIPEMENTS%20INDUSTRIELS-PROCESSUS%20SUPPORT/EMI/09-2023-INNOFASO.xlsm" TargetMode="External"/><Relationship Id="rId2" Type="http://schemas.openxmlformats.org/officeDocument/2006/relationships/externalLinkPath" Target="file:///I:\50%20MAINTENANCE\DEPARTEMENT%20TECHNIQUE%202023\08%20MAINTENIR%20LES%20EQUIPEMENTS%20INDUSTRIELS-PROCESSUS%20SUPPORT\EMI\09-2023-INNOFASO.xlsm" TargetMode="External"/><Relationship Id="rId1" Type="http://schemas.openxmlformats.org/officeDocument/2006/relationships/externalLinkPath" Target="/50%20MAINTENANCE/DEPARTEMENT%20TECHNIQUE%202023/08%20MAINTENIR%20LES%20EQUIPEMENTS%20INDUSTRIELS-PROCESSUS%20SUPPORT/EMI/09-2023-INNOFASO.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EPARTEMENT%20TECHNIQUE%202024/08%20MAINTENIR%20LES%20EQUIPEMENTS%20INDUSTRIELS-PROCESSUS%20SUPPORT/EMI%202024/02-2024-INNOFASO.xlsm" TargetMode="External"/><Relationship Id="rId2" Type="http://schemas.openxmlformats.org/officeDocument/2006/relationships/externalLinkPath" Target="file:///I:\50%20MAINTENANCE\DEPARTEMENT%20TECHNIQUE%202024\08%20MAINTENIR%20LES%20EQUIPEMENTS%20INDUSTRIELS-PROCESSUS%20SUPPORT\EMI%202024\02-2024-INNOFASO.xlsm" TargetMode="External"/><Relationship Id="rId1" Type="http://schemas.openxmlformats.org/officeDocument/2006/relationships/externalLinkPath" Target="/50%20MAINTENANCE/DEPARTEMENT%20TECHNIQUE%202024/08%20MAINTENIR%20LES%20EQUIPEMENTS%20INDUSTRIELS-PROCESSUS%20SUPPORT/EMI%202024/02-2024-INNOFAS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enu"/>
      <sheetName val="Ventes"/>
      <sheetName val="T_listes-req"/>
      <sheetName val="Management- staff"/>
      <sheetName val="Management-training"/>
      <sheetName val="Achat - Purchase raw Material"/>
      <sheetName val="Achat - Purchase FP"/>
      <sheetName val="Monthly Production data"/>
      <sheetName val="Monthly Production shutdown"/>
      <sheetName val="listes"/>
      <sheetName val="Maintenance"/>
      <sheetName val="09-2023-INNOFASO"/>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euil1"/>
      <sheetName val="02-2024-INNOFASO"/>
    </sheetNames>
    <sheetDataSet>
      <sheetData sheetId="0" refreshError="1"/>
      <sheetData sheetId="1"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2" connectionId="46" xr16:uid="{687B4CD7-FF1C-46F8-A66A-0B53F070B9A8}" autoFormatId="16" applyNumberFormats="0" applyBorderFormats="0" applyFontFormats="0" applyPatternFormats="0" applyAlignmentFormats="0" applyWidthHeightFormats="0">
  <queryTableRefresh nextId="9">
    <queryTableFields count="8">
      <queryTableField id="1" name="Partner" tableColumnId="1"/>
      <queryTableField id="2" name="Année" tableColumnId="2"/>
      <queryTableField id="3" name="Mois" tableColumnId="3"/>
      <queryTableField id="4" name="Equipment" tableColumnId="4"/>
      <queryTableField id="5" name="New Equipment " tableColumnId="5"/>
      <queryTableField id="6" name="Maintenance Type" tableColumnId="6"/>
      <queryTableField id="7" name="Number of hours" tableColumnId="7"/>
      <queryTableField id="8" name="Description (free field)" tableColumnId="8"/>
    </queryTableFields>
  </queryTableRefresh>
</queryTable>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D350C5-218C-4B01-98A5-718BE521F2B3}" name="T_Sales_Innofaso" displayName="T_Sales_Innofaso" ref="B2:L193" totalsRowShown="0" headerRowDxfId="236">
  <autoFilter ref="B2:L193" xr:uid="{6FD350C5-218C-4B01-98A5-718BE521F2B3}"/>
  <tableColumns count="11">
    <tableColumn id="1" xr3:uid="{3D7B6F47-2917-4B30-BEC6-6CCD9B1F838A}" name="Partner" dataDxfId="235"/>
    <tableColumn id="2" xr3:uid="{3986A15B-F558-48DD-9A9D-08343607B2DA}" name="Année"/>
    <tableColumn id="3" xr3:uid="{E9FBCEF5-210D-4ECC-8BF5-19C91A6054BC}" name="Mois"/>
    <tableColumn id="4" xr3:uid="{7AF12FB6-00D0-4154-B000-4ACE2CC4BAC7}" name="Product (make your choice in the list)"/>
    <tableColumn id="5" xr3:uid="{F8D4C302-053A-44D4-B77D-E833BF31A07A}" name="New Product "/>
    <tableColumn id="6" xr3:uid="{8A5B8263-CC7C-4E40-9F50-D73635A5039F}" name="Customer (make your choice in the list)"/>
    <tableColumn id="7" xr3:uid="{63E2087B-D5D6-4B54-8862-D65E78ED38E3}" name="New Customer "/>
    <tableColumn id="8" xr3:uid="{B1B6AC3D-BDE9-473C-9647-59E9545552EF}" name="Sold Quantity "/>
    <tableColumn id="9" xr3:uid="{472D50BE-B2E7-4B60-9ACA-26CC3E6DD32A}" name="Unit" dataDxfId="234"/>
    <tableColumn id="10" xr3:uid="{AD0D7378-7779-4F6D-A560-08E0F43317F2}" name="Destination (make your choice in the list)"/>
    <tableColumn id="11" xr3:uid="{2DC9BC8B-E01A-454A-AE32-F121A0EF6187}" name="New destin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BADAEB6-1CF3-4B1A-991B-3F8A4F077246}" name="T_Achat_MP_Innofaso" displayName="T_Achat_MP_Innofaso" ref="B2:M228" totalsRowShown="0" headerRowDxfId="233" tableBorderDxfId="232" headerRowCellStyle="Monétaire">
  <autoFilter ref="B2:M228" xr:uid="{1BADAEB6-1CF3-4B1A-991B-3F8A4F077246}"/>
  <tableColumns count="12">
    <tableColumn id="1" xr3:uid="{AB924A50-5EBB-412E-BB1A-2D0F92E70C32}" name="Partner" dataDxfId="231"/>
    <tableColumn id="12" xr3:uid="{6E0CF7D0-03BB-431D-954E-19EB46BC854D}" name="Année" dataDxfId="230"/>
    <tableColumn id="11" xr3:uid="{ABEA09C0-F6F2-4F40-8114-18F8B74817C2}" name="Mois" dataDxfId="229"/>
    <tableColumn id="2" xr3:uid="{5795816A-513B-4DD5-9329-C25EF5BD7F61}" name="Raw material / packaging (make your choice in the list)" dataDxfId="228"/>
    <tableColumn id="3" xr3:uid="{321B0F1B-C4B5-4C93-A103-872486CFAE57}" name="New Raw material /Packaging (Only if the product is not in the list)" dataDxfId="227"/>
    <tableColumn id="4" xr3:uid="{60CAE64C-BBA5-4AC8-98A9-7306A1995C6A}" name="Supplier  (make your choice in the list)" dataDxfId="226"/>
    <tableColumn id="5" xr3:uid="{9A4CAE7A-8DAB-4212-8037-B816B98F0F9E}" name="New supplier" dataDxfId="225"/>
    <tableColumn id="6" xr3:uid="{D3AC142B-5457-4275-A880-219FFC2E0969}" name="Country of origin of the raw material / Packaging (make your choice in the list)" dataDxfId="224"/>
    <tableColumn id="7" xr3:uid="{F1B6BA59-EBFF-46BD-8820-62D55F3FF466}" name="New country of origin" dataDxfId="223"/>
    <tableColumn id="8" xr3:uid="{F977C3C8-BFD4-4522-A85E-4F14992877FC}" name="Quantity" dataDxfId="222"/>
    <tableColumn id="9" xr3:uid="{7F153C44-8054-42EC-AE00-6139168E2A84}" name="Unit" dataDxfId="221"/>
    <tableColumn id="10" xr3:uid="{1D14CECD-4A4E-418F-ADF4-87F1F9437D2F}" name="Purchase type (make your choice in the list)" dataDxfId="2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BDCBCFE-3EFB-4A29-B6C8-7564E14C7CA0}" name="T_Achat_PF_Innofaso" displayName="T_Achat_PF_Innofaso" ref="B2:J3" totalsRowShown="0">
  <autoFilter ref="B2:J3" xr:uid="{1BDCBCFE-3EFB-4A29-B6C8-7564E14C7CA0}"/>
  <tableColumns count="9">
    <tableColumn id="1" xr3:uid="{C1690E02-9A3B-4444-AB79-FBF26FCA0C78}" name="Partner" dataDxfId="219"/>
    <tableColumn id="2" xr3:uid="{E71398DF-636E-4851-BB57-75A710A489CA}" name="Année" dataDxfId="218"/>
    <tableColumn id="3" xr3:uid="{4F1682DE-1476-4BD7-904D-CF5493A0F10F}" name="Mois" dataDxfId="217"/>
    <tableColumn id="4" xr3:uid="{2E49DC31-CE72-4957-BC2C-6474967B6C8A}" name="Finished product (make your choice in the list)"/>
    <tableColumn id="5" xr3:uid="{4B64C0CB-7268-442A-99C4-38D7FF967AE8}" name="New Finished product (Only if the product is not in the list)"/>
    <tableColumn id="6" xr3:uid="{CEB7D42A-E7A1-4CF4-A327-33C871E0068E}" name="Finished Product producer"/>
    <tableColumn id="7" xr3:uid="{BAAA6E58-F55A-4BE6-9529-BE3B77466BE6}" name="New Producer  (Only if the product is not in the list)"/>
    <tableColumn id="8" xr3:uid="{F461605D-4945-49EB-835C-14E3774195C4}" name="Quantity"/>
    <tableColumn id="9" xr3:uid="{9323A1E1-4F48-4D2B-8847-E9297E303971}" name="Uni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6A6F867-47B5-4578-9BE3-C84C5B4DDA65}" name="T_Prod_data_Innofaso" displayName="T_Prod_data_Innofaso" ref="B3:L48" totalsRowShown="0">
  <autoFilter ref="B3:L48" xr:uid="{56A6F867-47B5-4578-9BE3-C84C5B4DDA65}"/>
  <tableColumns count="11">
    <tableColumn id="1" xr3:uid="{9B80CCA2-DB7F-4580-BDC1-D20F0EACA679}" name="Partner" dataDxfId="216"/>
    <tableColumn id="2" xr3:uid="{1F300503-973F-4D1C-8954-E4CB5AEFEFB1}" name="Année" dataDxfId="215"/>
    <tableColumn id="3" xr3:uid="{D0628025-5FBD-4F1A-8D29-5B6F792BBD9D}" name="Mois" dataDxfId="214"/>
    <tableColumn id="4" xr3:uid="{1612A883-95B2-4ADF-BA3F-698A7906A3ED}" name="Name of the production room (make your choice in the list)" dataDxfId="213"/>
    <tableColumn id="5" xr3:uid="{A1A270FE-4E61-4B62-B144-2A0ACC2AEA62}" name="Product Name (make your choice in the list)"/>
    <tableColumn id="6" xr3:uid="{8A3DE4CE-9C03-4C9C-B4FA-D849FC98B94D}" name="New Finished product"/>
    <tableColumn id="7" xr3:uid="{7255B7F0-312C-4645-A1C0-08CE864086EA}" name="Quantity produced in the month (kg)" dataDxfId="212"/>
    <tableColumn id="8" xr3:uid="{A230733C-F17A-49A1-B1FE-F941E83C0E6E}" name="Blend quantity in month (kg)"/>
    <tableColumn id="9" xr3:uid="{E15275C3-248C-4416-BE71-9CC73FEE79FC}" name="Average number of hours per shift"/>
    <tableColumn id="10" xr3:uid="{9483D769-D06B-490E-AC0D-FEB0E5E71007}" name="Number of shifts in the month"/>
    <tableColumn id="11" xr3:uid="{F10C5E74-DAAE-4982-9F87-ED5A69B163B1}" name="Loss R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D659756-4517-465C-8DBD-936DF1381551}" name="T_ProdShutdown_Innofaso" displayName="T_ProdShutdown_Innofaso" ref="B2:I31" totalsRowShown="0">
  <autoFilter ref="B2:I31" xr:uid="{5D659756-4517-465C-8DBD-936DF1381551}"/>
  <tableColumns count="8">
    <tableColumn id="1" xr3:uid="{2C6F6750-F8A0-4F9B-AC3E-F55004951C95}" name="Partner" dataDxfId="211"/>
    <tableColumn id="2" xr3:uid="{749359F9-D724-4B7C-91C6-0B0F67E5EA87}" name="Année"/>
    <tableColumn id="3" xr3:uid="{9FF29425-DCF4-4467-AEDF-B47E7A288F7A}" name="Mois"/>
    <tableColumn id="4" xr3:uid="{4161936D-B438-4E5B-88D7-DB3F20D7587B}" name="Name of the production room"/>
    <tableColumn id="5" xr3:uid="{27388610-1FE8-4E61-AA67-B6DE3C9710D6}" name="Shutdown Type"/>
    <tableColumn id="6" xr3:uid="{C7C453F0-4CAD-4D42-B4B7-711C98F95DDA}" name="New shutdown reason"/>
    <tableColumn id="7" xr3:uid="{D17368D3-6EC0-4621-A026-10FCBFE4C385}" name="Days of shutdown"/>
    <tableColumn id="8" xr3:uid="{40196D83-11AB-4B86-9DED-D72E5485934E}" name="Comments (free fiel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3BBA116-2A75-4A5A-95D7-6BF88F240B43}" name="T_Maint_Innofaso_2" displayName="T_Maint_Innofaso_2" ref="A1:H1974" tableType="queryTable" totalsRowCount="1">
  <autoFilter ref="A1:H1973" xr:uid="{A3BBA116-2A75-4A5A-95D7-6BF88F240B43}">
    <filterColumn colId="1">
      <filters>
        <filter val="2024"/>
      </filters>
    </filterColumn>
  </autoFilter>
  <tableColumns count="8">
    <tableColumn id="1" xr3:uid="{5D6E324D-0171-4BD0-BF63-FDCCB2FA89BA}" uniqueName="1" name="Partner" queryTableFieldId="1" dataDxfId="210"/>
    <tableColumn id="2" xr3:uid="{9239A439-93BA-4B30-AE67-227F21940AB8}" uniqueName="2" name="Année" queryTableFieldId="2" dataDxfId="209"/>
    <tableColumn id="3" xr3:uid="{B86261C5-CAFB-471F-9421-E5358F344EAE}" uniqueName="3" name="Mois" queryTableFieldId="3" dataDxfId="208"/>
    <tableColumn id="4" xr3:uid="{9D7183A7-A132-4784-AE63-B58163F9D989}" uniqueName="4" name="Equipment" queryTableFieldId="4" dataDxfId="207"/>
    <tableColumn id="5" xr3:uid="{B3010CAA-56D3-492C-91FF-8E32BF0CA612}" uniqueName="5" name="New Equipment " queryTableFieldId="5" dataDxfId="206"/>
    <tableColumn id="6" xr3:uid="{5D01BC7C-C3A0-4E9B-956E-0842DCD46FA5}" uniqueName="6" name="Maintenance Type" queryTableFieldId="6" dataDxfId="205"/>
    <tableColumn id="7" xr3:uid="{CFED53AD-4606-4CDE-82AF-6C214EC19082}" uniqueName="7" name="Number of hours" totalsRowFunction="custom" queryTableFieldId="7">
      <totalsRowFormula>SUBTOTAL(9,G2:G1973)</totalsRowFormula>
    </tableColumn>
    <tableColumn id="8" xr3:uid="{346CE800-0C3C-47CA-9031-D24BB0D7A903}" uniqueName="8" name="Description (free field)" queryTableFieldId="8" dataDxfId="20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7ECD4DE-5E18-4B01-A70F-F16FD874D82C}" name="Tableau12" displayName="Tableau12" ref="A5:O10" totalsRowShown="0">
  <autoFilter ref="A5:O10" xr:uid="{C7ECD4DE-5E18-4B01-A70F-F16FD874D82C}"/>
  <tableColumns count="15">
    <tableColumn id="1" xr3:uid="{A6CAD413-166D-47EB-A832-8F2144431270}" name="LIGNE"/>
    <tableColumn id="2" xr3:uid="{A725E762-6C1E-44B2-9C71-2D59D1CA7E9D}" name="JANVIER" dataDxfId="249">
      <calculatedColumnFormula>'Dispo jan25'!O17</calculatedColumnFormula>
    </tableColumn>
    <tableColumn id="3" xr3:uid="{2F3E83E3-DC84-46CA-9FAA-88844BA49EBC}" name="FEVRIER" dataDxfId="248">
      <calculatedColumnFormula>'Dispo fevr25'!O17</calculatedColumnFormula>
    </tableColumn>
    <tableColumn id="4" xr3:uid="{067CD5FE-67C2-4842-9A7E-10DE29C41F6F}" name="MARS" dataDxfId="247">
      <calculatedColumnFormula>'Dispo mars25'!O38</calculatedColumnFormula>
    </tableColumn>
    <tableColumn id="5" xr3:uid="{45677401-813D-4C06-84AD-752AA89775BF}" name="AVRIL" dataDxfId="246">
      <calculatedColumnFormula>Dispoavril25!O17</calculatedColumnFormula>
    </tableColumn>
    <tableColumn id="6" xr3:uid="{836AA800-8BF9-4F1C-B9BA-9513ADE663FF}" name="MAI" dataDxfId="245">
      <calculatedColumnFormula>DispoMai25!O17</calculatedColumnFormula>
    </tableColumn>
    <tableColumn id="7" xr3:uid="{F289D5CA-BD33-4812-B304-C1CC826D5D92}" name="JUIN" dataDxfId="244">
      <calculatedColumnFormula>Dispojuin25!O29</calculatedColumnFormula>
    </tableColumn>
    <tableColumn id="8" xr3:uid="{20B7D160-8DC8-46E5-A778-369A467249AF}" name="JUILLET" dataDxfId="243">
      <calculatedColumnFormula>Dispojuil25!O17</calculatedColumnFormula>
    </tableColumn>
    <tableColumn id="9" xr3:uid="{51FBA08C-13B9-46D0-B1C6-6EA0A90C79A0}" name="AOUT" dataDxfId="242">
      <calculatedColumnFormula>Dispaout25!O17</calculatedColumnFormula>
    </tableColumn>
    <tableColumn id="10" xr3:uid="{9416B65C-6BEC-4B49-A462-77696F7A0B64}" name="SEPT" dataDxfId="241">
      <calculatedColumnFormula>Sept25!O24</calculatedColumnFormula>
    </tableColumn>
    <tableColumn id="11" xr3:uid="{E286C64B-ECA7-4A45-8861-6007610B7FE8}" name="OCT" dataDxfId="240">
      <calculatedColumnFormula>'Oct25'!O17</calculatedColumnFormula>
    </tableColumn>
    <tableColumn id="12" xr3:uid="{A6544CA8-36CC-4B84-9426-C1F350A0E17C}" name="NOV" dataDxfId="239">
      <calculatedColumnFormula>'Nov25'!O17</calculatedColumnFormula>
    </tableColumn>
    <tableColumn id="15" xr3:uid="{E4574415-67BA-45F3-B2E8-230367F793EE}" name="DEC" dataDxfId="238">
      <calculatedColumnFormula>'Dec25'!O29</calculatedColumnFormula>
    </tableColumn>
    <tableColumn id="13" xr3:uid="{AF8E3D7F-ECD5-421D-BAED-845EA5DE542E}" name="MOYENNE" dataDxfId="237">
      <calculatedColumnFormula>(Tableau12[[#This Row],[JANVIER]]+Tableau12[[#This Row],[FEVRIER]]+Tableau12[[#This Row],[MARS]]+Tableau12[[#This Row],[AVRIL]]+Tableau12[[#This Row],[MAI]]+Tableau12[[#This Row],[JUIN]]+Tableau12[[#This Row],[JUILLET]]+Tableau12[[#This Row],[AOUT]]+Tableau12[[#This Row],[SEPT]]+Tableau12[[#This Row],[OCT]]+Tableau12[[#This Row],[NOV]]+Tableau12[[#This Row],[DEC]])/12</calculatedColumnFormula>
    </tableColumn>
    <tableColumn id="14" xr3:uid="{B7A59EBE-B1D0-47D2-9EE2-E4DE10B1C667}" name="OBSERVATION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7F3BFEB-107E-4B96-86E3-A7CF7B56C616}" name="T_Maint_Innofaso" displayName="T_Maint_Innofaso" ref="B2:I963" totalsRowShown="0" headerRowDxfId="203" dataDxfId="201" headerRowBorderDxfId="202" tableBorderDxfId="200" totalsRowBorderDxfId="199">
  <autoFilter ref="B2:I963" xr:uid="{C7F3BFEB-107E-4B96-86E3-A7CF7B56C616}"/>
  <tableColumns count="8">
    <tableColumn id="1" xr3:uid="{CAD36287-02D2-444A-B46D-E63A8F22E385}" name="Partner" dataDxfId="198"/>
    <tableColumn id="2" xr3:uid="{F541DDE2-8D60-4E51-8465-25AE32D4221E}" name="Année" dataDxfId="197"/>
    <tableColumn id="3" xr3:uid="{B5531BB2-E4C2-4309-A642-0AFAFCCFE3EF}" name="Mois" dataDxfId="196"/>
    <tableColumn id="4" xr3:uid="{DFC6654B-67B0-4AA7-B45E-A89BD43BF18F}" name="Equipment" dataDxfId="195"/>
    <tableColumn id="5" xr3:uid="{7485DB82-0DF5-4180-AED0-B02EA427CACD}" name="New Equipment " dataDxfId="194"/>
    <tableColumn id="6" xr3:uid="{360FD254-FF44-4E0D-9F0D-F24947158D33}" name="Maintenance Type" dataDxfId="193"/>
    <tableColumn id="7" xr3:uid="{D3B86CD9-62B8-48BA-9D0C-85C602C9F265}" name="Number of hours" dataDxfId="192"/>
    <tableColumn id="8" xr3:uid="{00FADE98-DD1C-45FC-A5B7-3305EF313525}" name="Description (free field)" dataDxfId="19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528AEF-C280-46BA-9BD9-22E7DE4DDD35}" name="T_Staff_Innofaso" displayName="T_Staff_Innofaso" ref="B2:F113" totalsRowShown="0">
  <autoFilter ref="B2:F113" xr:uid="{64528AEF-C280-46BA-9BD9-22E7DE4DDD35}"/>
  <tableColumns count="5">
    <tableColumn id="1" xr3:uid="{C66235CE-B9D4-4068-9F35-E21AD19CE870}" name="Partner" dataDxfId="190"/>
    <tableColumn id="2" xr3:uid="{74E18F3A-1838-45D6-89B2-78265C73C6C5}" name="Année" dataDxfId="189"/>
    <tableColumn id="3" xr3:uid="{82F17110-5B9E-4B1D-83EC-E2662486FE97}" name="Mois" dataDxfId="188"/>
    <tableColumn id="4" xr3:uid="{5B17C956-6649-478D-B7A7-13697462692C}" name="employees type" dataDxfId="187"/>
    <tableColumn id="5" xr3:uid="{8888375E-7D65-4DF7-8BF3-292BD10C40B0}" name="Number employees" dataDxfId="18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88587E-D389-4C92-B146-D157F4015534}" name="T_formation_Innofaso" displayName="T_formation_Innofaso" ref="B2:G356" totalsRowShown="0">
  <autoFilter ref="B2:G356" xr:uid="{2B88587E-D389-4C92-B146-D157F4015534}"/>
  <tableColumns count="6">
    <tableColumn id="1" xr3:uid="{7D1C0239-E508-4673-8A35-17D10E011825}" name="Partner" dataDxfId="185"/>
    <tableColumn id="2" xr3:uid="{084ACCBF-7505-4A88-9346-EBE7D1B57B22}" name="Année"/>
    <tableColumn id="3" xr3:uid="{DB7FF72B-0E2F-46F6-A16B-2B50CE59356A}" name="Mois"/>
    <tableColumn id="4" xr3:uid="{B3815378-AE8D-4E3A-86D3-C67B98430E12}" name="Training subject"/>
    <tableColumn id="5" xr3:uid="{AB7BA625-C450-4666-B9DF-18DA0B399F4F}" name="Department trained"/>
    <tableColumn id="6" xr3:uid="{47AA98E1-381E-42E7-8263-4E6B32DDD049}" name="Number of hours (Number of employees trained * hours of training)"/>
  </tableColumns>
  <tableStyleInfo name="TableStyleLight10"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1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46EB8-2571-4732-91A6-F1491962CB61}">
  <sheetPr codeName="Feuil1">
    <tabColor theme="9" tint="0.39997558519241921"/>
  </sheetPr>
  <dimension ref="B2:L193"/>
  <sheetViews>
    <sheetView topLeftCell="A165" workbookViewId="0">
      <selection activeCell="I192" sqref="I192"/>
    </sheetView>
  </sheetViews>
  <sheetFormatPr baseColWidth="10" defaultColWidth="11.44140625" defaultRowHeight="14.4"/>
  <cols>
    <col min="3" max="3" width="7.5546875" customWidth="1"/>
    <col min="5" max="5" width="19.5546875" customWidth="1"/>
    <col min="6" max="6" width="16.6640625" customWidth="1"/>
    <col min="7" max="7" width="42.44140625" customWidth="1"/>
    <col min="8" max="8" width="55.33203125" customWidth="1"/>
    <col min="9" max="9" width="17.33203125" customWidth="1"/>
    <col min="11" max="11" width="44.109375" customWidth="1"/>
    <col min="12" max="12" width="19.44140625" customWidth="1"/>
  </cols>
  <sheetData>
    <row r="2" spans="2:12" ht="41.4">
      <c r="B2" s="1" t="s">
        <v>0</v>
      </c>
      <c r="C2" s="2" t="s">
        <v>1</v>
      </c>
      <c r="D2" s="2" t="s">
        <v>2</v>
      </c>
      <c r="E2" s="3" t="s">
        <v>3</v>
      </c>
      <c r="F2" s="3" t="s">
        <v>4</v>
      </c>
      <c r="G2" s="3" t="s">
        <v>5</v>
      </c>
      <c r="H2" s="3" t="s">
        <v>6</v>
      </c>
      <c r="I2" s="3" t="s">
        <v>7</v>
      </c>
      <c r="J2" s="3" t="s">
        <v>8</v>
      </c>
      <c r="K2" s="3" t="s">
        <v>9</v>
      </c>
      <c r="L2" s="3" t="s">
        <v>10</v>
      </c>
    </row>
    <row r="3" spans="2:12">
      <c r="B3" s="17" t="s">
        <v>11</v>
      </c>
      <c r="C3">
        <v>2020</v>
      </c>
      <c r="D3" s="36" t="s">
        <v>12</v>
      </c>
      <c r="E3" t="s">
        <v>13</v>
      </c>
      <c r="F3" s="11"/>
      <c r="G3" s="41" t="s">
        <v>14</v>
      </c>
      <c r="H3" s="11"/>
      <c r="I3" s="29">
        <v>22.68</v>
      </c>
      <c r="J3" s="11" t="s">
        <v>15</v>
      </c>
      <c r="K3" s="38" t="s">
        <v>16</v>
      </c>
      <c r="L3" s="11"/>
    </row>
    <row r="4" spans="2:12">
      <c r="B4" s="17" t="s">
        <v>11</v>
      </c>
      <c r="C4">
        <v>2020</v>
      </c>
      <c r="D4" s="36" t="s">
        <v>12</v>
      </c>
      <c r="E4" t="s">
        <v>17</v>
      </c>
      <c r="F4" s="11"/>
      <c r="G4" s="37" t="s">
        <v>18</v>
      </c>
      <c r="H4" s="11"/>
      <c r="I4" s="29">
        <v>69</v>
      </c>
      <c r="J4" s="11" t="s">
        <v>15</v>
      </c>
      <c r="K4" s="38" t="s">
        <v>19</v>
      </c>
      <c r="L4" s="11"/>
    </row>
    <row r="5" spans="2:12">
      <c r="B5" s="17" t="s">
        <v>11</v>
      </c>
      <c r="C5">
        <v>2020</v>
      </c>
      <c r="D5" s="36" t="s">
        <v>12</v>
      </c>
      <c r="E5" t="s">
        <v>17</v>
      </c>
      <c r="F5" s="11"/>
      <c r="G5" s="42" t="s">
        <v>20</v>
      </c>
      <c r="H5" s="11"/>
      <c r="I5" s="29">
        <v>71760</v>
      </c>
      <c r="J5" s="11" t="s">
        <v>15</v>
      </c>
      <c r="K5" s="36" t="s">
        <v>16</v>
      </c>
      <c r="L5" s="11"/>
    </row>
    <row r="6" spans="2:12">
      <c r="B6" s="17" t="s">
        <v>11</v>
      </c>
      <c r="C6">
        <v>2020</v>
      </c>
      <c r="D6" s="29" t="s">
        <v>21</v>
      </c>
      <c r="E6" t="s">
        <v>17</v>
      </c>
      <c r="F6" s="11"/>
      <c r="G6" s="42" t="s">
        <v>20</v>
      </c>
      <c r="H6" s="11"/>
      <c r="I6" s="29">
        <v>231039.6</v>
      </c>
      <c r="J6" s="11" t="s">
        <v>15</v>
      </c>
      <c r="K6" s="36" t="s">
        <v>16</v>
      </c>
      <c r="L6" s="11"/>
    </row>
    <row r="7" spans="2:12">
      <c r="B7" s="17" t="s">
        <v>11</v>
      </c>
      <c r="C7">
        <v>2020</v>
      </c>
      <c r="D7" s="29" t="s">
        <v>21</v>
      </c>
      <c r="E7" t="s">
        <v>17</v>
      </c>
      <c r="F7" s="11"/>
      <c r="G7" s="39" t="s">
        <v>22</v>
      </c>
      <c r="H7" s="11"/>
      <c r="I7" s="29">
        <v>110400</v>
      </c>
      <c r="J7" s="11" t="s">
        <v>15</v>
      </c>
      <c r="K7" s="36" t="s">
        <v>23</v>
      </c>
      <c r="L7" s="11"/>
    </row>
    <row r="8" spans="2:12">
      <c r="B8" s="17" t="s">
        <v>11</v>
      </c>
      <c r="C8">
        <v>2020</v>
      </c>
      <c r="D8" s="29" t="s">
        <v>21</v>
      </c>
      <c r="E8" t="s">
        <v>24</v>
      </c>
      <c r="F8" s="11"/>
      <c r="G8" s="37" t="s">
        <v>25</v>
      </c>
      <c r="H8" s="11"/>
      <c r="I8" s="29">
        <v>750</v>
      </c>
      <c r="J8" s="11" t="s">
        <v>15</v>
      </c>
      <c r="K8" s="36" t="s">
        <v>26</v>
      </c>
      <c r="L8" s="11"/>
    </row>
    <row r="9" spans="2:12">
      <c r="B9" s="17" t="s">
        <v>11</v>
      </c>
      <c r="C9">
        <v>2020</v>
      </c>
      <c r="D9" s="29" t="s">
        <v>21</v>
      </c>
      <c r="E9" t="s">
        <v>17</v>
      </c>
      <c r="F9" s="11"/>
      <c r="G9" s="41" t="s">
        <v>14</v>
      </c>
      <c r="H9" s="11"/>
      <c r="I9" s="29">
        <v>13.8</v>
      </c>
      <c r="J9" s="11" t="s">
        <v>15</v>
      </c>
      <c r="K9" s="36" t="s">
        <v>16</v>
      </c>
      <c r="L9" s="11"/>
    </row>
    <row r="10" spans="2:12">
      <c r="B10" s="17" t="s">
        <v>11</v>
      </c>
      <c r="C10">
        <v>2020</v>
      </c>
      <c r="D10" s="29" t="s">
        <v>27</v>
      </c>
      <c r="E10" t="s">
        <v>17</v>
      </c>
      <c r="F10" s="11"/>
      <c r="G10" s="41" t="s">
        <v>14</v>
      </c>
      <c r="H10" s="11"/>
      <c r="I10" s="29">
        <v>27.6</v>
      </c>
      <c r="J10" s="11" t="s">
        <v>15</v>
      </c>
      <c r="K10" s="36" t="s">
        <v>16</v>
      </c>
      <c r="L10" s="11"/>
    </row>
    <row r="11" spans="2:12">
      <c r="B11" s="17" t="s">
        <v>11</v>
      </c>
      <c r="C11">
        <v>2020</v>
      </c>
      <c r="D11" s="29" t="s">
        <v>27</v>
      </c>
      <c r="E11" t="s">
        <v>24</v>
      </c>
      <c r="F11" s="11"/>
      <c r="G11" s="41" t="s">
        <v>14</v>
      </c>
      <c r="H11" s="11"/>
      <c r="I11" s="29">
        <v>27.6</v>
      </c>
      <c r="J11" s="11" t="s">
        <v>15</v>
      </c>
      <c r="K11" s="36" t="s">
        <v>16</v>
      </c>
      <c r="L11" s="11"/>
    </row>
    <row r="12" spans="2:12">
      <c r="B12" s="17" t="s">
        <v>11</v>
      </c>
      <c r="C12">
        <v>2020</v>
      </c>
      <c r="D12" s="29" t="s">
        <v>27</v>
      </c>
      <c r="E12" t="s">
        <v>13</v>
      </c>
      <c r="F12" s="11"/>
      <c r="G12" s="41" t="s">
        <v>14</v>
      </c>
      <c r="H12" s="11"/>
      <c r="I12" s="29">
        <v>11.34</v>
      </c>
      <c r="J12" s="11" t="s">
        <v>15</v>
      </c>
      <c r="K12" s="36" t="s">
        <v>16</v>
      </c>
      <c r="L12" s="11"/>
    </row>
    <row r="13" spans="2:12">
      <c r="B13" s="17" t="s">
        <v>11</v>
      </c>
      <c r="C13">
        <v>2020</v>
      </c>
      <c r="D13" s="29" t="s">
        <v>28</v>
      </c>
      <c r="E13" t="s">
        <v>17</v>
      </c>
      <c r="F13" s="11"/>
      <c r="G13" s="37" t="s">
        <v>29</v>
      </c>
      <c r="H13" s="11"/>
      <c r="I13" s="29">
        <v>690</v>
      </c>
      <c r="J13" s="11" t="s">
        <v>15</v>
      </c>
      <c r="K13" s="36" t="s">
        <v>16</v>
      </c>
      <c r="L13" s="11"/>
    </row>
    <row r="14" spans="2:12">
      <c r="B14" s="17" t="s">
        <v>11</v>
      </c>
      <c r="C14">
        <v>2020</v>
      </c>
      <c r="D14" s="29" t="s">
        <v>28</v>
      </c>
      <c r="E14" t="s">
        <v>17</v>
      </c>
      <c r="F14" s="11"/>
      <c r="G14" s="42" t="s">
        <v>20</v>
      </c>
      <c r="H14" s="11"/>
      <c r="I14" s="29">
        <v>117300</v>
      </c>
      <c r="J14" s="11" t="s">
        <v>15</v>
      </c>
      <c r="K14" s="36" t="s">
        <v>16</v>
      </c>
      <c r="L14" s="11"/>
    </row>
    <row r="15" spans="2:12">
      <c r="B15" s="17" t="s">
        <v>11</v>
      </c>
      <c r="C15">
        <v>2020</v>
      </c>
      <c r="D15" s="29" t="s">
        <v>28</v>
      </c>
      <c r="E15" t="s">
        <v>17</v>
      </c>
      <c r="F15" s="11"/>
      <c r="G15" s="37" t="s">
        <v>30</v>
      </c>
      <c r="H15" s="11"/>
      <c r="I15" s="29">
        <v>524.4</v>
      </c>
      <c r="J15" s="11" t="s">
        <v>15</v>
      </c>
      <c r="K15" s="36" t="s">
        <v>16</v>
      </c>
      <c r="L15" s="11"/>
    </row>
    <row r="16" spans="2:12">
      <c r="B16" s="17" t="s">
        <v>11</v>
      </c>
      <c r="C16">
        <v>2020</v>
      </c>
      <c r="D16" s="29" t="s">
        <v>28</v>
      </c>
      <c r="E16" t="s">
        <v>17</v>
      </c>
      <c r="F16" s="11"/>
      <c r="G16" s="37" t="s">
        <v>25</v>
      </c>
      <c r="H16" s="11"/>
      <c r="I16" s="29">
        <v>469.2</v>
      </c>
      <c r="J16" s="11" t="s">
        <v>15</v>
      </c>
      <c r="K16" s="36" t="s">
        <v>26</v>
      </c>
      <c r="L16" s="11"/>
    </row>
    <row r="17" spans="2:12">
      <c r="B17" s="17" t="s">
        <v>11</v>
      </c>
      <c r="C17">
        <v>2020</v>
      </c>
      <c r="D17" s="29" t="s">
        <v>31</v>
      </c>
      <c r="E17" t="s">
        <v>17</v>
      </c>
      <c r="F17" s="11"/>
      <c r="G17" s="41" t="s">
        <v>14</v>
      </c>
      <c r="H17" s="11"/>
      <c r="I17" s="29">
        <v>69</v>
      </c>
      <c r="J17" s="11" t="s">
        <v>15</v>
      </c>
      <c r="K17" s="36" t="s">
        <v>16</v>
      </c>
      <c r="L17" s="11"/>
    </row>
    <row r="18" spans="2:12">
      <c r="B18" s="17" t="s">
        <v>11</v>
      </c>
      <c r="C18">
        <v>2020</v>
      </c>
      <c r="D18" s="29" t="s">
        <v>31</v>
      </c>
      <c r="E18" t="s">
        <v>17</v>
      </c>
      <c r="F18" s="11"/>
      <c r="G18" s="37" t="s">
        <v>32</v>
      </c>
      <c r="H18" s="11"/>
      <c r="I18" s="29">
        <v>292822</v>
      </c>
      <c r="J18" s="11" t="s">
        <v>15</v>
      </c>
      <c r="K18" s="36" t="s">
        <v>16</v>
      </c>
      <c r="L18" s="11"/>
    </row>
    <row r="19" spans="2:12">
      <c r="B19" s="17" t="s">
        <v>11</v>
      </c>
      <c r="C19">
        <v>2020</v>
      </c>
      <c r="D19" s="29" t="s">
        <v>31</v>
      </c>
      <c r="E19" t="s">
        <v>17</v>
      </c>
      <c r="F19" s="11"/>
      <c r="G19" s="42" t="s">
        <v>20</v>
      </c>
      <c r="H19" s="11"/>
      <c r="I19" s="29">
        <v>107640</v>
      </c>
      <c r="J19" s="11" t="s">
        <v>15</v>
      </c>
      <c r="K19" s="36" t="s">
        <v>16</v>
      </c>
      <c r="L19" s="11"/>
    </row>
    <row r="20" spans="2:12">
      <c r="B20" s="17" t="s">
        <v>11</v>
      </c>
      <c r="C20">
        <v>2020</v>
      </c>
      <c r="D20" s="29" t="s">
        <v>33</v>
      </c>
      <c r="E20" t="s">
        <v>17</v>
      </c>
      <c r="F20" s="11"/>
      <c r="G20" s="42" t="s">
        <v>20</v>
      </c>
      <c r="H20" s="11"/>
      <c r="I20" s="29">
        <v>25500</v>
      </c>
      <c r="J20" s="11" t="s">
        <v>15</v>
      </c>
      <c r="K20" s="36" t="s">
        <v>16</v>
      </c>
      <c r="L20" s="11"/>
    </row>
    <row r="21" spans="2:12">
      <c r="B21" s="17" t="s">
        <v>11</v>
      </c>
      <c r="C21">
        <v>2020</v>
      </c>
      <c r="D21" s="29" t="s">
        <v>33</v>
      </c>
      <c r="E21" t="s">
        <v>17</v>
      </c>
      <c r="F21" s="11"/>
      <c r="G21" s="37" t="s">
        <v>29</v>
      </c>
      <c r="H21" s="11"/>
      <c r="I21" s="29">
        <v>13800</v>
      </c>
      <c r="J21" s="11" t="s">
        <v>15</v>
      </c>
      <c r="K21" s="36" t="s">
        <v>16</v>
      </c>
      <c r="L21" s="11"/>
    </row>
    <row r="22" spans="2:12">
      <c r="B22" s="17" t="s">
        <v>11</v>
      </c>
      <c r="C22">
        <v>2020</v>
      </c>
      <c r="D22" s="29" t="s">
        <v>33</v>
      </c>
      <c r="E22" t="s">
        <v>24</v>
      </c>
      <c r="F22" s="11"/>
      <c r="G22" s="37" t="s">
        <v>25</v>
      </c>
      <c r="H22" s="11"/>
      <c r="I22" s="29">
        <v>2400</v>
      </c>
      <c r="J22" s="11" t="s">
        <v>15</v>
      </c>
      <c r="K22" s="36" t="s">
        <v>16</v>
      </c>
      <c r="L22" s="11"/>
    </row>
    <row r="23" spans="2:12">
      <c r="B23" s="17" t="s">
        <v>11</v>
      </c>
      <c r="C23">
        <v>2020</v>
      </c>
      <c r="D23" s="29" t="s">
        <v>33</v>
      </c>
      <c r="E23" t="s">
        <v>24</v>
      </c>
      <c r="F23" s="11"/>
      <c r="G23" s="37" t="s">
        <v>25</v>
      </c>
      <c r="H23" s="11"/>
      <c r="I23" s="29">
        <v>2025</v>
      </c>
      <c r="J23" s="11" t="s">
        <v>15</v>
      </c>
      <c r="K23" s="36" t="s">
        <v>26</v>
      </c>
      <c r="L23" s="11"/>
    </row>
    <row r="24" spans="2:12">
      <c r="B24" s="17" t="s">
        <v>11</v>
      </c>
      <c r="C24">
        <v>2020</v>
      </c>
      <c r="D24" s="29" t="s">
        <v>33</v>
      </c>
      <c r="E24" t="s">
        <v>17</v>
      </c>
      <c r="F24" s="11"/>
      <c r="G24" s="41" t="s">
        <v>14</v>
      </c>
      <c r="H24" s="11"/>
      <c r="I24" s="29">
        <v>27.6</v>
      </c>
      <c r="J24" s="11" t="s">
        <v>15</v>
      </c>
      <c r="K24" s="36" t="s">
        <v>16</v>
      </c>
      <c r="L24" s="11"/>
    </row>
    <row r="25" spans="2:12">
      <c r="B25" s="17" t="s">
        <v>11</v>
      </c>
      <c r="C25">
        <v>2020</v>
      </c>
      <c r="D25" s="29" t="s">
        <v>33</v>
      </c>
      <c r="E25" t="s">
        <v>24</v>
      </c>
      <c r="F25" s="11"/>
      <c r="G25" s="41" t="s">
        <v>14</v>
      </c>
      <c r="H25" s="11"/>
      <c r="I25" s="29">
        <v>30</v>
      </c>
      <c r="J25" s="11" t="s">
        <v>15</v>
      </c>
      <c r="K25" s="36" t="s">
        <v>16</v>
      </c>
      <c r="L25" s="11"/>
    </row>
    <row r="26" spans="2:12">
      <c r="B26" s="17" t="s">
        <v>11</v>
      </c>
      <c r="C26">
        <v>2020</v>
      </c>
      <c r="D26" s="29" t="s">
        <v>33</v>
      </c>
      <c r="E26" t="s">
        <v>17</v>
      </c>
      <c r="F26" s="11"/>
      <c r="G26" s="41" t="s">
        <v>14</v>
      </c>
      <c r="H26" s="11"/>
      <c r="I26" s="29">
        <v>34.020000000000003</v>
      </c>
      <c r="J26" s="11" t="s">
        <v>15</v>
      </c>
      <c r="K26" s="36" t="s">
        <v>16</v>
      </c>
      <c r="L26" s="11"/>
    </row>
    <row r="27" spans="2:12">
      <c r="B27" s="17" t="s">
        <v>11</v>
      </c>
      <c r="C27">
        <v>2020</v>
      </c>
      <c r="D27" s="29" t="s">
        <v>34</v>
      </c>
      <c r="E27" t="s">
        <v>17</v>
      </c>
      <c r="F27" s="11"/>
      <c r="G27" s="42" t="s">
        <v>20</v>
      </c>
      <c r="H27" s="11"/>
      <c r="I27" s="29">
        <v>113850</v>
      </c>
      <c r="J27" s="11" t="s">
        <v>15</v>
      </c>
      <c r="K27" s="36" t="s">
        <v>16</v>
      </c>
      <c r="L27" s="11"/>
    </row>
    <row r="28" spans="2:12">
      <c r="B28" s="17" t="s">
        <v>11</v>
      </c>
      <c r="C28">
        <v>2020</v>
      </c>
      <c r="D28" s="29" t="s">
        <v>34</v>
      </c>
      <c r="E28" t="s">
        <v>35</v>
      </c>
      <c r="F28" s="11"/>
      <c r="G28" s="37" t="s">
        <v>32</v>
      </c>
      <c r="H28" s="11"/>
      <c r="I28" s="29">
        <v>20323.2</v>
      </c>
      <c r="J28" s="11" t="s">
        <v>15</v>
      </c>
      <c r="K28" s="36" t="s">
        <v>16</v>
      </c>
      <c r="L28" s="11"/>
    </row>
    <row r="29" spans="2:12">
      <c r="B29" s="17" t="s">
        <v>11</v>
      </c>
      <c r="C29">
        <v>2020</v>
      </c>
      <c r="D29" s="29" t="s">
        <v>34</v>
      </c>
      <c r="E29" t="s">
        <v>36</v>
      </c>
      <c r="F29" s="11"/>
      <c r="G29" s="37" t="s">
        <v>32</v>
      </c>
      <c r="H29" s="11"/>
      <c r="I29" s="29">
        <v>7756.8</v>
      </c>
      <c r="J29" s="11" t="s">
        <v>15</v>
      </c>
      <c r="K29" s="36" t="s">
        <v>16</v>
      </c>
      <c r="L29" s="11"/>
    </row>
    <row r="30" spans="2:12">
      <c r="B30" s="17" t="s">
        <v>11</v>
      </c>
      <c r="C30">
        <v>2020</v>
      </c>
      <c r="D30" s="29" t="s">
        <v>34</v>
      </c>
      <c r="E30" t="s">
        <v>13</v>
      </c>
      <c r="F30" s="11"/>
      <c r="G30" s="41" t="s">
        <v>14</v>
      </c>
      <c r="H30" s="11"/>
      <c r="I30" s="29">
        <v>45.3</v>
      </c>
      <c r="J30" s="11" t="s">
        <v>15</v>
      </c>
      <c r="K30" s="36" t="s">
        <v>16</v>
      </c>
      <c r="L30" s="11"/>
    </row>
    <row r="31" spans="2:12">
      <c r="B31" s="17" t="s">
        <v>11</v>
      </c>
      <c r="C31">
        <v>2020</v>
      </c>
      <c r="D31" s="29" t="s">
        <v>34</v>
      </c>
      <c r="E31" t="s">
        <v>24</v>
      </c>
      <c r="F31" s="11"/>
      <c r="G31" s="41" t="s">
        <v>14</v>
      </c>
      <c r="H31" s="11"/>
      <c r="I31" s="29">
        <v>45</v>
      </c>
      <c r="J31" s="11" t="s">
        <v>15</v>
      </c>
      <c r="K31" s="36" t="s">
        <v>16</v>
      </c>
      <c r="L31" s="11"/>
    </row>
    <row r="32" spans="2:12">
      <c r="B32" s="17" t="s">
        <v>11</v>
      </c>
      <c r="C32">
        <v>2020</v>
      </c>
      <c r="D32" s="29" t="s">
        <v>34</v>
      </c>
      <c r="E32" t="s">
        <v>17</v>
      </c>
      <c r="F32" s="11"/>
      <c r="G32" s="41" t="s">
        <v>14</v>
      </c>
      <c r="H32" s="11"/>
      <c r="I32" s="29">
        <v>13.8</v>
      </c>
      <c r="J32" s="11" t="s">
        <v>15</v>
      </c>
      <c r="K32" s="36" t="s">
        <v>16</v>
      </c>
      <c r="L32" s="11"/>
    </row>
    <row r="33" spans="2:12">
      <c r="B33" s="17" t="s">
        <v>11</v>
      </c>
      <c r="C33">
        <v>2020</v>
      </c>
      <c r="D33" s="29" t="s">
        <v>34</v>
      </c>
      <c r="E33" t="s">
        <v>37</v>
      </c>
      <c r="F33" s="11"/>
      <c r="G33" s="37" t="s">
        <v>32</v>
      </c>
      <c r="H33" s="11"/>
      <c r="I33" s="29">
        <v>547</v>
      </c>
      <c r="J33" s="11" t="s">
        <v>15</v>
      </c>
      <c r="K33" s="36" t="s">
        <v>16</v>
      </c>
      <c r="L33" s="11"/>
    </row>
    <row r="34" spans="2:12">
      <c r="B34" s="17" t="s">
        <v>11</v>
      </c>
      <c r="C34">
        <v>2020</v>
      </c>
      <c r="D34" s="29" t="s">
        <v>38</v>
      </c>
      <c r="E34" t="s">
        <v>17</v>
      </c>
      <c r="F34" s="11"/>
      <c r="G34" s="41" t="s">
        <v>14</v>
      </c>
      <c r="H34" s="11"/>
      <c r="I34" s="29">
        <v>41.4</v>
      </c>
      <c r="J34" s="11" t="s">
        <v>15</v>
      </c>
      <c r="K34" s="36" t="s">
        <v>16</v>
      </c>
      <c r="L34" s="11"/>
    </row>
    <row r="35" spans="2:12">
      <c r="B35" s="17" t="s">
        <v>11</v>
      </c>
      <c r="C35">
        <v>2020</v>
      </c>
      <c r="D35" s="29" t="s">
        <v>38</v>
      </c>
      <c r="E35" t="s">
        <v>24</v>
      </c>
      <c r="F35" s="11"/>
      <c r="G35" s="41" t="s">
        <v>14</v>
      </c>
      <c r="H35" s="11"/>
      <c r="I35" s="29">
        <v>15</v>
      </c>
      <c r="J35" s="11" t="s">
        <v>15</v>
      </c>
      <c r="K35" s="36" t="s">
        <v>16</v>
      </c>
      <c r="L35" s="11"/>
    </row>
    <row r="36" spans="2:12">
      <c r="B36" s="17" t="s">
        <v>11</v>
      </c>
      <c r="C36">
        <v>2020</v>
      </c>
      <c r="D36" s="29" t="s">
        <v>38</v>
      </c>
      <c r="E36" t="s">
        <v>13</v>
      </c>
      <c r="F36" s="11"/>
      <c r="G36" s="41" t="s">
        <v>14</v>
      </c>
      <c r="H36" s="11"/>
      <c r="I36" s="29">
        <v>56.7</v>
      </c>
      <c r="J36" s="11" t="s">
        <v>15</v>
      </c>
      <c r="K36" s="36" t="s">
        <v>16</v>
      </c>
      <c r="L36" s="11"/>
    </row>
    <row r="37" spans="2:12">
      <c r="B37" s="17" t="s">
        <v>11</v>
      </c>
      <c r="C37">
        <v>2020</v>
      </c>
      <c r="D37" s="29" t="s">
        <v>38</v>
      </c>
      <c r="E37" t="s">
        <v>39</v>
      </c>
      <c r="F37" s="11"/>
      <c r="G37" s="41" t="s">
        <v>14</v>
      </c>
      <c r="H37" s="11"/>
      <c r="I37" s="29">
        <v>22.68</v>
      </c>
      <c r="J37" s="11" t="s">
        <v>15</v>
      </c>
      <c r="K37" s="36" t="s">
        <v>16</v>
      </c>
      <c r="L37" s="11"/>
    </row>
    <row r="38" spans="2:12">
      <c r="B38" s="17" t="s">
        <v>11</v>
      </c>
      <c r="C38">
        <v>2020</v>
      </c>
      <c r="D38" s="29" t="s">
        <v>38</v>
      </c>
      <c r="E38" t="s">
        <v>17</v>
      </c>
      <c r="F38" s="11"/>
      <c r="G38" s="40" t="s">
        <v>40</v>
      </c>
      <c r="H38" s="11"/>
      <c r="I38" s="29">
        <v>1104</v>
      </c>
      <c r="J38" s="11" t="s">
        <v>15</v>
      </c>
      <c r="K38" s="36" t="s">
        <v>16</v>
      </c>
      <c r="L38" s="11"/>
    </row>
    <row r="39" spans="2:12">
      <c r="B39" s="17" t="s">
        <v>11</v>
      </c>
      <c r="C39">
        <v>2020</v>
      </c>
      <c r="D39" s="29" t="s">
        <v>38</v>
      </c>
      <c r="E39" t="s">
        <v>17</v>
      </c>
      <c r="F39" s="11"/>
      <c r="G39" s="42" t="s">
        <v>20</v>
      </c>
      <c r="H39" s="11"/>
      <c r="I39" s="29">
        <v>71760</v>
      </c>
      <c r="J39" s="11" t="s">
        <v>15</v>
      </c>
      <c r="K39" s="36" t="s">
        <v>16</v>
      </c>
      <c r="L39" s="11"/>
    </row>
    <row r="40" spans="2:12">
      <c r="B40" s="17" t="s">
        <v>11</v>
      </c>
      <c r="C40">
        <v>2020</v>
      </c>
      <c r="D40" s="29" t="s">
        <v>38</v>
      </c>
      <c r="E40" t="s">
        <v>24</v>
      </c>
      <c r="F40" s="11"/>
      <c r="G40" s="37" t="s">
        <v>41</v>
      </c>
      <c r="H40" s="11"/>
      <c r="I40" s="29">
        <v>900</v>
      </c>
      <c r="J40" s="11" t="s">
        <v>15</v>
      </c>
      <c r="K40" s="36" t="s">
        <v>16</v>
      </c>
      <c r="L40" s="11"/>
    </row>
    <row r="41" spans="2:12">
      <c r="B41" s="17" t="s">
        <v>11</v>
      </c>
      <c r="C41">
        <v>2020</v>
      </c>
      <c r="D41" s="29" t="s">
        <v>38</v>
      </c>
      <c r="E41" t="s">
        <v>13</v>
      </c>
      <c r="F41" s="11"/>
      <c r="G41" s="37" t="s">
        <v>41</v>
      </c>
      <c r="H41" s="11"/>
      <c r="I41" s="29">
        <v>113.4</v>
      </c>
      <c r="J41" s="11" t="s">
        <v>15</v>
      </c>
      <c r="K41" s="36" t="s">
        <v>16</v>
      </c>
      <c r="L41" s="11"/>
    </row>
    <row r="42" spans="2:12">
      <c r="B42" s="17" t="s">
        <v>11</v>
      </c>
      <c r="C42">
        <v>2020</v>
      </c>
      <c r="D42" s="29" t="s">
        <v>38</v>
      </c>
      <c r="E42" t="s">
        <v>39</v>
      </c>
      <c r="F42" s="11"/>
      <c r="G42" s="37" t="s">
        <v>41</v>
      </c>
      <c r="H42" s="11"/>
      <c r="I42" s="29">
        <v>68.040000000000006</v>
      </c>
      <c r="J42" s="11" t="s">
        <v>15</v>
      </c>
      <c r="K42" s="36" t="s">
        <v>16</v>
      </c>
      <c r="L42" s="11"/>
    </row>
    <row r="43" spans="2:12">
      <c r="B43" s="17" t="s">
        <v>11</v>
      </c>
      <c r="C43">
        <v>2020</v>
      </c>
      <c r="D43" s="29" t="s">
        <v>38</v>
      </c>
      <c r="E43" t="s">
        <v>17</v>
      </c>
      <c r="F43" s="11"/>
      <c r="G43" s="37" t="s">
        <v>42</v>
      </c>
      <c r="H43" s="11"/>
      <c r="I43" s="29">
        <v>828</v>
      </c>
      <c r="J43" s="11" t="s">
        <v>15</v>
      </c>
      <c r="K43" s="36" t="s">
        <v>16</v>
      </c>
      <c r="L43" s="11"/>
    </row>
    <row r="44" spans="2:12">
      <c r="B44" s="17" t="s">
        <v>11</v>
      </c>
      <c r="C44">
        <v>2020</v>
      </c>
      <c r="D44" s="29" t="s">
        <v>43</v>
      </c>
      <c r="E44" t="s">
        <v>17</v>
      </c>
      <c r="F44" s="11"/>
      <c r="G44" s="42" t="s">
        <v>20</v>
      </c>
      <c r="H44" s="11"/>
      <c r="I44" s="29">
        <v>179400</v>
      </c>
      <c r="J44" s="11" t="s">
        <v>15</v>
      </c>
      <c r="K44" s="36" t="s">
        <v>16</v>
      </c>
      <c r="L44" s="11"/>
    </row>
    <row r="45" spans="2:12">
      <c r="B45" s="17" t="s">
        <v>11</v>
      </c>
      <c r="C45">
        <v>2020</v>
      </c>
      <c r="D45" s="29" t="s">
        <v>43</v>
      </c>
      <c r="E45" t="s">
        <v>17</v>
      </c>
      <c r="F45" s="11"/>
      <c r="G45" s="37" t="s">
        <v>44</v>
      </c>
      <c r="H45" s="11"/>
      <c r="I45" s="29">
        <v>10088</v>
      </c>
      <c r="J45" s="11" t="s">
        <v>15</v>
      </c>
      <c r="K45" s="36" t="s">
        <v>16</v>
      </c>
      <c r="L45" s="11"/>
    </row>
    <row r="46" spans="2:12">
      <c r="B46" s="17" t="s">
        <v>11</v>
      </c>
      <c r="C46">
        <v>2020</v>
      </c>
      <c r="D46" s="29" t="s">
        <v>43</v>
      </c>
      <c r="E46" t="s">
        <v>17</v>
      </c>
      <c r="F46" s="11"/>
      <c r="G46" s="41" t="s">
        <v>14</v>
      </c>
      <c r="H46" s="11"/>
      <c r="I46" s="29">
        <v>28</v>
      </c>
      <c r="J46" s="11" t="s">
        <v>15</v>
      </c>
      <c r="K46" s="36" t="s">
        <v>16</v>
      </c>
      <c r="L46" s="11"/>
    </row>
    <row r="47" spans="2:12">
      <c r="B47" s="17" t="s">
        <v>11</v>
      </c>
      <c r="C47">
        <v>2020</v>
      </c>
      <c r="D47" s="29" t="s">
        <v>43</v>
      </c>
      <c r="E47" t="s">
        <v>24</v>
      </c>
      <c r="F47" s="11"/>
      <c r="G47" s="41" t="s">
        <v>14</v>
      </c>
      <c r="H47" s="11"/>
      <c r="I47" s="29">
        <v>45</v>
      </c>
      <c r="J47" s="11" t="s">
        <v>15</v>
      </c>
      <c r="K47" s="36" t="s">
        <v>16</v>
      </c>
      <c r="L47" s="11"/>
    </row>
    <row r="48" spans="2:12">
      <c r="B48" s="17" t="s">
        <v>11</v>
      </c>
      <c r="C48">
        <v>2020</v>
      </c>
      <c r="D48" s="29" t="s">
        <v>43</v>
      </c>
      <c r="E48" t="s">
        <v>13</v>
      </c>
      <c r="F48" s="11"/>
      <c r="G48" s="41" t="s">
        <v>14</v>
      </c>
      <c r="H48" s="11"/>
      <c r="I48" s="29">
        <v>23</v>
      </c>
      <c r="J48" s="11" t="s">
        <v>15</v>
      </c>
      <c r="K48" s="36" t="s">
        <v>16</v>
      </c>
      <c r="L48" s="11"/>
    </row>
    <row r="49" spans="2:12">
      <c r="B49" s="17" t="s">
        <v>11</v>
      </c>
      <c r="C49">
        <v>2020</v>
      </c>
      <c r="D49" s="29" t="s">
        <v>45</v>
      </c>
      <c r="E49" t="s">
        <v>17</v>
      </c>
      <c r="F49" s="11"/>
      <c r="G49" s="42" t="s">
        <v>20</v>
      </c>
      <c r="H49" s="11"/>
      <c r="I49" s="29">
        <v>71760</v>
      </c>
      <c r="J49" s="11" t="s">
        <v>15</v>
      </c>
      <c r="K49" s="36" t="s">
        <v>16</v>
      </c>
      <c r="L49" s="11"/>
    </row>
    <row r="50" spans="2:12">
      <c r="B50" s="17" t="s">
        <v>11</v>
      </c>
      <c r="C50">
        <v>2020</v>
      </c>
      <c r="D50" s="29" t="s">
        <v>45</v>
      </c>
      <c r="E50" t="s">
        <v>17</v>
      </c>
      <c r="F50" s="11"/>
      <c r="G50" s="37" t="s">
        <v>42</v>
      </c>
      <c r="H50" s="11"/>
      <c r="I50" s="29">
        <v>483</v>
      </c>
      <c r="J50" s="11" t="s">
        <v>15</v>
      </c>
      <c r="K50" s="36" t="s">
        <v>16</v>
      </c>
      <c r="L50" s="11"/>
    </row>
    <row r="51" spans="2:12">
      <c r="B51" s="17" t="s">
        <v>11</v>
      </c>
      <c r="C51">
        <v>2020</v>
      </c>
      <c r="D51" s="29" t="s">
        <v>45</v>
      </c>
      <c r="E51" t="s">
        <v>36</v>
      </c>
      <c r="F51" s="11"/>
      <c r="G51" s="37" t="s">
        <v>42</v>
      </c>
      <c r="H51" s="11"/>
      <c r="I51" s="29">
        <v>144</v>
      </c>
      <c r="J51" s="11" t="s">
        <v>15</v>
      </c>
      <c r="K51" s="36" t="s">
        <v>16</v>
      </c>
      <c r="L51" s="11"/>
    </row>
    <row r="52" spans="2:12">
      <c r="B52" s="17" t="s">
        <v>11</v>
      </c>
      <c r="C52">
        <v>2020</v>
      </c>
      <c r="D52" s="29" t="s">
        <v>45</v>
      </c>
      <c r="E52" t="s">
        <v>35</v>
      </c>
      <c r="F52" s="11"/>
      <c r="G52" s="37" t="s">
        <v>42</v>
      </c>
      <c r="H52" s="11"/>
      <c r="I52" s="29">
        <v>144</v>
      </c>
      <c r="J52" s="11" t="s">
        <v>15</v>
      </c>
      <c r="K52" s="36" t="s">
        <v>16</v>
      </c>
      <c r="L52" s="11"/>
    </row>
    <row r="53" spans="2:12">
      <c r="B53" s="17" t="s">
        <v>11</v>
      </c>
      <c r="C53">
        <v>2020</v>
      </c>
      <c r="D53" s="29" t="s">
        <v>45</v>
      </c>
      <c r="E53" t="s">
        <v>17</v>
      </c>
      <c r="F53" s="11"/>
      <c r="G53" s="37" t="s">
        <v>30</v>
      </c>
      <c r="H53" s="11"/>
      <c r="I53" s="29">
        <v>676.2</v>
      </c>
      <c r="J53" s="11" t="s">
        <v>15</v>
      </c>
      <c r="K53" s="36" t="s">
        <v>16</v>
      </c>
      <c r="L53" s="11"/>
    </row>
    <row r="54" spans="2:12">
      <c r="B54" s="17" t="s">
        <v>11</v>
      </c>
      <c r="C54">
        <v>2020</v>
      </c>
      <c r="D54" s="29" t="s">
        <v>45</v>
      </c>
      <c r="E54" t="s">
        <v>24</v>
      </c>
      <c r="F54" s="11"/>
      <c r="G54" s="43" t="s">
        <v>46</v>
      </c>
      <c r="H54" s="11"/>
      <c r="I54" s="29">
        <v>215220</v>
      </c>
      <c r="J54" s="11" t="s">
        <v>15</v>
      </c>
      <c r="K54" s="36" t="s">
        <v>16</v>
      </c>
      <c r="L54" s="11"/>
    </row>
    <row r="55" spans="2:12">
      <c r="B55" s="17" t="s">
        <v>11</v>
      </c>
      <c r="C55">
        <v>2020</v>
      </c>
      <c r="D55" s="29" t="s">
        <v>45</v>
      </c>
      <c r="E55" t="s">
        <v>17</v>
      </c>
      <c r="F55" s="11"/>
      <c r="G55" s="41" t="s">
        <v>14</v>
      </c>
      <c r="H55" s="11"/>
      <c r="I55" s="29">
        <v>55.2</v>
      </c>
      <c r="J55" s="11" t="s">
        <v>15</v>
      </c>
      <c r="K55" s="36" t="s">
        <v>16</v>
      </c>
      <c r="L55" s="11"/>
    </row>
    <row r="56" spans="2:12">
      <c r="B56" s="17" t="s">
        <v>11</v>
      </c>
      <c r="C56">
        <v>2020</v>
      </c>
      <c r="D56" s="29" t="s">
        <v>45</v>
      </c>
      <c r="E56" t="s">
        <v>17</v>
      </c>
      <c r="F56" s="11"/>
      <c r="G56" s="41" t="s">
        <v>14</v>
      </c>
      <c r="H56" s="11"/>
      <c r="I56" s="29">
        <v>15</v>
      </c>
      <c r="J56" s="11" t="s">
        <v>15</v>
      </c>
      <c r="K56" s="36" t="s">
        <v>16</v>
      </c>
      <c r="L56" s="11"/>
    </row>
    <row r="57" spans="2:12">
      <c r="B57" s="17" t="s">
        <v>11</v>
      </c>
      <c r="C57">
        <v>2020</v>
      </c>
      <c r="D57" s="29" t="s">
        <v>47</v>
      </c>
      <c r="E57" t="s">
        <v>17</v>
      </c>
      <c r="F57" s="11"/>
      <c r="G57" s="42" t="s">
        <v>20</v>
      </c>
      <c r="H57" s="11"/>
      <c r="I57" s="29">
        <v>179400</v>
      </c>
      <c r="J57" s="11" t="s">
        <v>15</v>
      </c>
      <c r="K57" s="36" t="s">
        <v>16</v>
      </c>
      <c r="L57" s="11"/>
    </row>
    <row r="58" spans="2:12">
      <c r="B58" s="17" t="s">
        <v>11</v>
      </c>
      <c r="C58">
        <v>2020</v>
      </c>
      <c r="D58" s="29" t="s">
        <v>47</v>
      </c>
      <c r="E58" t="s">
        <v>17</v>
      </c>
      <c r="F58" s="11"/>
      <c r="G58" s="37" t="s">
        <v>42</v>
      </c>
      <c r="H58" s="11"/>
      <c r="I58" s="29">
        <v>414</v>
      </c>
      <c r="J58" s="11" t="s">
        <v>15</v>
      </c>
      <c r="K58" s="36" t="s">
        <v>16</v>
      </c>
      <c r="L58" s="11"/>
    </row>
    <row r="59" spans="2:12">
      <c r="B59" s="17" t="s">
        <v>11</v>
      </c>
      <c r="C59">
        <v>2020</v>
      </c>
      <c r="D59" s="29" t="s">
        <v>47</v>
      </c>
      <c r="E59" t="s">
        <v>39</v>
      </c>
      <c r="F59" s="11"/>
      <c r="G59" s="42" t="s">
        <v>48</v>
      </c>
      <c r="H59" s="11"/>
      <c r="I59" s="29">
        <v>11.34</v>
      </c>
      <c r="J59" s="11" t="s">
        <v>15</v>
      </c>
      <c r="K59" s="36" t="s">
        <v>16</v>
      </c>
      <c r="L59" s="11"/>
    </row>
    <row r="60" spans="2:12">
      <c r="B60" s="17" t="s">
        <v>11</v>
      </c>
      <c r="C60">
        <v>2020</v>
      </c>
      <c r="D60" s="29" t="s">
        <v>47</v>
      </c>
      <c r="E60" t="s">
        <v>17</v>
      </c>
      <c r="F60" s="11"/>
      <c r="G60" s="41" t="s">
        <v>14</v>
      </c>
      <c r="H60" s="11"/>
      <c r="I60" s="29">
        <v>56.7</v>
      </c>
      <c r="J60" s="11" t="s">
        <v>15</v>
      </c>
      <c r="K60" s="36" t="s">
        <v>16</v>
      </c>
      <c r="L60" s="11"/>
    </row>
    <row r="61" spans="2:12">
      <c r="B61" s="17" t="s">
        <v>11</v>
      </c>
      <c r="C61">
        <v>2020</v>
      </c>
      <c r="D61" s="29" t="s">
        <v>47</v>
      </c>
      <c r="E61" t="s">
        <v>24</v>
      </c>
      <c r="F61" s="11"/>
      <c r="G61" s="41" t="s">
        <v>14</v>
      </c>
      <c r="H61" s="11"/>
      <c r="I61" s="29">
        <v>15</v>
      </c>
      <c r="J61" s="11" t="s">
        <v>15</v>
      </c>
      <c r="K61" s="36" t="s">
        <v>16</v>
      </c>
      <c r="L61" s="11"/>
    </row>
    <row r="62" spans="2:12">
      <c r="B62" s="17" t="s">
        <v>11</v>
      </c>
      <c r="C62">
        <v>2020</v>
      </c>
      <c r="D62" s="29" t="s">
        <v>47</v>
      </c>
      <c r="E62" t="s">
        <v>13</v>
      </c>
      <c r="F62" s="11"/>
      <c r="G62" s="41" t="s">
        <v>14</v>
      </c>
      <c r="H62" s="11"/>
      <c r="I62" s="29">
        <v>11.34</v>
      </c>
      <c r="J62" s="11" t="s">
        <v>15</v>
      </c>
      <c r="K62" s="36" t="s">
        <v>16</v>
      </c>
      <c r="L62" s="11"/>
    </row>
    <row r="63" spans="2:12">
      <c r="B63" s="17" t="s">
        <v>11</v>
      </c>
      <c r="C63">
        <v>2020</v>
      </c>
      <c r="D63" s="29" t="s">
        <v>47</v>
      </c>
      <c r="E63" t="s">
        <v>17</v>
      </c>
      <c r="F63" s="11"/>
      <c r="G63" s="37" t="s">
        <v>32</v>
      </c>
      <c r="H63" s="11"/>
      <c r="I63" s="29">
        <v>125359.2</v>
      </c>
      <c r="J63" s="11" t="s">
        <v>15</v>
      </c>
      <c r="K63" s="36" t="s">
        <v>16</v>
      </c>
      <c r="L63" s="11"/>
    </row>
    <row r="64" spans="2:12">
      <c r="B64" s="17" t="s">
        <v>11</v>
      </c>
      <c r="C64">
        <v>2020</v>
      </c>
      <c r="D64" s="36" t="s">
        <v>49</v>
      </c>
      <c r="E64" t="s">
        <v>17</v>
      </c>
      <c r="F64" s="11"/>
      <c r="G64" s="42" t="s">
        <v>20</v>
      </c>
      <c r="H64" s="11"/>
      <c r="I64" s="29">
        <v>116361.60000000001</v>
      </c>
      <c r="J64" s="11" t="s">
        <v>15</v>
      </c>
      <c r="K64" s="38" t="s">
        <v>16</v>
      </c>
      <c r="L64" s="11"/>
    </row>
    <row r="65" spans="2:12">
      <c r="B65" s="17" t="s">
        <v>11</v>
      </c>
      <c r="C65">
        <v>2020</v>
      </c>
      <c r="D65" s="36" t="s">
        <v>49</v>
      </c>
      <c r="E65" t="s">
        <v>17</v>
      </c>
      <c r="F65" s="11"/>
      <c r="G65" s="37" t="s">
        <v>25</v>
      </c>
      <c r="H65" s="11"/>
      <c r="I65" s="29">
        <v>1380</v>
      </c>
      <c r="J65" s="11" t="s">
        <v>15</v>
      </c>
      <c r="K65" s="38" t="s">
        <v>16</v>
      </c>
      <c r="L65" s="11"/>
    </row>
    <row r="66" spans="2:12">
      <c r="B66" s="17" t="s">
        <v>11</v>
      </c>
      <c r="C66">
        <v>2020</v>
      </c>
      <c r="D66" s="36" t="s">
        <v>49</v>
      </c>
      <c r="E66" t="s">
        <v>24</v>
      </c>
      <c r="F66" s="11"/>
      <c r="G66" s="37" t="s">
        <v>25</v>
      </c>
      <c r="H66" s="11"/>
      <c r="I66" s="29">
        <v>3150</v>
      </c>
      <c r="J66" s="11" t="s">
        <v>15</v>
      </c>
      <c r="K66" s="38" t="s">
        <v>16</v>
      </c>
      <c r="L66" s="11"/>
    </row>
    <row r="67" spans="2:12">
      <c r="B67" s="17" t="s">
        <v>11</v>
      </c>
      <c r="C67">
        <v>2020</v>
      </c>
      <c r="D67" s="36" t="s">
        <v>49</v>
      </c>
      <c r="E67" t="s">
        <v>17</v>
      </c>
      <c r="F67" s="11"/>
      <c r="G67" s="37" t="s">
        <v>50</v>
      </c>
      <c r="H67" s="11"/>
      <c r="I67" s="29">
        <v>69</v>
      </c>
      <c r="J67" s="11" t="s">
        <v>15</v>
      </c>
      <c r="K67" s="38" t="s">
        <v>16</v>
      </c>
      <c r="L67" s="11"/>
    </row>
    <row r="68" spans="2:12">
      <c r="B68" s="17" t="s">
        <v>11</v>
      </c>
      <c r="C68">
        <v>2020</v>
      </c>
      <c r="D68" s="36" t="s">
        <v>49</v>
      </c>
      <c r="E68" t="s">
        <v>17</v>
      </c>
      <c r="F68" s="11"/>
      <c r="G68" s="41" t="s">
        <v>14</v>
      </c>
      <c r="H68" s="11"/>
      <c r="I68" s="29">
        <v>55.2</v>
      </c>
      <c r="J68" s="11" t="s">
        <v>15</v>
      </c>
      <c r="K68" s="38" t="s">
        <v>16</v>
      </c>
      <c r="L68" s="11"/>
    </row>
    <row r="69" spans="2:12">
      <c r="B69" s="17" t="s">
        <v>11</v>
      </c>
      <c r="C69">
        <v>2020</v>
      </c>
      <c r="D69" s="36" t="s">
        <v>49</v>
      </c>
      <c r="E69" t="s">
        <v>13</v>
      </c>
      <c r="F69" s="11"/>
      <c r="G69" s="41" t="s">
        <v>14</v>
      </c>
      <c r="H69" s="11"/>
      <c r="I69" s="29">
        <v>22.68</v>
      </c>
      <c r="J69" s="11" t="s">
        <v>15</v>
      </c>
      <c r="K69" s="38" t="s">
        <v>16</v>
      </c>
      <c r="L69" s="11"/>
    </row>
    <row r="70" spans="2:12">
      <c r="B70" s="17" t="s">
        <v>11</v>
      </c>
      <c r="C70">
        <v>2021</v>
      </c>
      <c r="D70" s="26" t="s">
        <v>12</v>
      </c>
      <c r="E70" t="s">
        <v>13</v>
      </c>
      <c r="F70" s="11"/>
      <c r="G70" s="41" t="s">
        <v>14</v>
      </c>
      <c r="H70" s="11"/>
      <c r="I70" s="29">
        <v>34.020000000000003</v>
      </c>
      <c r="J70" s="11" t="s">
        <v>15</v>
      </c>
      <c r="K70" s="36" t="s">
        <v>16</v>
      </c>
      <c r="L70" s="11"/>
    </row>
    <row r="71" spans="2:12">
      <c r="B71" s="17" t="s">
        <v>11</v>
      </c>
      <c r="C71">
        <v>2021</v>
      </c>
      <c r="D71" s="26" t="s">
        <v>12</v>
      </c>
      <c r="E71" t="s">
        <v>13</v>
      </c>
      <c r="F71" s="11"/>
      <c r="G71" t="s">
        <v>51</v>
      </c>
      <c r="H71" s="11"/>
      <c r="I71" s="29">
        <v>79.38</v>
      </c>
      <c r="J71" s="11" t="s">
        <v>15</v>
      </c>
      <c r="K71" s="36" t="s">
        <v>16</v>
      </c>
      <c r="L71" s="11"/>
    </row>
    <row r="72" spans="2:12">
      <c r="B72" s="17" t="s">
        <v>11</v>
      </c>
      <c r="C72">
        <v>2021</v>
      </c>
      <c r="D72" s="26" t="s">
        <v>12</v>
      </c>
      <c r="E72" t="s">
        <v>24</v>
      </c>
      <c r="F72" s="11"/>
      <c r="G72" t="s">
        <v>51</v>
      </c>
      <c r="H72" s="11"/>
      <c r="I72" s="29">
        <v>105</v>
      </c>
      <c r="J72" s="11" t="s">
        <v>15</v>
      </c>
      <c r="K72" s="36" t="s">
        <v>16</v>
      </c>
      <c r="L72" s="11"/>
    </row>
    <row r="73" spans="2:12">
      <c r="B73" s="17" t="s">
        <v>11</v>
      </c>
      <c r="C73">
        <v>2021</v>
      </c>
      <c r="D73" s="26" t="s">
        <v>12</v>
      </c>
      <c r="E73" t="s">
        <v>24</v>
      </c>
      <c r="F73" s="11"/>
      <c r="G73" s="41" t="s">
        <v>14</v>
      </c>
      <c r="H73" s="11"/>
      <c r="I73" s="29">
        <v>15</v>
      </c>
      <c r="J73" s="11" t="s">
        <v>15</v>
      </c>
      <c r="K73" s="36" t="s">
        <v>16</v>
      </c>
      <c r="L73" s="11"/>
    </row>
    <row r="74" spans="2:12">
      <c r="B74" s="17" t="s">
        <v>11</v>
      </c>
      <c r="C74">
        <v>2021</v>
      </c>
      <c r="D74" s="26" t="s">
        <v>21</v>
      </c>
      <c r="E74" t="s">
        <v>17</v>
      </c>
      <c r="F74" s="11"/>
      <c r="G74" t="s">
        <v>29</v>
      </c>
      <c r="H74" s="11"/>
      <c r="I74" s="29">
        <v>20700</v>
      </c>
      <c r="J74" s="11" t="s">
        <v>15</v>
      </c>
      <c r="K74" s="36" t="s">
        <v>23</v>
      </c>
      <c r="L74" s="11"/>
    </row>
    <row r="75" spans="2:12">
      <c r="B75" s="17" t="s">
        <v>11</v>
      </c>
      <c r="C75">
        <v>2021</v>
      </c>
      <c r="D75" s="26" t="s">
        <v>21</v>
      </c>
      <c r="E75" t="s">
        <v>24</v>
      </c>
      <c r="F75" s="11"/>
      <c r="G75" s="43" t="s">
        <v>46</v>
      </c>
      <c r="H75" s="11"/>
      <c r="I75" s="29">
        <v>312495</v>
      </c>
      <c r="J75" s="11" t="s">
        <v>15</v>
      </c>
      <c r="K75" s="36" t="s">
        <v>16</v>
      </c>
      <c r="L75" s="11"/>
    </row>
    <row r="76" spans="2:12">
      <c r="B76" s="17" t="s">
        <v>11</v>
      </c>
      <c r="C76">
        <v>2021</v>
      </c>
      <c r="D76" s="26" t="s">
        <v>21</v>
      </c>
      <c r="E76" t="s">
        <v>17</v>
      </c>
      <c r="F76" s="11"/>
      <c r="G76" s="42" t="s">
        <v>20</v>
      </c>
      <c r="H76" s="11"/>
      <c r="I76" s="29">
        <v>48010</v>
      </c>
      <c r="J76" s="11" t="s">
        <v>15</v>
      </c>
      <c r="K76" s="36" t="s">
        <v>16</v>
      </c>
      <c r="L76" s="11"/>
    </row>
    <row r="77" spans="2:12">
      <c r="B77" s="17" t="s">
        <v>11</v>
      </c>
      <c r="C77">
        <v>2021</v>
      </c>
      <c r="D77" s="26" t="s">
        <v>21</v>
      </c>
      <c r="E77" t="s">
        <v>13</v>
      </c>
      <c r="F77" s="11"/>
      <c r="G77" s="41" t="s">
        <v>14</v>
      </c>
      <c r="H77" s="11"/>
      <c r="I77" s="29">
        <v>22.68</v>
      </c>
      <c r="J77" s="11" t="s">
        <v>15</v>
      </c>
      <c r="K77" s="36" t="s">
        <v>16</v>
      </c>
      <c r="L77" s="11"/>
    </row>
    <row r="78" spans="2:12">
      <c r="B78" s="17" t="s">
        <v>11</v>
      </c>
      <c r="C78">
        <v>2021</v>
      </c>
      <c r="D78" s="26" t="s">
        <v>21</v>
      </c>
      <c r="E78" t="s">
        <v>17</v>
      </c>
      <c r="F78" s="11"/>
      <c r="G78" s="41" t="s">
        <v>14</v>
      </c>
      <c r="H78" s="11"/>
      <c r="I78" s="29">
        <v>13.8</v>
      </c>
      <c r="J78" s="11" t="s">
        <v>15</v>
      </c>
      <c r="K78" s="36" t="s">
        <v>16</v>
      </c>
      <c r="L78" s="11"/>
    </row>
    <row r="79" spans="2:12">
      <c r="B79" s="17" t="s">
        <v>11</v>
      </c>
      <c r="C79">
        <v>2021</v>
      </c>
      <c r="D79" s="26" t="s">
        <v>21</v>
      </c>
      <c r="E79" t="s">
        <v>17</v>
      </c>
      <c r="F79" s="11"/>
      <c r="G79" s="31" t="s">
        <v>52</v>
      </c>
      <c r="H79" s="11"/>
      <c r="I79" s="29">
        <v>276000</v>
      </c>
      <c r="J79" s="11" t="s">
        <v>15</v>
      </c>
      <c r="K79" s="36" t="s">
        <v>23</v>
      </c>
      <c r="L79" s="11"/>
    </row>
    <row r="80" spans="2:12">
      <c r="B80" s="17" t="s">
        <v>11</v>
      </c>
      <c r="C80">
        <v>2021</v>
      </c>
      <c r="D80" s="26" t="s">
        <v>21</v>
      </c>
      <c r="E80" t="s">
        <v>39</v>
      </c>
      <c r="F80" s="11"/>
      <c r="G80" s="42" t="s">
        <v>48</v>
      </c>
      <c r="H80" s="11"/>
      <c r="I80" s="29">
        <v>22.68</v>
      </c>
      <c r="J80" s="11" t="s">
        <v>15</v>
      </c>
      <c r="K80" s="36" t="s">
        <v>16</v>
      </c>
      <c r="L80" s="11"/>
    </row>
    <row r="81" spans="2:12">
      <c r="B81" s="17" t="s">
        <v>11</v>
      </c>
      <c r="C81" s="28">
        <v>2021</v>
      </c>
      <c r="D81" s="27" t="s">
        <v>27</v>
      </c>
      <c r="E81" t="s">
        <v>17</v>
      </c>
      <c r="F81" s="11"/>
      <c r="G81" t="s">
        <v>42</v>
      </c>
      <c r="H81" s="11"/>
      <c r="I81" s="30">
        <v>110.4</v>
      </c>
      <c r="J81" s="11" t="s">
        <v>15</v>
      </c>
      <c r="K81" s="36" t="s">
        <v>16</v>
      </c>
      <c r="L81" s="11"/>
    </row>
    <row r="82" spans="2:12">
      <c r="B82" s="17" t="s">
        <v>11</v>
      </c>
      <c r="C82" s="28">
        <v>2021</v>
      </c>
      <c r="D82" s="27" t="s">
        <v>27</v>
      </c>
      <c r="E82" t="s">
        <v>17</v>
      </c>
      <c r="F82" s="11"/>
      <c r="G82" s="41" t="s">
        <v>14</v>
      </c>
      <c r="H82" s="11"/>
      <c r="I82" s="30">
        <v>41.4</v>
      </c>
      <c r="J82" s="11" t="s">
        <v>15</v>
      </c>
      <c r="K82" s="36" t="s">
        <v>16</v>
      </c>
      <c r="L82" s="11"/>
    </row>
    <row r="83" spans="2:12">
      <c r="B83" s="17" t="s">
        <v>11</v>
      </c>
      <c r="C83" s="28">
        <v>2021</v>
      </c>
      <c r="D83" s="27" t="s">
        <v>27</v>
      </c>
      <c r="E83" t="s">
        <v>24</v>
      </c>
      <c r="F83" s="11"/>
      <c r="G83" s="41" t="s">
        <v>14</v>
      </c>
      <c r="H83" s="11"/>
      <c r="I83" s="30">
        <v>15</v>
      </c>
      <c r="J83" s="11" t="s">
        <v>15</v>
      </c>
      <c r="K83" s="36" t="s">
        <v>16</v>
      </c>
      <c r="L83" s="11"/>
    </row>
    <row r="84" spans="2:12">
      <c r="B84" s="17" t="s">
        <v>11</v>
      </c>
      <c r="C84">
        <v>2021</v>
      </c>
      <c r="D84" s="26" t="s">
        <v>28</v>
      </c>
      <c r="E84" t="s">
        <v>17</v>
      </c>
      <c r="F84" s="11"/>
      <c r="G84" s="31" t="s">
        <v>52</v>
      </c>
      <c r="H84" s="11"/>
      <c r="I84" s="29">
        <v>182160</v>
      </c>
      <c r="J84" s="11" t="s">
        <v>15</v>
      </c>
      <c r="K84" s="36" t="s">
        <v>23</v>
      </c>
      <c r="L84" s="11"/>
    </row>
    <row r="85" spans="2:12">
      <c r="B85" s="17" t="s">
        <v>11</v>
      </c>
      <c r="C85">
        <v>2021</v>
      </c>
      <c r="D85" s="26" t="s">
        <v>28</v>
      </c>
      <c r="E85" t="s">
        <v>17</v>
      </c>
      <c r="F85" s="11"/>
      <c r="G85" s="40" t="s">
        <v>40</v>
      </c>
      <c r="H85" s="11"/>
      <c r="I85" s="29">
        <v>58650</v>
      </c>
      <c r="J85" s="11" t="s">
        <v>15</v>
      </c>
      <c r="K85" s="36" t="s">
        <v>23</v>
      </c>
      <c r="L85" s="11"/>
    </row>
    <row r="86" spans="2:12">
      <c r="B86" s="17" t="s">
        <v>11</v>
      </c>
      <c r="C86">
        <v>2021</v>
      </c>
      <c r="D86" s="26" t="s">
        <v>28</v>
      </c>
      <c r="E86" t="s">
        <v>24</v>
      </c>
      <c r="F86" s="11"/>
      <c r="G86" s="43" t="s">
        <v>46</v>
      </c>
      <c r="H86" s="11"/>
      <c r="I86" s="29">
        <v>37515</v>
      </c>
      <c r="J86" s="11" t="s">
        <v>15</v>
      </c>
      <c r="K86" s="36" t="s">
        <v>16</v>
      </c>
      <c r="L86" s="11"/>
    </row>
    <row r="87" spans="2:12">
      <c r="B87" s="17" t="s">
        <v>11</v>
      </c>
      <c r="C87">
        <v>2021</v>
      </c>
      <c r="D87" s="26" t="s">
        <v>28</v>
      </c>
      <c r="E87" t="s">
        <v>39</v>
      </c>
      <c r="F87" s="11"/>
      <c r="G87" s="41" t="s">
        <v>14</v>
      </c>
      <c r="H87" s="11"/>
      <c r="I87" s="29">
        <v>317.52</v>
      </c>
      <c r="J87" s="11" t="s">
        <v>15</v>
      </c>
      <c r="K87" s="36" t="s">
        <v>16</v>
      </c>
      <c r="L87" s="11"/>
    </row>
    <row r="88" spans="2:12">
      <c r="B88" s="17" t="s">
        <v>11</v>
      </c>
      <c r="C88">
        <v>2021</v>
      </c>
      <c r="D88" s="26" t="s">
        <v>28</v>
      </c>
      <c r="E88" t="s">
        <v>13</v>
      </c>
      <c r="G88" s="41" t="s">
        <v>14</v>
      </c>
      <c r="I88" s="29">
        <v>839.16</v>
      </c>
      <c r="J88" s="11" t="s">
        <v>15</v>
      </c>
      <c r="K88" s="36" t="s">
        <v>16</v>
      </c>
    </row>
    <row r="89" spans="2:12">
      <c r="B89" s="17" t="s">
        <v>11</v>
      </c>
      <c r="C89" s="26">
        <v>2021</v>
      </c>
      <c r="D89" s="26" t="s">
        <v>31</v>
      </c>
      <c r="E89" t="s">
        <v>17</v>
      </c>
      <c r="G89" s="26" t="s">
        <v>32</v>
      </c>
      <c r="I89">
        <v>63424.800000000003</v>
      </c>
      <c r="J89" s="11" t="s">
        <v>15</v>
      </c>
      <c r="K89" s="36" t="s">
        <v>16</v>
      </c>
    </row>
    <row r="90" spans="2:12">
      <c r="B90" s="17" t="s">
        <v>11</v>
      </c>
      <c r="C90" s="26">
        <v>2021</v>
      </c>
      <c r="D90" s="26" t="s">
        <v>31</v>
      </c>
      <c r="E90" t="s">
        <v>24</v>
      </c>
      <c r="G90" s="41" t="s">
        <v>14</v>
      </c>
      <c r="I90">
        <v>15</v>
      </c>
      <c r="J90" s="11" t="s">
        <v>15</v>
      </c>
      <c r="K90" s="36" t="s">
        <v>16</v>
      </c>
    </row>
    <row r="91" spans="2:12">
      <c r="B91" s="17" t="s">
        <v>11</v>
      </c>
      <c r="C91" s="26">
        <v>2021</v>
      </c>
      <c r="D91" s="26" t="s">
        <v>31</v>
      </c>
      <c r="E91" t="s">
        <v>39</v>
      </c>
      <c r="G91" s="41" t="s">
        <v>14</v>
      </c>
      <c r="I91">
        <v>11.34</v>
      </c>
      <c r="J91" s="11" t="s">
        <v>15</v>
      </c>
      <c r="K91" s="36" t="s">
        <v>16</v>
      </c>
    </row>
    <row r="92" spans="2:12">
      <c r="B92" s="17" t="s">
        <v>11</v>
      </c>
      <c r="C92" s="26">
        <v>2021</v>
      </c>
      <c r="D92" s="36" t="s">
        <v>33</v>
      </c>
      <c r="E92" t="s">
        <v>24</v>
      </c>
      <c r="G92" s="41" t="s">
        <v>14</v>
      </c>
      <c r="I92">
        <v>45</v>
      </c>
      <c r="J92" s="11" t="s">
        <v>15</v>
      </c>
      <c r="K92" s="36" t="s">
        <v>16</v>
      </c>
    </row>
    <row r="93" spans="2:12">
      <c r="B93" s="17" t="s">
        <v>11</v>
      </c>
      <c r="C93">
        <v>2021</v>
      </c>
      <c r="D93" s="36" t="s">
        <v>33</v>
      </c>
      <c r="E93" t="s">
        <v>17</v>
      </c>
      <c r="G93" s="41" t="s">
        <v>14</v>
      </c>
      <c r="I93">
        <v>41.4</v>
      </c>
      <c r="J93" s="11" t="s">
        <v>15</v>
      </c>
      <c r="K93" s="36" t="s">
        <v>16</v>
      </c>
    </row>
    <row r="94" spans="2:12">
      <c r="B94" s="17" t="s">
        <v>11</v>
      </c>
      <c r="C94">
        <v>2021</v>
      </c>
      <c r="D94" s="36" t="s">
        <v>33</v>
      </c>
      <c r="E94" t="s">
        <v>17</v>
      </c>
      <c r="G94" t="s">
        <v>30</v>
      </c>
      <c r="I94">
        <v>1656</v>
      </c>
      <c r="J94" s="11" t="s">
        <v>15</v>
      </c>
      <c r="K94" s="36" t="s">
        <v>16</v>
      </c>
    </row>
    <row r="95" spans="2:12">
      <c r="B95" s="17" t="s">
        <v>11</v>
      </c>
      <c r="C95">
        <v>2021</v>
      </c>
      <c r="D95" s="36" t="s">
        <v>33</v>
      </c>
      <c r="E95" t="s">
        <v>24</v>
      </c>
      <c r="G95" t="s">
        <v>30</v>
      </c>
      <c r="I95">
        <v>750</v>
      </c>
      <c r="J95" s="11" t="s">
        <v>15</v>
      </c>
      <c r="K95" s="36" t="s">
        <v>16</v>
      </c>
    </row>
    <row r="96" spans="2:12">
      <c r="B96" s="17" t="s">
        <v>11</v>
      </c>
      <c r="C96">
        <v>2021</v>
      </c>
      <c r="D96" s="36" t="s">
        <v>33</v>
      </c>
      <c r="E96" t="s">
        <v>17</v>
      </c>
      <c r="G96" t="s">
        <v>20</v>
      </c>
      <c r="I96">
        <v>143520</v>
      </c>
      <c r="J96" s="11" t="s">
        <v>15</v>
      </c>
      <c r="K96" s="36" t="s">
        <v>16</v>
      </c>
    </row>
    <row r="97" spans="2:11">
      <c r="B97" s="17" t="s">
        <v>11</v>
      </c>
      <c r="C97">
        <v>2021</v>
      </c>
      <c r="D97" s="26" t="s">
        <v>34</v>
      </c>
      <c r="E97" t="s">
        <v>17</v>
      </c>
      <c r="G97" s="26" t="s">
        <v>20</v>
      </c>
      <c r="I97" s="29">
        <v>61603.199999999997</v>
      </c>
      <c r="J97" s="11" t="s">
        <v>15</v>
      </c>
      <c r="K97" s="36" t="s">
        <v>16</v>
      </c>
    </row>
    <row r="98" spans="2:11">
      <c r="B98" s="17" t="s">
        <v>11</v>
      </c>
      <c r="C98">
        <v>2021</v>
      </c>
      <c r="D98" s="26" t="s">
        <v>34</v>
      </c>
      <c r="E98" t="s">
        <v>17</v>
      </c>
      <c r="G98" s="41" t="s">
        <v>14</v>
      </c>
      <c r="I98" s="29">
        <v>13.8</v>
      </c>
      <c r="J98" s="11" t="s">
        <v>15</v>
      </c>
      <c r="K98" s="36" t="s">
        <v>16</v>
      </c>
    </row>
    <row r="99" spans="2:11">
      <c r="B99" s="17" t="s">
        <v>11</v>
      </c>
      <c r="C99">
        <v>2021</v>
      </c>
      <c r="D99" s="26" t="s">
        <v>34</v>
      </c>
      <c r="E99" t="s">
        <v>24</v>
      </c>
      <c r="G99" s="41" t="s">
        <v>14</v>
      </c>
      <c r="I99" s="29">
        <v>15</v>
      </c>
      <c r="J99" s="11" t="s">
        <v>15</v>
      </c>
      <c r="K99" s="36" t="s">
        <v>16</v>
      </c>
    </row>
    <row r="100" spans="2:11">
      <c r="B100" s="17" t="s">
        <v>11</v>
      </c>
      <c r="C100">
        <v>2021</v>
      </c>
      <c r="D100" s="26" t="s">
        <v>34</v>
      </c>
      <c r="E100" t="s">
        <v>17</v>
      </c>
      <c r="G100" s="42" t="s">
        <v>53</v>
      </c>
      <c r="I100" s="29">
        <v>1090.2</v>
      </c>
      <c r="J100" s="11" t="s">
        <v>15</v>
      </c>
      <c r="K100" s="36" t="s">
        <v>16</v>
      </c>
    </row>
    <row r="101" spans="2:11">
      <c r="B101" s="17" t="s">
        <v>11</v>
      </c>
      <c r="C101">
        <v>2021</v>
      </c>
      <c r="D101" s="26" t="s">
        <v>34</v>
      </c>
      <c r="E101" t="s">
        <v>17</v>
      </c>
      <c r="G101" t="s">
        <v>32</v>
      </c>
      <c r="I101" s="29">
        <v>80688.600000000006</v>
      </c>
      <c r="J101" s="11" t="s">
        <v>15</v>
      </c>
      <c r="K101" s="36" t="s">
        <v>16</v>
      </c>
    </row>
    <row r="102" spans="2:11">
      <c r="B102" s="17" t="s">
        <v>11</v>
      </c>
      <c r="C102" s="26">
        <v>2021</v>
      </c>
      <c r="D102" s="26" t="s">
        <v>38</v>
      </c>
      <c r="E102" t="s">
        <v>17</v>
      </c>
      <c r="G102" s="26" t="s">
        <v>32</v>
      </c>
      <c r="I102">
        <v>276000</v>
      </c>
      <c r="J102" s="11" t="s">
        <v>15</v>
      </c>
      <c r="K102" s="36" t="s">
        <v>16</v>
      </c>
    </row>
    <row r="103" spans="2:11">
      <c r="B103" s="17" t="s">
        <v>11</v>
      </c>
      <c r="C103">
        <v>2021</v>
      </c>
      <c r="D103" s="26" t="s">
        <v>38</v>
      </c>
      <c r="E103" t="s">
        <v>17</v>
      </c>
      <c r="G103" s="41" t="s">
        <v>14</v>
      </c>
      <c r="I103">
        <v>27.6</v>
      </c>
      <c r="J103" s="11" t="s">
        <v>15</v>
      </c>
      <c r="K103" s="36" t="s">
        <v>16</v>
      </c>
    </row>
    <row r="104" spans="2:11">
      <c r="B104" s="17" t="s">
        <v>11</v>
      </c>
      <c r="C104">
        <v>2021</v>
      </c>
      <c r="D104" s="26" t="s">
        <v>38</v>
      </c>
      <c r="E104" t="s">
        <v>24</v>
      </c>
      <c r="G104" s="41" t="s">
        <v>14</v>
      </c>
      <c r="I104">
        <v>45</v>
      </c>
      <c r="J104" s="11" t="s">
        <v>15</v>
      </c>
      <c r="K104" s="36" t="s">
        <v>16</v>
      </c>
    </row>
    <row r="105" spans="2:11">
      <c r="B105" s="17" t="s">
        <v>11</v>
      </c>
      <c r="C105">
        <v>2021</v>
      </c>
      <c r="D105" s="26" t="s">
        <v>38</v>
      </c>
      <c r="E105" t="s">
        <v>39</v>
      </c>
      <c r="G105" s="41" t="s">
        <v>14</v>
      </c>
      <c r="I105">
        <v>11.34</v>
      </c>
      <c r="J105" s="11" t="s">
        <v>15</v>
      </c>
      <c r="K105" s="36" t="s">
        <v>16</v>
      </c>
    </row>
    <row r="106" spans="2:11">
      <c r="B106" s="17" t="s">
        <v>11</v>
      </c>
      <c r="C106" s="28">
        <v>2021</v>
      </c>
      <c r="D106" s="29" t="s">
        <v>43</v>
      </c>
      <c r="E106" t="s">
        <v>17</v>
      </c>
      <c r="G106" t="s">
        <v>29</v>
      </c>
      <c r="I106">
        <v>3450</v>
      </c>
      <c r="J106" s="11" t="s">
        <v>15</v>
      </c>
      <c r="K106" s="36" t="s">
        <v>16</v>
      </c>
    </row>
    <row r="107" spans="2:11">
      <c r="B107" s="17" t="s">
        <v>11</v>
      </c>
      <c r="C107" s="28">
        <v>2021</v>
      </c>
      <c r="D107" s="29" t="s">
        <v>43</v>
      </c>
      <c r="E107" t="s">
        <v>39</v>
      </c>
      <c r="G107" s="41" t="s">
        <v>14</v>
      </c>
      <c r="I107">
        <v>11.34</v>
      </c>
      <c r="J107" s="11" t="s">
        <v>15</v>
      </c>
      <c r="K107" s="36" t="s">
        <v>16</v>
      </c>
    </row>
    <row r="108" spans="2:11">
      <c r="B108" s="17" t="s">
        <v>11</v>
      </c>
      <c r="C108" s="28">
        <v>2021</v>
      </c>
      <c r="D108" s="29" t="s">
        <v>43</v>
      </c>
      <c r="E108" t="s">
        <v>24</v>
      </c>
      <c r="G108" s="41" t="s">
        <v>14</v>
      </c>
      <c r="I108">
        <v>15</v>
      </c>
      <c r="J108" s="11" t="s">
        <v>15</v>
      </c>
      <c r="K108" s="36" t="s">
        <v>16</v>
      </c>
    </row>
    <row r="109" spans="2:11">
      <c r="B109" s="17" t="s">
        <v>11</v>
      </c>
      <c r="C109" s="28">
        <v>2021</v>
      </c>
      <c r="D109" s="29" t="s">
        <v>43</v>
      </c>
      <c r="E109" t="s">
        <v>17</v>
      </c>
      <c r="G109" s="40" t="s">
        <v>40</v>
      </c>
      <c r="I109">
        <v>69000</v>
      </c>
      <c r="J109" s="11" t="s">
        <v>15</v>
      </c>
      <c r="K109" s="36" t="s">
        <v>23</v>
      </c>
    </row>
    <row r="110" spans="2:11">
      <c r="B110" s="17" t="s">
        <v>11</v>
      </c>
      <c r="C110" s="28">
        <v>2021</v>
      </c>
      <c r="D110" s="29" t="s">
        <v>43</v>
      </c>
      <c r="E110" t="s">
        <v>39</v>
      </c>
      <c r="G110" t="s">
        <v>30</v>
      </c>
      <c r="I110">
        <v>68.040000000000006</v>
      </c>
      <c r="J110" s="11" t="s">
        <v>15</v>
      </c>
      <c r="K110" s="36" t="s">
        <v>16</v>
      </c>
    </row>
    <row r="111" spans="2:11">
      <c r="B111" s="17" t="s">
        <v>11</v>
      </c>
      <c r="C111" s="28">
        <v>2021</v>
      </c>
      <c r="D111" s="29" t="s">
        <v>43</v>
      </c>
      <c r="E111" t="s">
        <v>17</v>
      </c>
      <c r="G111" t="s">
        <v>54</v>
      </c>
      <c r="I111">
        <v>82.8</v>
      </c>
      <c r="J111" s="11" t="s">
        <v>15</v>
      </c>
      <c r="K111" s="36" t="s">
        <v>16</v>
      </c>
    </row>
    <row r="112" spans="2:11">
      <c r="B112" s="17" t="s">
        <v>11</v>
      </c>
      <c r="C112" s="28">
        <v>2021</v>
      </c>
      <c r="D112" s="29" t="s">
        <v>43</v>
      </c>
      <c r="E112" t="s">
        <v>24</v>
      </c>
      <c r="G112" t="s">
        <v>54</v>
      </c>
      <c r="I112">
        <v>90</v>
      </c>
      <c r="J112" s="11" t="s">
        <v>15</v>
      </c>
      <c r="K112" s="36" t="s">
        <v>16</v>
      </c>
    </row>
    <row r="113" spans="2:11">
      <c r="B113" s="17" t="s">
        <v>11</v>
      </c>
      <c r="C113" s="28">
        <v>2021</v>
      </c>
      <c r="D113" s="29" t="s">
        <v>43</v>
      </c>
      <c r="E113" t="s">
        <v>17</v>
      </c>
      <c r="G113" t="s">
        <v>20</v>
      </c>
      <c r="I113">
        <v>456987</v>
      </c>
      <c r="J113" s="11" t="s">
        <v>15</v>
      </c>
      <c r="K113" s="36" t="s">
        <v>16</v>
      </c>
    </row>
    <row r="114" spans="2:11">
      <c r="B114" s="17" t="s">
        <v>11</v>
      </c>
      <c r="C114" s="26">
        <v>2021</v>
      </c>
      <c r="D114" s="26" t="s">
        <v>45</v>
      </c>
      <c r="E114" t="s">
        <v>17</v>
      </c>
      <c r="G114" t="s">
        <v>20</v>
      </c>
      <c r="I114">
        <v>71760</v>
      </c>
      <c r="J114" s="11" t="s">
        <v>15</v>
      </c>
      <c r="K114" s="36" t="s">
        <v>16</v>
      </c>
    </row>
    <row r="115" spans="2:11">
      <c r="B115" s="17" t="s">
        <v>11</v>
      </c>
      <c r="C115" s="26">
        <v>2021</v>
      </c>
      <c r="D115" s="26" t="s">
        <v>45</v>
      </c>
      <c r="E115" t="s">
        <v>55</v>
      </c>
      <c r="G115" t="s">
        <v>32</v>
      </c>
      <c r="I115">
        <v>261443.7</v>
      </c>
      <c r="J115" s="11" t="s">
        <v>15</v>
      </c>
      <c r="K115" s="36" t="s">
        <v>16</v>
      </c>
    </row>
    <row r="116" spans="2:11">
      <c r="B116" s="17" t="s">
        <v>11</v>
      </c>
      <c r="C116" s="26">
        <v>2021</v>
      </c>
      <c r="D116" s="26" t="s">
        <v>47</v>
      </c>
      <c r="E116" t="s">
        <v>24</v>
      </c>
      <c r="G116" s="39" t="s">
        <v>22</v>
      </c>
      <c r="I116" s="29">
        <v>200010</v>
      </c>
      <c r="J116" s="11" t="s">
        <v>15</v>
      </c>
      <c r="K116" s="36" t="s">
        <v>23</v>
      </c>
    </row>
    <row r="117" spans="2:11">
      <c r="B117" s="17" t="s">
        <v>11</v>
      </c>
      <c r="C117">
        <v>2021</v>
      </c>
      <c r="D117" s="26" t="s">
        <v>47</v>
      </c>
      <c r="E117" t="s">
        <v>17</v>
      </c>
      <c r="G117" t="s">
        <v>20</v>
      </c>
      <c r="I117" s="29">
        <v>71760</v>
      </c>
      <c r="J117" s="11" t="s">
        <v>15</v>
      </c>
      <c r="K117" s="36" t="s">
        <v>16</v>
      </c>
    </row>
    <row r="118" spans="2:11">
      <c r="B118" s="17" t="s">
        <v>11</v>
      </c>
      <c r="C118">
        <v>2021</v>
      </c>
      <c r="D118" s="26" t="s">
        <v>47</v>
      </c>
      <c r="E118" t="s">
        <v>17</v>
      </c>
      <c r="G118" s="41" t="s">
        <v>14</v>
      </c>
      <c r="I118" s="29">
        <v>13.8</v>
      </c>
      <c r="J118" s="11" t="s">
        <v>15</v>
      </c>
      <c r="K118" s="36" t="s">
        <v>16</v>
      </c>
    </row>
    <row r="119" spans="2:11">
      <c r="B119" s="17" t="s">
        <v>11</v>
      </c>
      <c r="C119">
        <v>2021</v>
      </c>
      <c r="D119" s="26" t="s">
        <v>47</v>
      </c>
      <c r="E119" t="s">
        <v>24</v>
      </c>
      <c r="G119" s="41" t="s">
        <v>14</v>
      </c>
      <c r="I119" s="29">
        <v>15</v>
      </c>
      <c r="J119" s="11" t="s">
        <v>15</v>
      </c>
      <c r="K119" s="36" t="s">
        <v>16</v>
      </c>
    </row>
    <row r="120" spans="2:11">
      <c r="B120" s="17" t="s">
        <v>11</v>
      </c>
      <c r="C120" s="26">
        <v>2021</v>
      </c>
      <c r="D120" s="26" t="s">
        <v>49</v>
      </c>
      <c r="E120" t="s">
        <v>17</v>
      </c>
      <c r="G120" s="26" t="s">
        <v>20</v>
      </c>
      <c r="I120">
        <v>210643.20000000001</v>
      </c>
      <c r="J120" s="11" t="s">
        <v>15</v>
      </c>
      <c r="K120" s="36" t="s">
        <v>16</v>
      </c>
    </row>
    <row r="121" spans="2:11">
      <c r="B121" s="17" t="s">
        <v>11</v>
      </c>
      <c r="C121" s="26">
        <v>2021</v>
      </c>
      <c r="D121" s="26" t="s">
        <v>49</v>
      </c>
      <c r="E121" t="s">
        <v>13</v>
      </c>
      <c r="G121" s="41" t="s">
        <v>14</v>
      </c>
      <c r="I121">
        <v>22.68</v>
      </c>
      <c r="J121" s="11" t="s">
        <v>15</v>
      </c>
      <c r="K121" s="36" t="s">
        <v>16</v>
      </c>
    </row>
    <row r="122" spans="2:11">
      <c r="B122" s="17" t="s">
        <v>11</v>
      </c>
      <c r="C122" s="26">
        <v>2021</v>
      </c>
      <c r="D122" s="26" t="s">
        <v>49</v>
      </c>
      <c r="E122" t="s">
        <v>17</v>
      </c>
      <c r="G122" s="41" t="s">
        <v>14</v>
      </c>
      <c r="I122">
        <v>13.8</v>
      </c>
      <c r="J122" s="11" t="s">
        <v>15</v>
      </c>
      <c r="K122" s="36" t="s">
        <v>16</v>
      </c>
    </row>
    <row r="123" spans="2:11">
      <c r="B123" s="17" t="s">
        <v>11</v>
      </c>
      <c r="C123" s="26">
        <v>2021</v>
      </c>
      <c r="D123" s="26" t="s">
        <v>49</v>
      </c>
      <c r="E123" t="s">
        <v>24</v>
      </c>
      <c r="G123" s="41" t="s">
        <v>14</v>
      </c>
      <c r="I123">
        <v>30</v>
      </c>
      <c r="J123" s="11" t="s">
        <v>15</v>
      </c>
      <c r="K123" s="36" t="s">
        <v>16</v>
      </c>
    </row>
    <row r="124" spans="2:11">
      <c r="B124" s="17" t="s">
        <v>11</v>
      </c>
      <c r="C124" s="26">
        <v>2022</v>
      </c>
      <c r="D124" s="26" t="s">
        <v>12</v>
      </c>
      <c r="E124" t="s">
        <v>17</v>
      </c>
      <c r="G124" s="41" t="s">
        <v>14</v>
      </c>
      <c r="I124">
        <v>27.6</v>
      </c>
      <c r="J124" s="11" t="s">
        <v>15</v>
      </c>
      <c r="K124" s="36" t="s">
        <v>16</v>
      </c>
    </row>
    <row r="125" spans="2:11">
      <c r="B125" s="17" t="s">
        <v>11</v>
      </c>
      <c r="C125">
        <v>2022</v>
      </c>
      <c r="D125" s="26" t="s">
        <v>12</v>
      </c>
      <c r="E125" t="s">
        <v>17</v>
      </c>
      <c r="G125" t="s">
        <v>20</v>
      </c>
      <c r="I125">
        <v>35880</v>
      </c>
      <c r="J125" s="11" t="s">
        <v>15</v>
      </c>
      <c r="K125" s="36" t="s">
        <v>16</v>
      </c>
    </row>
    <row r="126" spans="2:11">
      <c r="B126" s="17" t="s">
        <v>11</v>
      </c>
      <c r="C126">
        <v>2022</v>
      </c>
      <c r="D126" s="26" t="s">
        <v>12</v>
      </c>
      <c r="E126" t="s">
        <v>24</v>
      </c>
      <c r="G126" s="41" t="s">
        <v>14</v>
      </c>
      <c r="I126">
        <v>15</v>
      </c>
      <c r="J126" s="11" t="s">
        <v>15</v>
      </c>
      <c r="K126" s="36" t="s">
        <v>16</v>
      </c>
    </row>
    <row r="127" spans="2:11">
      <c r="B127" s="17" t="s">
        <v>11</v>
      </c>
      <c r="C127">
        <v>2022</v>
      </c>
      <c r="D127" s="26" t="s">
        <v>12</v>
      </c>
      <c r="E127" t="s">
        <v>55</v>
      </c>
      <c r="G127" t="s">
        <v>32</v>
      </c>
      <c r="I127">
        <v>261455</v>
      </c>
      <c r="J127" s="11" t="s">
        <v>15</v>
      </c>
      <c r="K127" s="36" t="s">
        <v>16</v>
      </c>
    </row>
    <row r="128" spans="2:11">
      <c r="B128" s="17" t="s">
        <v>11</v>
      </c>
      <c r="C128" s="28">
        <v>2022</v>
      </c>
      <c r="D128" s="27" t="s">
        <v>21</v>
      </c>
      <c r="E128" t="s">
        <v>17</v>
      </c>
      <c r="G128" s="26" t="s">
        <v>20</v>
      </c>
      <c r="I128">
        <v>102658.2</v>
      </c>
      <c r="J128" s="11" t="s">
        <v>15</v>
      </c>
      <c r="K128" s="36" t="s">
        <v>16</v>
      </c>
    </row>
    <row r="129" spans="2:11">
      <c r="B129" s="17" t="s">
        <v>11</v>
      </c>
      <c r="C129" s="27">
        <v>2022</v>
      </c>
      <c r="D129" s="27" t="s">
        <v>21</v>
      </c>
      <c r="E129" t="s">
        <v>17</v>
      </c>
      <c r="G129" s="41" t="s">
        <v>14</v>
      </c>
      <c r="I129">
        <v>13.8</v>
      </c>
      <c r="J129" s="11" t="s">
        <v>15</v>
      </c>
      <c r="K129" s="36" t="s">
        <v>16</v>
      </c>
    </row>
    <row r="130" spans="2:11">
      <c r="B130" s="17" t="s">
        <v>11</v>
      </c>
      <c r="C130" s="26">
        <v>2022</v>
      </c>
      <c r="D130" s="26" t="s">
        <v>27</v>
      </c>
      <c r="E130" t="s">
        <v>17</v>
      </c>
      <c r="G130" s="26" t="s">
        <v>20</v>
      </c>
      <c r="I130" s="29">
        <v>172541</v>
      </c>
      <c r="J130" s="11" t="s">
        <v>15</v>
      </c>
      <c r="K130" s="36" t="s">
        <v>16</v>
      </c>
    </row>
    <row r="131" spans="2:11">
      <c r="B131" s="17" t="s">
        <v>11</v>
      </c>
      <c r="C131" s="26">
        <v>2022</v>
      </c>
      <c r="D131" s="26" t="s">
        <v>28</v>
      </c>
      <c r="E131" t="s">
        <v>17</v>
      </c>
      <c r="G131" s="42" t="s">
        <v>53</v>
      </c>
      <c r="I131" s="29">
        <v>566</v>
      </c>
      <c r="J131" s="11" t="s">
        <v>15</v>
      </c>
      <c r="K131" s="36" t="s">
        <v>16</v>
      </c>
    </row>
    <row r="132" spans="2:11">
      <c r="B132" s="17" t="s">
        <v>11</v>
      </c>
      <c r="C132" s="26">
        <v>2022</v>
      </c>
      <c r="D132" s="26" t="s">
        <v>28</v>
      </c>
      <c r="E132" t="s">
        <v>17</v>
      </c>
      <c r="G132" s="41" t="s">
        <v>14</v>
      </c>
      <c r="I132" s="29">
        <v>13.8</v>
      </c>
      <c r="J132" s="11" t="s">
        <v>15</v>
      </c>
      <c r="K132" s="36" t="s">
        <v>16</v>
      </c>
    </row>
    <row r="133" spans="2:11">
      <c r="B133" s="17" t="s">
        <v>11</v>
      </c>
      <c r="C133" s="26">
        <v>2022</v>
      </c>
      <c r="D133" s="26" t="s">
        <v>28</v>
      </c>
      <c r="E133" t="s">
        <v>24</v>
      </c>
      <c r="G133" s="41" t="s">
        <v>14</v>
      </c>
      <c r="I133" s="29">
        <v>60</v>
      </c>
      <c r="J133" s="11" t="s">
        <v>15</v>
      </c>
      <c r="K133" s="36" t="s">
        <v>16</v>
      </c>
    </row>
    <row r="134" spans="2:11">
      <c r="B134" s="17" t="s">
        <v>11</v>
      </c>
      <c r="C134" s="26">
        <v>2022</v>
      </c>
      <c r="D134" s="26" t="s">
        <v>28</v>
      </c>
      <c r="E134" t="s">
        <v>24</v>
      </c>
      <c r="G134" s="42" t="s">
        <v>53</v>
      </c>
      <c r="I134" s="29">
        <v>1200</v>
      </c>
      <c r="J134" s="11" t="s">
        <v>15</v>
      </c>
      <c r="K134" s="36" t="s">
        <v>16</v>
      </c>
    </row>
    <row r="135" spans="2:11">
      <c r="B135" s="17" t="s">
        <v>11</v>
      </c>
      <c r="C135" s="27">
        <v>2022</v>
      </c>
      <c r="D135" t="s">
        <v>31</v>
      </c>
      <c r="E135" t="s">
        <v>17</v>
      </c>
      <c r="G135" s="31" t="s">
        <v>52</v>
      </c>
      <c r="I135">
        <v>151344.6</v>
      </c>
      <c r="J135" s="11" t="s">
        <v>15</v>
      </c>
      <c r="K135" s="36" t="s">
        <v>23</v>
      </c>
    </row>
    <row r="136" spans="2:11">
      <c r="B136" s="17" t="s">
        <v>11</v>
      </c>
      <c r="C136" s="27">
        <v>2022</v>
      </c>
      <c r="D136" t="s">
        <v>31</v>
      </c>
      <c r="E136" t="s">
        <v>17</v>
      </c>
      <c r="G136" s="31" t="s">
        <v>52</v>
      </c>
      <c r="I136">
        <v>44160</v>
      </c>
      <c r="J136" s="11" t="s">
        <v>15</v>
      </c>
      <c r="K136" s="36" t="s">
        <v>26</v>
      </c>
    </row>
    <row r="137" spans="2:11">
      <c r="B137" s="17" t="s">
        <v>11</v>
      </c>
      <c r="C137" s="27">
        <v>2022</v>
      </c>
      <c r="D137" t="s">
        <v>31</v>
      </c>
      <c r="E137" t="s">
        <v>17</v>
      </c>
      <c r="G137" t="s">
        <v>29</v>
      </c>
      <c r="I137">
        <v>11592</v>
      </c>
      <c r="J137" s="11" t="s">
        <v>15</v>
      </c>
      <c r="K137" s="36" t="s">
        <v>16</v>
      </c>
    </row>
    <row r="138" spans="2:11">
      <c r="B138" s="17" t="s">
        <v>11</v>
      </c>
      <c r="C138" s="27">
        <v>2022</v>
      </c>
      <c r="D138" t="s">
        <v>31</v>
      </c>
      <c r="E138" t="s">
        <v>17</v>
      </c>
      <c r="G138" t="s">
        <v>56</v>
      </c>
      <c r="I138">
        <v>1380</v>
      </c>
      <c r="J138" s="11" t="s">
        <v>15</v>
      </c>
      <c r="K138" s="36" t="s">
        <v>26</v>
      </c>
    </row>
    <row r="139" spans="2:11">
      <c r="B139" s="17" t="s">
        <v>11</v>
      </c>
      <c r="C139" s="27">
        <v>2022</v>
      </c>
      <c r="D139" s="26" t="s">
        <v>31</v>
      </c>
      <c r="E139" t="s">
        <v>17</v>
      </c>
      <c r="G139" s="41" t="s">
        <v>14</v>
      </c>
      <c r="I139">
        <v>41.4</v>
      </c>
      <c r="J139" s="11" t="s">
        <v>15</v>
      </c>
      <c r="K139" s="36" t="s">
        <v>16</v>
      </c>
    </row>
    <row r="140" spans="2:11">
      <c r="B140" s="17" t="s">
        <v>11</v>
      </c>
      <c r="C140" s="27">
        <v>2022</v>
      </c>
      <c r="D140" s="26" t="s">
        <v>31</v>
      </c>
      <c r="E140" t="s">
        <v>55</v>
      </c>
      <c r="G140" t="s">
        <v>32</v>
      </c>
      <c r="I140">
        <v>190149.12</v>
      </c>
      <c r="J140" s="11" t="s">
        <v>15</v>
      </c>
      <c r="K140" s="36" t="s">
        <v>16</v>
      </c>
    </row>
    <row r="141" spans="2:11">
      <c r="B141" s="17" t="s">
        <v>11</v>
      </c>
      <c r="C141" s="27">
        <v>2022</v>
      </c>
      <c r="D141" s="26" t="s">
        <v>31</v>
      </c>
      <c r="E141" t="s">
        <v>13</v>
      </c>
      <c r="G141" s="41" t="s">
        <v>14</v>
      </c>
      <c r="I141">
        <v>272.16000000000003</v>
      </c>
      <c r="J141" s="11" t="s">
        <v>15</v>
      </c>
      <c r="K141" s="36" t="s">
        <v>16</v>
      </c>
    </row>
    <row r="142" spans="2:11">
      <c r="B142" s="17" t="s">
        <v>11</v>
      </c>
      <c r="C142" s="27">
        <v>2022</v>
      </c>
      <c r="D142" s="26" t="s">
        <v>33</v>
      </c>
      <c r="E142" t="s">
        <v>55</v>
      </c>
      <c r="G142" s="26" t="s">
        <v>32</v>
      </c>
      <c r="I142" s="30">
        <v>71294.58</v>
      </c>
      <c r="J142" s="11" t="s">
        <v>15</v>
      </c>
      <c r="K142" s="36" t="s">
        <v>16</v>
      </c>
    </row>
    <row r="143" spans="2:11">
      <c r="B143" s="17" t="s">
        <v>11</v>
      </c>
      <c r="C143" s="27">
        <v>2022</v>
      </c>
      <c r="D143" s="26" t="s">
        <v>33</v>
      </c>
      <c r="E143" t="s">
        <v>17</v>
      </c>
      <c r="G143" t="s">
        <v>20</v>
      </c>
      <c r="I143" s="30">
        <v>34900.199999999997</v>
      </c>
      <c r="J143" s="11" t="s">
        <v>15</v>
      </c>
      <c r="K143" s="36" t="s">
        <v>16</v>
      </c>
    </row>
    <row r="144" spans="2:11">
      <c r="B144" s="17" t="s">
        <v>11</v>
      </c>
      <c r="C144" s="27">
        <v>2022</v>
      </c>
      <c r="D144" s="26" t="s">
        <v>33</v>
      </c>
      <c r="E144" t="s">
        <v>24</v>
      </c>
      <c r="G144" s="37" t="s">
        <v>25</v>
      </c>
      <c r="I144" s="30">
        <v>9510</v>
      </c>
      <c r="J144" s="11" t="s">
        <v>15</v>
      </c>
      <c r="K144" s="36" t="s">
        <v>16</v>
      </c>
    </row>
    <row r="145" spans="2:11">
      <c r="B145" s="17" t="s">
        <v>11</v>
      </c>
      <c r="C145" s="27">
        <v>2022</v>
      </c>
      <c r="D145" s="26" t="s">
        <v>33</v>
      </c>
      <c r="E145" t="s">
        <v>13</v>
      </c>
      <c r="G145" s="41" t="s">
        <v>14</v>
      </c>
      <c r="I145" s="30">
        <v>192.78</v>
      </c>
      <c r="J145" s="11" t="s">
        <v>15</v>
      </c>
      <c r="K145" s="36" t="s">
        <v>16</v>
      </c>
    </row>
    <row r="146" spans="2:11">
      <c r="B146" s="17" t="s">
        <v>11</v>
      </c>
      <c r="C146" s="27">
        <v>2022</v>
      </c>
      <c r="D146" s="26" t="s">
        <v>33</v>
      </c>
      <c r="E146" t="s">
        <v>17</v>
      </c>
      <c r="G146" t="s">
        <v>32</v>
      </c>
      <c r="I146" s="30">
        <v>138000</v>
      </c>
      <c r="J146" s="11" t="s">
        <v>15</v>
      </c>
      <c r="K146" s="36" t="s">
        <v>16</v>
      </c>
    </row>
    <row r="147" spans="2:11">
      <c r="B147" s="17" t="s">
        <v>11</v>
      </c>
      <c r="C147" s="26">
        <v>2022</v>
      </c>
      <c r="D147" s="26" t="s">
        <v>34</v>
      </c>
      <c r="E147" t="s">
        <v>17</v>
      </c>
      <c r="G147" t="s">
        <v>20</v>
      </c>
      <c r="I147" s="29">
        <v>127512</v>
      </c>
      <c r="J147" s="11" t="s">
        <v>15</v>
      </c>
      <c r="K147" s="36" t="s">
        <v>16</v>
      </c>
    </row>
    <row r="148" spans="2:11">
      <c r="B148" s="17" t="s">
        <v>11</v>
      </c>
      <c r="C148" s="26">
        <v>2022</v>
      </c>
      <c r="D148" s="26" t="s">
        <v>34</v>
      </c>
      <c r="E148" t="s">
        <v>17</v>
      </c>
      <c r="G148" s="31" t="s">
        <v>52</v>
      </c>
      <c r="I148" s="29">
        <v>204502.2</v>
      </c>
      <c r="J148" s="11" t="s">
        <v>15</v>
      </c>
      <c r="K148" s="36" t="s">
        <v>23</v>
      </c>
    </row>
    <row r="149" spans="2:11">
      <c r="B149" s="17" t="s">
        <v>11</v>
      </c>
      <c r="C149" s="26">
        <v>2022</v>
      </c>
      <c r="D149" s="26" t="s">
        <v>34</v>
      </c>
      <c r="E149" t="s">
        <v>17</v>
      </c>
      <c r="G149" t="s">
        <v>29</v>
      </c>
      <c r="I149" s="29">
        <v>51060</v>
      </c>
      <c r="J149" s="11" t="s">
        <v>15</v>
      </c>
      <c r="K149" s="36" t="s">
        <v>23</v>
      </c>
    </row>
    <row r="150" spans="2:11">
      <c r="B150" s="17" t="s">
        <v>11</v>
      </c>
      <c r="C150" s="26">
        <v>2022</v>
      </c>
      <c r="D150" s="26" t="s">
        <v>34</v>
      </c>
      <c r="E150" t="s">
        <v>13</v>
      </c>
      <c r="G150" s="41" t="s">
        <v>14</v>
      </c>
      <c r="I150" s="29">
        <v>158.76</v>
      </c>
      <c r="J150" s="11" t="s">
        <v>15</v>
      </c>
      <c r="K150" s="36" t="s">
        <v>16</v>
      </c>
    </row>
    <row r="151" spans="2:11">
      <c r="B151" s="17" t="s">
        <v>11</v>
      </c>
      <c r="C151" s="27">
        <v>2022</v>
      </c>
      <c r="D151" s="27" t="s">
        <v>38</v>
      </c>
      <c r="E151" t="s">
        <v>17</v>
      </c>
      <c r="G151" s="26" t="s">
        <v>20</v>
      </c>
      <c r="I151" s="30">
        <v>183222.6</v>
      </c>
      <c r="J151" s="11" t="s">
        <v>15</v>
      </c>
      <c r="K151" s="36" t="s">
        <v>16</v>
      </c>
    </row>
    <row r="152" spans="2:11">
      <c r="B152" s="17" t="s">
        <v>11</v>
      </c>
      <c r="C152" s="28">
        <v>2022</v>
      </c>
      <c r="D152" s="27" t="s">
        <v>38</v>
      </c>
      <c r="E152" t="s">
        <v>17</v>
      </c>
      <c r="G152" s="37" t="s">
        <v>25</v>
      </c>
      <c r="I152" s="30">
        <v>1159.2</v>
      </c>
      <c r="J152" s="11" t="s">
        <v>15</v>
      </c>
      <c r="K152" s="36" t="s">
        <v>23</v>
      </c>
    </row>
    <row r="153" spans="2:11">
      <c r="B153" s="17" t="s">
        <v>11</v>
      </c>
      <c r="C153" s="28">
        <v>2022</v>
      </c>
      <c r="D153" s="27" t="s">
        <v>38</v>
      </c>
      <c r="E153" t="s">
        <v>17</v>
      </c>
      <c r="G153" t="s">
        <v>29</v>
      </c>
      <c r="I153" s="30">
        <v>6900</v>
      </c>
      <c r="J153" s="11" t="s">
        <v>15</v>
      </c>
      <c r="K153" s="36" t="s">
        <v>16</v>
      </c>
    </row>
    <row r="154" spans="2:11">
      <c r="B154" s="17" t="s">
        <v>11</v>
      </c>
      <c r="C154" s="28">
        <v>2022</v>
      </c>
      <c r="D154" s="27" t="s">
        <v>38</v>
      </c>
      <c r="E154" t="s">
        <v>17</v>
      </c>
      <c r="G154" s="40" t="s">
        <v>57</v>
      </c>
      <c r="I154" s="30">
        <v>690</v>
      </c>
      <c r="J154" s="11" t="s">
        <v>15</v>
      </c>
      <c r="K154" s="36" t="s">
        <v>16</v>
      </c>
    </row>
    <row r="155" spans="2:11">
      <c r="B155" s="17" t="s">
        <v>11</v>
      </c>
      <c r="C155" s="27">
        <v>2022</v>
      </c>
      <c r="D155" s="27" t="s">
        <v>38</v>
      </c>
      <c r="E155" t="s">
        <v>24</v>
      </c>
      <c r="G155" s="37" t="s">
        <v>25</v>
      </c>
      <c r="I155" s="30">
        <v>240</v>
      </c>
      <c r="J155" s="11" t="s">
        <v>15</v>
      </c>
      <c r="K155" s="36" t="s">
        <v>23</v>
      </c>
    </row>
    <row r="156" spans="2:11">
      <c r="B156" s="17" t="s">
        <v>11</v>
      </c>
      <c r="C156" s="28">
        <v>2022</v>
      </c>
      <c r="D156" s="27" t="s">
        <v>38</v>
      </c>
      <c r="E156" t="s">
        <v>13</v>
      </c>
      <c r="G156" s="41" t="s">
        <v>14</v>
      </c>
      <c r="I156" s="30">
        <v>45.36</v>
      </c>
      <c r="J156" s="11" t="s">
        <v>15</v>
      </c>
      <c r="K156" s="36" t="s">
        <v>16</v>
      </c>
    </row>
    <row r="157" spans="2:11">
      <c r="B157" s="17" t="s">
        <v>11</v>
      </c>
      <c r="C157" s="28">
        <v>2022</v>
      </c>
      <c r="D157" s="27" t="s">
        <v>38</v>
      </c>
      <c r="E157" t="s">
        <v>39</v>
      </c>
      <c r="G157" s="42" t="s">
        <v>48</v>
      </c>
      <c r="I157" s="30">
        <v>22.68</v>
      </c>
      <c r="J157" s="11" t="s">
        <v>15</v>
      </c>
      <c r="K157" s="36" t="s">
        <v>16</v>
      </c>
    </row>
    <row r="158" spans="2:11">
      <c r="B158" s="17" t="s">
        <v>11</v>
      </c>
      <c r="C158" s="28">
        <v>2022</v>
      </c>
      <c r="D158" s="27" t="s">
        <v>38</v>
      </c>
      <c r="E158" t="s">
        <v>39</v>
      </c>
      <c r="G158" s="40" t="s">
        <v>57</v>
      </c>
      <c r="I158" s="30">
        <v>1020.6</v>
      </c>
      <c r="J158" s="11" t="s">
        <v>15</v>
      </c>
      <c r="K158" s="36" t="s">
        <v>16</v>
      </c>
    </row>
    <row r="159" spans="2:11">
      <c r="B159" s="17" t="s">
        <v>11</v>
      </c>
      <c r="C159" s="28">
        <v>2022</v>
      </c>
      <c r="D159" s="29" t="s">
        <v>43</v>
      </c>
      <c r="E159" t="s">
        <v>17</v>
      </c>
      <c r="G159" s="26" t="s">
        <v>20</v>
      </c>
      <c r="I159" s="30">
        <v>42228</v>
      </c>
      <c r="J159" s="11" t="s">
        <v>15</v>
      </c>
      <c r="K159" s="36" t="s">
        <v>16</v>
      </c>
    </row>
    <row r="160" spans="2:11">
      <c r="B160" s="17" t="s">
        <v>11</v>
      </c>
      <c r="C160" s="28">
        <v>2022</v>
      </c>
      <c r="D160" s="29" t="s">
        <v>43</v>
      </c>
      <c r="E160" t="s">
        <v>17</v>
      </c>
      <c r="G160" s="37" t="s">
        <v>25</v>
      </c>
      <c r="I160" s="30">
        <v>2208</v>
      </c>
      <c r="J160" s="11" t="s">
        <v>15</v>
      </c>
      <c r="K160" s="36" t="s">
        <v>26</v>
      </c>
    </row>
    <row r="161" spans="2:11">
      <c r="B161" s="17" t="s">
        <v>11</v>
      </c>
      <c r="C161" s="28">
        <v>2022</v>
      </c>
      <c r="D161" s="29" t="s">
        <v>43</v>
      </c>
      <c r="E161" t="s">
        <v>24</v>
      </c>
      <c r="G161" s="37" t="s">
        <v>25</v>
      </c>
      <c r="I161" s="30">
        <v>2880</v>
      </c>
      <c r="J161" s="11" t="s">
        <v>15</v>
      </c>
      <c r="K161" s="36" t="s">
        <v>26</v>
      </c>
    </row>
    <row r="162" spans="2:11">
      <c r="B162" s="17" t="s">
        <v>11</v>
      </c>
      <c r="C162" s="28">
        <v>2022</v>
      </c>
      <c r="D162" s="29" t="s">
        <v>43</v>
      </c>
      <c r="E162" t="s">
        <v>17</v>
      </c>
      <c r="G162" t="s">
        <v>30</v>
      </c>
      <c r="I162" s="30">
        <v>414</v>
      </c>
      <c r="J162" s="11" t="s">
        <v>15</v>
      </c>
      <c r="K162" s="36" t="s">
        <v>16</v>
      </c>
    </row>
    <row r="163" spans="2:11">
      <c r="B163" s="17" t="s">
        <v>11</v>
      </c>
      <c r="C163" s="28">
        <v>2022</v>
      </c>
      <c r="D163" s="29" t="s">
        <v>43</v>
      </c>
      <c r="E163" t="s">
        <v>24</v>
      </c>
      <c r="G163" t="s">
        <v>30</v>
      </c>
      <c r="I163" s="30">
        <v>300</v>
      </c>
      <c r="J163" s="11" t="s">
        <v>15</v>
      </c>
      <c r="K163" s="36" t="s">
        <v>16</v>
      </c>
    </row>
    <row r="164" spans="2:11">
      <c r="B164" s="17" t="s">
        <v>11</v>
      </c>
      <c r="C164" s="28">
        <v>2022</v>
      </c>
      <c r="D164" s="29" t="s">
        <v>43</v>
      </c>
      <c r="E164" t="s">
        <v>13</v>
      </c>
      <c r="G164" s="41" t="s">
        <v>14</v>
      </c>
      <c r="I164" s="30">
        <v>23</v>
      </c>
      <c r="J164" s="11" t="s">
        <v>15</v>
      </c>
      <c r="K164" s="36" t="s">
        <v>16</v>
      </c>
    </row>
    <row r="165" spans="2:11">
      <c r="B165" s="17" t="s">
        <v>11</v>
      </c>
      <c r="C165" s="28">
        <v>2022</v>
      </c>
      <c r="D165" s="29" t="s">
        <v>43</v>
      </c>
      <c r="E165" t="s">
        <v>13</v>
      </c>
      <c r="G165" s="41" t="s">
        <v>14</v>
      </c>
      <c r="I165" s="30">
        <v>34</v>
      </c>
      <c r="J165" s="11" t="s">
        <v>15</v>
      </c>
      <c r="K165" s="36" t="s">
        <v>16</v>
      </c>
    </row>
    <row r="166" spans="2:11">
      <c r="B166" s="17" t="s">
        <v>11</v>
      </c>
      <c r="C166" s="28">
        <v>2022</v>
      </c>
      <c r="D166" s="29" t="s">
        <v>43</v>
      </c>
      <c r="E166" t="s">
        <v>13</v>
      </c>
      <c r="G166" s="41" t="s">
        <v>14</v>
      </c>
      <c r="I166" s="30">
        <v>11</v>
      </c>
      <c r="J166" s="11" t="s">
        <v>15</v>
      </c>
      <c r="K166" s="36" t="s">
        <v>16</v>
      </c>
    </row>
    <row r="167" spans="2:11">
      <c r="B167" s="17" t="s">
        <v>11</v>
      </c>
      <c r="C167" s="28">
        <v>2022</v>
      </c>
      <c r="D167" s="29" t="s">
        <v>43</v>
      </c>
      <c r="E167" t="s">
        <v>13</v>
      </c>
      <c r="G167" s="41" t="s">
        <v>14</v>
      </c>
      <c r="I167" s="30">
        <v>23</v>
      </c>
      <c r="J167" s="11" t="s">
        <v>15</v>
      </c>
      <c r="K167" s="36" t="s">
        <v>16</v>
      </c>
    </row>
    <row r="168" spans="2:11">
      <c r="B168" s="17" t="s">
        <v>11</v>
      </c>
      <c r="C168" s="28">
        <v>2022</v>
      </c>
      <c r="D168" s="29" t="s">
        <v>43</v>
      </c>
      <c r="E168" t="s">
        <v>13</v>
      </c>
      <c r="G168" s="41" t="s">
        <v>14</v>
      </c>
      <c r="I168" s="30">
        <v>23</v>
      </c>
      <c r="J168" s="11" t="s">
        <v>15</v>
      </c>
      <c r="K168" s="36" t="s">
        <v>16</v>
      </c>
    </row>
    <row r="169" spans="2:11">
      <c r="B169" s="17" t="s">
        <v>11</v>
      </c>
      <c r="C169" s="28">
        <v>2022</v>
      </c>
      <c r="D169" s="29" t="s">
        <v>43</v>
      </c>
      <c r="E169" t="s">
        <v>17</v>
      </c>
      <c r="G169" s="41" t="s">
        <v>14</v>
      </c>
      <c r="I169" s="30">
        <v>28</v>
      </c>
      <c r="J169" s="11" t="s">
        <v>15</v>
      </c>
      <c r="K169" s="36" t="s">
        <v>16</v>
      </c>
    </row>
    <row r="170" spans="2:11">
      <c r="B170" s="17" t="s">
        <v>11</v>
      </c>
      <c r="C170" s="27">
        <v>2022</v>
      </c>
      <c r="D170" s="27" t="s">
        <v>45</v>
      </c>
      <c r="E170" t="s">
        <v>17</v>
      </c>
      <c r="G170" s="41" t="s">
        <v>14</v>
      </c>
      <c r="I170" s="30">
        <v>41</v>
      </c>
      <c r="J170" s="11" t="s">
        <v>15</v>
      </c>
      <c r="K170" s="36" t="s">
        <v>16</v>
      </c>
    </row>
    <row r="171" spans="2:11">
      <c r="B171" s="17" t="s">
        <v>11</v>
      </c>
      <c r="C171" s="27">
        <v>2022</v>
      </c>
      <c r="D171" s="27" t="s">
        <v>45</v>
      </c>
      <c r="E171" t="s">
        <v>17</v>
      </c>
      <c r="G171" t="s">
        <v>20</v>
      </c>
      <c r="I171" s="30">
        <v>65495</v>
      </c>
      <c r="J171" s="11" t="s">
        <v>15</v>
      </c>
      <c r="K171" s="36" t="s">
        <v>16</v>
      </c>
    </row>
    <row r="172" spans="2:11">
      <c r="B172" s="17" t="s">
        <v>11</v>
      </c>
      <c r="C172" s="27">
        <v>2022</v>
      </c>
      <c r="D172" s="27" t="s">
        <v>45</v>
      </c>
      <c r="E172" t="s">
        <v>17</v>
      </c>
      <c r="G172" t="s">
        <v>46</v>
      </c>
      <c r="I172" s="30">
        <v>192000</v>
      </c>
      <c r="J172" s="11" t="s">
        <v>15</v>
      </c>
      <c r="K172" s="36" t="s">
        <v>16</v>
      </c>
    </row>
    <row r="173" spans="2:11">
      <c r="B173" s="17" t="s">
        <v>11</v>
      </c>
      <c r="C173" s="27">
        <v>2022</v>
      </c>
      <c r="D173" s="27" t="s">
        <v>45</v>
      </c>
      <c r="E173" t="s">
        <v>17</v>
      </c>
      <c r="G173" s="41" t="s">
        <v>14</v>
      </c>
      <c r="I173" s="30">
        <v>68.040000000000006</v>
      </c>
      <c r="J173" s="11" t="s">
        <v>15</v>
      </c>
      <c r="K173" s="36" t="s">
        <v>16</v>
      </c>
    </row>
    <row r="174" spans="2:11">
      <c r="B174" s="17" t="s">
        <v>11</v>
      </c>
      <c r="C174" s="26">
        <v>2022</v>
      </c>
      <c r="D174" s="26" t="s">
        <v>47</v>
      </c>
      <c r="E174" t="s">
        <v>17</v>
      </c>
      <c r="G174" s="26" t="s">
        <v>20</v>
      </c>
      <c r="I174" s="29">
        <v>153069.6</v>
      </c>
      <c r="J174" s="11" t="s">
        <v>15</v>
      </c>
      <c r="K174" s="36" t="s">
        <v>16</v>
      </c>
    </row>
    <row r="175" spans="2:11">
      <c r="B175" s="17" t="s">
        <v>11</v>
      </c>
      <c r="C175">
        <v>2022</v>
      </c>
      <c r="D175" s="26" t="s">
        <v>47</v>
      </c>
      <c r="E175" t="s">
        <v>17</v>
      </c>
      <c r="G175" s="31" t="s">
        <v>52</v>
      </c>
      <c r="I175" s="29">
        <v>138000</v>
      </c>
      <c r="J175" s="11" t="s">
        <v>15</v>
      </c>
      <c r="K175" s="36" t="s">
        <v>23</v>
      </c>
    </row>
    <row r="176" spans="2:11">
      <c r="B176" s="17" t="s">
        <v>11</v>
      </c>
      <c r="C176" s="26">
        <v>2022</v>
      </c>
      <c r="D176" s="26" t="s">
        <v>47</v>
      </c>
      <c r="E176" t="s">
        <v>17</v>
      </c>
      <c r="G176" s="41" t="s">
        <v>14</v>
      </c>
      <c r="I176" s="29">
        <v>41.4</v>
      </c>
      <c r="J176" s="11" t="s">
        <v>15</v>
      </c>
      <c r="K176" s="36" t="s">
        <v>16</v>
      </c>
    </row>
    <row r="177" spans="2:11">
      <c r="B177" s="17" t="s">
        <v>11</v>
      </c>
      <c r="C177">
        <v>2022</v>
      </c>
      <c r="D177" s="26" t="s">
        <v>47</v>
      </c>
      <c r="E177" t="s">
        <v>17</v>
      </c>
      <c r="G177" s="37" t="s">
        <v>25</v>
      </c>
      <c r="I177" s="29">
        <v>331</v>
      </c>
      <c r="J177" s="11" t="s">
        <v>15</v>
      </c>
      <c r="K177" s="36" t="s">
        <v>58</v>
      </c>
    </row>
    <row r="178" spans="2:11">
      <c r="B178" s="17" t="s">
        <v>11</v>
      </c>
      <c r="C178" s="26">
        <v>2022</v>
      </c>
      <c r="D178" s="26" t="s">
        <v>47</v>
      </c>
      <c r="E178" t="s">
        <v>17</v>
      </c>
      <c r="G178" s="40" t="s">
        <v>40</v>
      </c>
      <c r="I178" s="29">
        <v>1104</v>
      </c>
      <c r="J178" s="11" t="s">
        <v>15</v>
      </c>
      <c r="K178" s="36" t="s">
        <v>26</v>
      </c>
    </row>
    <row r="179" spans="2:11">
      <c r="B179" s="17" t="s">
        <v>11</v>
      </c>
      <c r="C179" s="26">
        <v>2022</v>
      </c>
      <c r="D179" s="26" t="s">
        <v>47</v>
      </c>
      <c r="E179" t="s">
        <v>17</v>
      </c>
      <c r="G179" s="42" t="s">
        <v>53</v>
      </c>
      <c r="I179" s="29">
        <v>538</v>
      </c>
      <c r="J179" s="11" t="s">
        <v>15</v>
      </c>
      <c r="K179" s="36" t="s">
        <v>16</v>
      </c>
    </row>
    <row r="180" spans="2:11">
      <c r="B180" s="17" t="s">
        <v>11</v>
      </c>
      <c r="C180">
        <v>2022</v>
      </c>
      <c r="D180" s="26" t="s">
        <v>47</v>
      </c>
      <c r="E180" t="s">
        <v>24</v>
      </c>
      <c r="G180" t="s">
        <v>46</v>
      </c>
      <c r="I180" s="29">
        <v>300000</v>
      </c>
      <c r="J180" s="11" t="s">
        <v>15</v>
      </c>
      <c r="K180" s="36" t="s">
        <v>16</v>
      </c>
    </row>
    <row r="181" spans="2:11">
      <c r="B181" s="17" t="s">
        <v>11</v>
      </c>
      <c r="C181" s="26">
        <v>2022</v>
      </c>
      <c r="D181" s="26" t="s">
        <v>47</v>
      </c>
      <c r="E181" t="s">
        <v>24</v>
      </c>
      <c r="G181" s="42" t="s">
        <v>53</v>
      </c>
      <c r="I181" s="29">
        <v>1140</v>
      </c>
      <c r="J181" s="11" t="s">
        <v>15</v>
      </c>
      <c r="K181" s="36" t="s">
        <v>16</v>
      </c>
    </row>
    <row r="182" spans="2:11">
      <c r="B182" s="17" t="s">
        <v>11</v>
      </c>
      <c r="C182" s="26">
        <v>2022</v>
      </c>
      <c r="D182" s="26" t="s">
        <v>47</v>
      </c>
      <c r="E182" t="s">
        <v>24</v>
      </c>
      <c r="G182" s="37" t="s">
        <v>25</v>
      </c>
      <c r="I182" s="29">
        <v>7500</v>
      </c>
      <c r="J182" s="11" t="s">
        <v>15</v>
      </c>
      <c r="K182" s="36" t="s">
        <v>16</v>
      </c>
    </row>
    <row r="183" spans="2:11">
      <c r="B183" s="17" t="s">
        <v>11</v>
      </c>
      <c r="C183" s="26">
        <v>2022</v>
      </c>
      <c r="D183" s="26" t="s">
        <v>47</v>
      </c>
      <c r="E183" t="s">
        <v>39</v>
      </c>
      <c r="G183" s="41" t="s">
        <v>14</v>
      </c>
      <c r="I183" s="29">
        <v>22.68</v>
      </c>
      <c r="J183" s="11" t="s">
        <v>15</v>
      </c>
      <c r="K183" s="36" t="s">
        <v>16</v>
      </c>
    </row>
    <row r="184" spans="2:11">
      <c r="B184" s="17" t="s">
        <v>11</v>
      </c>
      <c r="C184">
        <v>2022</v>
      </c>
      <c r="D184" s="26" t="s">
        <v>47</v>
      </c>
      <c r="E184" t="s">
        <v>13</v>
      </c>
      <c r="G184" s="41" t="s">
        <v>14</v>
      </c>
      <c r="I184" s="29">
        <v>45.36</v>
      </c>
      <c r="J184" s="11" t="s">
        <v>15</v>
      </c>
      <c r="K184" s="36" t="s">
        <v>16</v>
      </c>
    </row>
    <row r="185" spans="2:11">
      <c r="B185" s="17" t="s">
        <v>11</v>
      </c>
      <c r="C185" s="26">
        <v>2022</v>
      </c>
      <c r="D185" s="26" t="s">
        <v>49</v>
      </c>
      <c r="E185" t="s">
        <v>17</v>
      </c>
      <c r="G185" s="26" t="s">
        <v>20</v>
      </c>
      <c r="I185" s="30">
        <v>106977.60000000001</v>
      </c>
      <c r="J185" s="11" t="s">
        <v>15</v>
      </c>
      <c r="K185" s="36" t="s">
        <v>16</v>
      </c>
    </row>
    <row r="186" spans="2:11">
      <c r="B186" s="17" t="s">
        <v>11</v>
      </c>
      <c r="C186">
        <v>2022</v>
      </c>
      <c r="D186" s="26" t="s">
        <v>49</v>
      </c>
      <c r="E186" t="s">
        <v>17</v>
      </c>
      <c r="G186" s="26" t="s">
        <v>32</v>
      </c>
      <c r="I186" s="30">
        <v>267802.8</v>
      </c>
      <c r="J186" s="11" t="s">
        <v>15</v>
      </c>
      <c r="K186" s="36" t="s">
        <v>16</v>
      </c>
    </row>
    <row r="187" spans="2:11">
      <c r="B187" s="17" t="s">
        <v>11</v>
      </c>
      <c r="C187" s="26">
        <v>2022</v>
      </c>
      <c r="D187" s="26" t="s">
        <v>49</v>
      </c>
      <c r="E187" t="s">
        <v>39</v>
      </c>
      <c r="G187" s="42" t="s">
        <v>48</v>
      </c>
      <c r="I187" s="30">
        <v>34.020000000000003</v>
      </c>
      <c r="J187" s="11" t="s">
        <v>15</v>
      </c>
      <c r="K187" s="36" t="s">
        <v>16</v>
      </c>
    </row>
    <row r="188" spans="2:11">
      <c r="B188" s="17" t="s">
        <v>11</v>
      </c>
      <c r="C188">
        <v>2022</v>
      </c>
      <c r="D188" s="26" t="s">
        <v>49</v>
      </c>
      <c r="E188" t="s">
        <v>13</v>
      </c>
      <c r="G188" s="26" t="s">
        <v>59</v>
      </c>
      <c r="I188" s="30">
        <v>79.38</v>
      </c>
      <c r="J188" s="11" t="s">
        <v>15</v>
      </c>
      <c r="K188" s="36" t="s">
        <v>16</v>
      </c>
    </row>
    <row r="189" spans="2:11">
      <c r="B189" s="17" t="s">
        <v>11</v>
      </c>
      <c r="C189">
        <v>2023</v>
      </c>
      <c r="D189" t="s">
        <v>12</v>
      </c>
      <c r="E189" t="s">
        <v>17</v>
      </c>
      <c r="G189" t="s">
        <v>32</v>
      </c>
      <c r="I189">
        <v>47623.8</v>
      </c>
      <c r="J189" s="11" t="s">
        <v>15</v>
      </c>
      <c r="K189" s="36" t="s">
        <v>16</v>
      </c>
    </row>
    <row r="190" spans="2:11">
      <c r="B190" s="17" t="s">
        <v>11</v>
      </c>
      <c r="C190">
        <v>2023</v>
      </c>
      <c r="D190" t="s">
        <v>12</v>
      </c>
      <c r="E190" t="s">
        <v>17</v>
      </c>
      <c r="G190" t="s">
        <v>20</v>
      </c>
      <c r="I190">
        <v>70573.2</v>
      </c>
      <c r="J190" s="11" t="s">
        <v>15</v>
      </c>
      <c r="K190" s="36" t="s">
        <v>16</v>
      </c>
    </row>
    <row r="191" spans="2:11">
      <c r="B191" s="17" t="s">
        <v>11</v>
      </c>
      <c r="C191">
        <v>2023</v>
      </c>
      <c r="D191" t="s">
        <v>12</v>
      </c>
      <c r="E191" t="s">
        <v>17</v>
      </c>
      <c r="G191" s="41" t="s">
        <v>14</v>
      </c>
      <c r="I191">
        <v>41.4</v>
      </c>
      <c r="J191" s="11" t="s">
        <v>15</v>
      </c>
      <c r="K191" s="36" t="s">
        <v>16</v>
      </c>
    </row>
    <row r="192" spans="2:11">
      <c r="B192" s="17" t="s">
        <v>11</v>
      </c>
      <c r="C192">
        <v>2023</v>
      </c>
      <c r="D192" t="s">
        <v>12</v>
      </c>
      <c r="E192" t="s">
        <v>39</v>
      </c>
      <c r="G192" s="40" t="s">
        <v>57</v>
      </c>
      <c r="I192">
        <v>521</v>
      </c>
      <c r="J192" s="11" t="s">
        <v>15</v>
      </c>
      <c r="K192" s="36" t="s">
        <v>16</v>
      </c>
    </row>
    <row r="193" spans="2:11">
      <c r="B193" s="49" t="s">
        <v>11</v>
      </c>
      <c r="C193">
        <v>2023</v>
      </c>
      <c r="D193" t="s">
        <v>12</v>
      </c>
      <c r="E193" t="s">
        <v>13</v>
      </c>
      <c r="G193" s="41" t="s">
        <v>14</v>
      </c>
      <c r="I193">
        <v>11</v>
      </c>
      <c r="J193" s="11" t="s">
        <v>15</v>
      </c>
      <c r="K193" s="36" t="s">
        <v>16</v>
      </c>
    </row>
  </sheetData>
  <sheetProtection algorithmName="SHA-512" hashValue="mFx+lPyIpimKMMLTBTTQpFK0zQA47rG7MZ3XztXRc634OHfI7hCMk9yg4k1OwLP7SHstYoYVlbnYSeVyjS4m4Q==" saltValue="A4UlSl+z31ak548Z1oH0xQ=="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D4222-A8BC-41AA-BB2B-C5CAC68D844F}">
  <sheetPr>
    <tabColor theme="9" tint="0.39997558519241921"/>
  </sheetPr>
  <dimension ref="B2:M228"/>
  <sheetViews>
    <sheetView topLeftCell="A12" workbookViewId="0">
      <selection activeCell="E15" sqref="E15"/>
    </sheetView>
  </sheetViews>
  <sheetFormatPr baseColWidth="10" defaultColWidth="11.44140625" defaultRowHeight="14.4"/>
  <cols>
    <col min="2" max="4" width="11.5546875" customWidth="1"/>
    <col min="5" max="5" width="32.6640625" customWidth="1"/>
    <col min="6" max="6" width="27.44140625" customWidth="1"/>
    <col min="7" max="7" width="18.6640625" customWidth="1"/>
    <col min="8" max="8" width="30.33203125" customWidth="1"/>
    <col min="9" max="9" width="22.44140625" customWidth="1"/>
    <col min="10" max="10" width="13.5546875" customWidth="1"/>
    <col min="11" max="11" width="11.5546875" customWidth="1"/>
    <col min="12" max="12" width="13.33203125" customWidth="1"/>
    <col min="13" max="13" width="26.33203125" customWidth="1"/>
  </cols>
  <sheetData>
    <row r="2" spans="2:13" ht="69">
      <c r="B2" s="4" t="s">
        <v>0</v>
      </c>
      <c r="C2" s="4" t="s">
        <v>1</v>
      </c>
      <c r="D2" s="4" t="s">
        <v>2</v>
      </c>
      <c r="E2" s="5" t="s">
        <v>61</v>
      </c>
      <c r="F2" s="5" t="s">
        <v>62</v>
      </c>
      <c r="G2" s="5" t="s">
        <v>63</v>
      </c>
      <c r="H2" s="5" t="s">
        <v>64</v>
      </c>
      <c r="I2" s="5" t="s">
        <v>65</v>
      </c>
      <c r="J2" s="5" t="s">
        <v>66</v>
      </c>
      <c r="K2" s="5" t="s">
        <v>67</v>
      </c>
      <c r="L2" s="5" t="s">
        <v>8</v>
      </c>
      <c r="M2" s="5" t="s">
        <v>68</v>
      </c>
    </row>
    <row r="3" spans="2:13">
      <c r="B3" s="17" t="s">
        <v>11</v>
      </c>
      <c r="C3" s="16">
        <v>2020</v>
      </c>
      <c r="D3" s="17" t="s">
        <v>12</v>
      </c>
      <c r="E3" s="14" t="s">
        <v>69</v>
      </c>
      <c r="F3" s="12"/>
      <c r="G3" s="14" t="s">
        <v>70</v>
      </c>
      <c r="I3" s="18" t="s">
        <v>71</v>
      </c>
      <c r="K3" s="17">
        <v>48000</v>
      </c>
      <c r="L3" t="s">
        <v>15</v>
      </c>
      <c r="M3" t="s">
        <v>72</v>
      </c>
    </row>
    <row r="4" spans="2:13">
      <c r="B4" s="12" t="s">
        <v>11</v>
      </c>
      <c r="C4" s="13">
        <v>2020</v>
      </c>
      <c r="D4" s="12" t="s">
        <v>12</v>
      </c>
      <c r="E4" s="14" t="s">
        <v>74</v>
      </c>
      <c r="F4" s="12"/>
      <c r="G4" s="44" t="s">
        <v>75</v>
      </c>
      <c r="I4" s="18" t="s">
        <v>71</v>
      </c>
      <c r="K4" s="12">
        <v>73500</v>
      </c>
      <c r="L4" t="s">
        <v>15</v>
      </c>
      <c r="M4" t="s">
        <v>72</v>
      </c>
    </row>
    <row r="5" spans="2:13">
      <c r="B5" s="17" t="s">
        <v>11</v>
      </c>
      <c r="C5" s="16">
        <v>2020</v>
      </c>
      <c r="D5" s="17" t="s">
        <v>12</v>
      </c>
      <c r="E5" s="14" t="s">
        <v>81</v>
      </c>
      <c r="F5" s="12"/>
      <c r="G5" s="14" t="s">
        <v>77</v>
      </c>
      <c r="I5" s="32" t="s">
        <v>82</v>
      </c>
      <c r="K5" s="17">
        <v>16560</v>
      </c>
      <c r="L5" t="s">
        <v>15</v>
      </c>
      <c r="M5" t="s">
        <v>72</v>
      </c>
    </row>
    <row r="6" spans="2:13">
      <c r="B6" s="17" t="s">
        <v>11</v>
      </c>
      <c r="C6" s="16">
        <v>2020</v>
      </c>
      <c r="D6" s="17" t="s">
        <v>12</v>
      </c>
      <c r="E6" s="14" t="s">
        <v>83</v>
      </c>
      <c r="F6" s="12"/>
      <c r="G6" s="14" t="s">
        <v>77</v>
      </c>
      <c r="I6" s="45" t="s">
        <v>84</v>
      </c>
      <c r="K6" s="17">
        <v>7200</v>
      </c>
      <c r="L6" t="s">
        <v>15</v>
      </c>
      <c r="M6" t="s">
        <v>72</v>
      </c>
    </row>
    <row r="7" spans="2:13">
      <c r="B7" s="12" t="s">
        <v>11</v>
      </c>
      <c r="C7" s="13">
        <v>2020</v>
      </c>
      <c r="D7" s="12" t="s">
        <v>12</v>
      </c>
      <c r="E7" s="14" t="s">
        <v>76</v>
      </c>
      <c r="F7" s="12"/>
      <c r="G7" s="14" t="s">
        <v>77</v>
      </c>
      <c r="I7" s="18" t="s">
        <v>71</v>
      </c>
      <c r="K7" s="12">
        <v>3375</v>
      </c>
      <c r="L7" t="s">
        <v>15</v>
      </c>
      <c r="M7" t="s">
        <v>72</v>
      </c>
    </row>
    <row r="8" spans="2:13">
      <c r="B8" s="17" t="s">
        <v>11</v>
      </c>
      <c r="C8" s="16">
        <v>2020</v>
      </c>
      <c r="D8" s="17" t="s">
        <v>12</v>
      </c>
      <c r="E8" s="14" t="s">
        <v>85</v>
      </c>
      <c r="F8" s="12"/>
      <c r="G8" s="46" t="s">
        <v>86</v>
      </c>
      <c r="I8" s="18" t="s">
        <v>87</v>
      </c>
      <c r="K8" s="17">
        <v>268950</v>
      </c>
      <c r="L8" s="11" t="s">
        <v>88</v>
      </c>
      <c r="M8" t="s">
        <v>72</v>
      </c>
    </row>
    <row r="9" spans="2:13">
      <c r="B9" s="17" t="s">
        <v>11</v>
      </c>
      <c r="C9" s="16">
        <v>2020</v>
      </c>
      <c r="D9" s="17" t="s">
        <v>12</v>
      </c>
      <c r="E9" s="14" t="s">
        <v>92</v>
      </c>
      <c r="F9" s="12"/>
      <c r="G9" s="14" t="s">
        <v>93</v>
      </c>
      <c r="I9" s="15" t="s">
        <v>16</v>
      </c>
      <c r="K9" s="17">
        <v>50000</v>
      </c>
      <c r="L9" t="s">
        <v>15</v>
      </c>
      <c r="M9" t="s">
        <v>91</v>
      </c>
    </row>
    <row r="10" spans="2:13">
      <c r="B10" s="17" t="s">
        <v>11</v>
      </c>
      <c r="C10" s="16">
        <v>2020</v>
      </c>
      <c r="D10" s="17" t="s">
        <v>21</v>
      </c>
      <c r="E10" s="14" t="s">
        <v>69</v>
      </c>
      <c r="F10" s="12"/>
      <c r="G10" s="14" t="s">
        <v>70</v>
      </c>
      <c r="I10" s="18" t="s">
        <v>99</v>
      </c>
      <c r="K10" s="17">
        <v>48000</v>
      </c>
      <c r="L10" t="s">
        <v>15</v>
      </c>
      <c r="M10" t="s">
        <v>72</v>
      </c>
    </row>
    <row r="11" spans="2:13">
      <c r="B11" s="12" t="s">
        <v>11</v>
      </c>
      <c r="C11" s="13">
        <v>2020</v>
      </c>
      <c r="D11" s="12" t="s">
        <v>21</v>
      </c>
      <c r="E11" s="14" t="s">
        <v>69</v>
      </c>
      <c r="F11" s="12"/>
      <c r="G11" s="14" t="s">
        <v>100</v>
      </c>
      <c r="I11" s="18" t="s">
        <v>99</v>
      </c>
      <c r="K11" s="12">
        <v>40000</v>
      </c>
      <c r="L11" t="s">
        <v>15</v>
      </c>
      <c r="M11" t="s">
        <v>72</v>
      </c>
    </row>
    <row r="12" spans="2:13">
      <c r="B12" s="17" t="s">
        <v>11</v>
      </c>
      <c r="C12" s="16">
        <v>2020</v>
      </c>
      <c r="D12" s="17" t="s">
        <v>21</v>
      </c>
      <c r="E12" s="14" t="s">
        <v>78</v>
      </c>
      <c r="F12" s="12"/>
      <c r="G12" s="47" t="s">
        <v>75</v>
      </c>
      <c r="I12" s="18" t="s">
        <v>71</v>
      </c>
      <c r="K12" s="17">
        <v>48000</v>
      </c>
      <c r="L12" t="s">
        <v>15</v>
      </c>
      <c r="M12" t="s">
        <v>72</v>
      </c>
    </row>
    <row r="13" spans="2:13">
      <c r="B13" s="12" t="s">
        <v>11</v>
      </c>
      <c r="C13" s="13">
        <v>2020</v>
      </c>
      <c r="D13" s="12" t="s">
        <v>21</v>
      </c>
      <c r="E13" s="14" t="s">
        <v>74</v>
      </c>
      <c r="F13" s="12"/>
      <c r="G13" s="44" t="s">
        <v>75</v>
      </c>
      <c r="I13" s="18" t="s">
        <v>71</v>
      </c>
      <c r="K13" s="12">
        <v>49500</v>
      </c>
      <c r="L13" t="s">
        <v>15</v>
      </c>
      <c r="M13" t="s">
        <v>72</v>
      </c>
    </row>
    <row r="14" spans="2:13">
      <c r="B14" s="17" t="s">
        <v>11</v>
      </c>
      <c r="C14" s="16">
        <v>2020</v>
      </c>
      <c r="D14" s="17" t="s">
        <v>21</v>
      </c>
      <c r="E14" s="14" t="s">
        <v>102</v>
      </c>
      <c r="F14" s="12"/>
      <c r="G14" s="14" t="s">
        <v>103</v>
      </c>
      <c r="I14" s="32" t="s">
        <v>104</v>
      </c>
      <c r="K14" s="17">
        <v>67200</v>
      </c>
      <c r="L14" t="s">
        <v>15</v>
      </c>
      <c r="M14" t="s">
        <v>72</v>
      </c>
    </row>
    <row r="15" spans="2:13">
      <c r="B15" s="12" t="s">
        <v>11</v>
      </c>
      <c r="C15" s="13">
        <v>2020</v>
      </c>
      <c r="D15" s="12" t="s">
        <v>21</v>
      </c>
      <c r="E15" s="14" t="s">
        <v>83</v>
      </c>
      <c r="F15" s="12"/>
      <c r="G15" s="14" t="s">
        <v>77</v>
      </c>
      <c r="I15" s="45" t="s">
        <v>84</v>
      </c>
      <c r="K15" s="12">
        <v>7200</v>
      </c>
      <c r="L15" t="s">
        <v>15</v>
      </c>
      <c r="M15" t="s">
        <v>72</v>
      </c>
    </row>
    <row r="16" spans="2:13">
      <c r="B16" s="17" t="s">
        <v>11</v>
      </c>
      <c r="C16" s="16">
        <v>2020</v>
      </c>
      <c r="D16" s="17" t="s">
        <v>21</v>
      </c>
      <c r="E16" s="14" t="s">
        <v>105</v>
      </c>
      <c r="F16" s="12"/>
      <c r="G16" s="14" t="s">
        <v>106</v>
      </c>
      <c r="I16" s="15" t="s">
        <v>107</v>
      </c>
      <c r="K16" s="17">
        <v>40000</v>
      </c>
      <c r="L16" s="11" t="s">
        <v>8</v>
      </c>
      <c r="M16" t="s">
        <v>72</v>
      </c>
    </row>
    <row r="17" spans="2:13">
      <c r="B17" s="12" t="s">
        <v>11</v>
      </c>
      <c r="C17" s="13">
        <v>2020</v>
      </c>
      <c r="D17" s="12" t="s">
        <v>21</v>
      </c>
      <c r="E17" s="14" t="s">
        <v>92</v>
      </c>
      <c r="F17" s="12"/>
      <c r="G17" s="14" t="s">
        <v>93</v>
      </c>
      <c r="I17" s="15" t="s">
        <v>16</v>
      </c>
      <c r="K17" s="12">
        <v>50000</v>
      </c>
      <c r="L17" t="s">
        <v>15</v>
      </c>
      <c r="M17" t="s">
        <v>91</v>
      </c>
    </row>
    <row r="18" spans="2:13">
      <c r="B18" s="17" t="s">
        <v>11</v>
      </c>
      <c r="C18" s="16">
        <v>2020</v>
      </c>
      <c r="D18" s="17" t="s">
        <v>27</v>
      </c>
      <c r="E18" s="14" t="s">
        <v>81</v>
      </c>
      <c r="F18" s="12"/>
      <c r="G18" s="14" t="s">
        <v>77</v>
      </c>
      <c r="I18" s="32" t="s">
        <v>82</v>
      </c>
      <c r="K18" s="17">
        <v>47840</v>
      </c>
      <c r="L18" t="s">
        <v>15</v>
      </c>
      <c r="M18" t="s">
        <v>72</v>
      </c>
    </row>
    <row r="19" spans="2:13">
      <c r="B19" s="12" t="s">
        <v>11</v>
      </c>
      <c r="C19" s="13">
        <v>2020</v>
      </c>
      <c r="D19" s="12" t="s">
        <v>27</v>
      </c>
      <c r="E19" s="14" t="s">
        <v>109</v>
      </c>
      <c r="F19" s="12"/>
      <c r="G19" s="14" t="s">
        <v>77</v>
      </c>
      <c r="I19" s="45" t="s">
        <v>110</v>
      </c>
      <c r="K19" s="12">
        <v>17250</v>
      </c>
      <c r="L19" t="s">
        <v>15</v>
      </c>
      <c r="M19" t="s">
        <v>72</v>
      </c>
    </row>
    <row r="20" spans="2:13">
      <c r="B20" s="17" t="s">
        <v>11</v>
      </c>
      <c r="C20" s="16">
        <v>2020</v>
      </c>
      <c r="D20" s="17" t="s">
        <v>27</v>
      </c>
      <c r="E20" s="14" t="s">
        <v>102</v>
      </c>
      <c r="F20" s="12"/>
      <c r="G20" s="14" t="s">
        <v>103</v>
      </c>
      <c r="I20" s="32" t="s">
        <v>104</v>
      </c>
      <c r="K20" s="17">
        <v>89600</v>
      </c>
      <c r="L20" t="s">
        <v>15</v>
      </c>
      <c r="M20" t="s">
        <v>72</v>
      </c>
    </row>
    <row r="21" spans="2:13">
      <c r="B21" s="17" t="s">
        <v>11</v>
      </c>
      <c r="C21" s="16">
        <v>2020</v>
      </c>
      <c r="D21" s="17" t="s">
        <v>28</v>
      </c>
      <c r="E21" s="14" t="s">
        <v>74</v>
      </c>
      <c r="F21" s="12"/>
      <c r="G21" s="44" t="s">
        <v>75</v>
      </c>
      <c r="I21" s="18" t="s">
        <v>71</v>
      </c>
      <c r="K21" s="17">
        <v>99000</v>
      </c>
      <c r="L21" t="s">
        <v>15</v>
      </c>
      <c r="M21" t="s">
        <v>72</v>
      </c>
    </row>
    <row r="22" spans="2:13">
      <c r="B22" s="12" t="s">
        <v>11</v>
      </c>
      <c r="C22" s="13">
        <v>2020</v>
      </c>
      <c r="D22" s="12" t="s">
        <v>28</v>
      </c>
      <c r="E22" s="14" t="s">
        <v>78</v>
      </c>
      <c r="F22" s="12"/>
      <c r="G22" s="47" t="s">
        <v>75</v>
      </c>
      <c r="I22" s="18" t="s">
        <v>71</v>
      </c>
      <c r="K22" s="12">
        <v>48000</v>
      </c>
      <c r="L22" t="s">
        <v>15</v>
      </c>
      <c r="M22" t="s">
        <v>72</v>
      </c>
    </row>
    <row r="23" spans="2:13">
      <c r="B23" s="17" t="s">
        <v>11</v>
      </c>
      <c r="C23" s="16">
        <v>2020</v>
      </c>
      <c r="D23" s="17" t="s">
        <v>28</v>
      </c>
      <c r="E23" s="14" t="s">
        <v>92</v>
      </c>
      <c r="F23" s="12"/>
      <c r="G23" s="14" t="s">
        <v>93</v>
      </c>
      <c r="I23" s="15" t="s">
        <v>16</v>
      </c>
      <c r="K23" s="17">
        <v>75000</v>
      </c>
      <c r="L23" t="s">
        <v>15</v>
      </c>
      <c r="M23" t="s">
        <v>91</v>
      </c>
    </row>
    <row r="24" spans="2:13">
      <c r="B24" s="12" t="s">
        <v>11</v>
      </c>
      <c r="C24" s="13">
        <v>2020</v>
      </c>
      <c r="D24" s="12" t="s">
        <v>28</v>
      </c>
      <c r="E24" s="14" t="s">
        <v>92</v>
      </c>
      <c r="F24" s="12"/>
      <c r="G24" s="14" t="s">
        <v>94</v>
      </c>
      <c r="I24" s="15" t="s">
        <v>16</v>
      </c>
      <c r="K24" s="12">
        <v>3500</v>
      </c>
      <c r="L24" t="s">
        <v>15</v>
      </c>
      <c r="M24" t="s">
        <v>91</v>
      </c>
    </row>
    <row r="25" spans="2:13">
      <c r="B25" s="17" t="s">
        <v>11</v>
      </c>
      <c r="C25" s="16">
        <v>2020</v>
      </c>
      <c r="D25" s="17" t="s">
        <v>28</v>
      </c>
      <c r="E25" s="14" t="s">
        <v>92</v>
      </c>
      <c r="F25" s="12"/>
      <c r="G25" s="14" t="s">
        <v>95</v>
      </c>
      <c r="I25" s="15" t="s">
        <v>16</v>
      </c>
      <c r="K25" s="17">
        <v>3500</v>
      </c>
      <c r="L25" t="s">
        <v>15</v>
      </c>
      <c r="M25" t="s">
        <v>91</v>
      </c>
    </row>
    <row r="26" spans="2:13">
      <c r="B26" s="12" t="s">
        <v>11</v>
      </c>
      <c r="C26" s="13">
        <v>2020</v>
      </c>
      <c r="D26" s="12" t="s">
        <v>28</v>
      </c>
      <c r="E26" s="14" t="s">
        <v>105</v>
      </c>
      <c r="F26" s="12"/>
      <c r="G26" s="14" t="s">
        <v>106</v>
      </c>
      <c r="I26" s="15" t="s">
        <v>107</v>
      </c>
      <c r="K26" s="12">
        <v>20000</v>
      </c>
      <c r="L26" s="11" t="s">
        <v>8</v>
      </c>
      <c r="M26" t="s">
        <v>72</v>
      </c>
    </row>
    <row r="27" spans="2:13">
      <c r="B27" s="17" t="s">
        <v>11</v>
      </c>
      <c r="C27" s="16">
        <v>2020</v>
      </c>
      <c r="D27" s="17" t="s">
        <v>28</v>
      </c>
      <c r="E27" s="14" t="s">
        <v>85</v>
      </c>
      <c r="F27" s="12"/>
      <c r="G27" s="14" t="s">
        <v>111</v>
      </c>
      <c r="I27" s="15" t="s">
        <v>112</v>
      </c>
      <c r="K27" s="17">
        <v>144779.4</v>
      </c>
      <c r="L27" s="11" t="s">
        <v>88</v>
      </c>
      <c r="M27" t="s">
        <v>72</v>
      </c>
    </row>
    <row r="28" spans="2:13">
      <c r="B28" s="17" t="s">
        <v>11</v>
      </c>
      <c r="C28" s="16">
        <v>2020</v>
      </c>
      <c r="D28" s="17" t="s">
        <v>31</v>
      </c>
      <c r="E28" s="14" t="s">
        <v>69</v>
      </c>
      <c r="F28" s="12"/>
      <c r="G28" s="14" t="s">
        <v>100</v>
      </c>
      <c r="I28" s="18" t="s">
        <v>99</v>
      </c>
      <c r="K28" s="17">
        <v>140000</v>
      </c>
      <c r="L28" t="s">
        <v>15</v>
      </c>
      <c r="M28" t="s">
        <v>72</v>
      </c>
    </row>
    <row r="29" spans="2:13">
      <c r="B29" s="12" t="s">
        <v>11</v>
      </c>
      <c r="C29" s="13">
        <v>2020</v>
      </c>
      <c r="D29" s="12" t="s">
        <v>31</v>
      </c>
      <c r="E29" s="14" t="s">
        <v>69</v>
      </c>
      <c r="F29" s="12"/>
      <c r="G29" s="14" t="s">
        <v>101</v>
      </c>
      <c r="I29" s="18" t="s">
        <v>99</v>
      </c>
      <c r="K29" s="12">
        <v>20000</v>
      </c>
      <c r="L29" t="s">
        <v>15</v>
      </c>
      <c r="M29" t="s">
        <v>72</v>
      </c>
    </row>
    <row r="30" spans="2:13">
      <c r="B30" s="17" t="s">
        <v>11</v>
      </c>
      <c r="C30" s="16">
        <v>2020</v>
      </c>
      <c r="D30" s="17" t="s">
        <v>31</v>
      </c>
      <c r="E30" s="14" t="s">
        <v>74</v>
      </c>
      <c r="F30" s="12"/>
      <c r="G30" s="12" t="s">
        <v>113</v>
      </c>
      <c r="I30" s="15" t="s">
        <v>114</v>
      </c>
      <c r="K30" s="17">
        <v>50000</v>
      </c>
      <c r="L30" t="s">
        <v>15</v>
      </c>
      <c r="M30" t="s">
        <v>72</v>
      </c>
    </row>
    <row r="31" spans="2:13">
      <c r="B31" s="12" t="s">
        <v>11</v>
      </c>
      <c r="C31" s="13">
        <v>2020</v>
      </c>
      <c r="D31" s="12" t="s">
        <v>31</v>
      </c>
      <c r="E31" s="14" t="s">
        <v>102</v>
      </c>
      <c r="F31" s="12"/>
      <c r="G31" s="14" t="s">
        <v>103</v>
      </c>
      <c r="I31" s="32" t="s">
        <v>104</v>
      </c>
      <c r="K31" s="12">
        <v>67200</v>
      </c>
      <c r="L31" t="s">
        <v>15</v>
      </c>
      <c r="M31" t="s">
        <v>72</v>
      </c>
    </row>
    <row r="32" spans="2:13">
      <c r="B32" s="17" t="s">
        <v>11</v>
      </c>
      <c r="C32" s="16">
        <v>2020</v>
      </c>
      <c r="D32" s="17" t="s">
        <v>31</v>
      </c>
      <c r="E32" s="14" t="s">
        <v>78</v>
      </c>
      <c r="F32" s="12"/>
      <c r="G32" s="47" t="s">
        <v>75</v>
      </c>
      <c r="I32" s="18" t="s">
        <v>71</v>
      </c>
      <c r="K32" s="17">
        <v>48000</v>
      </c>
      <c r="L32" t="s">
        <v>15</v>
      </c>
      <c r="M32" t="s">
        <v>72</v>
      </c>
    </row>
    <row r="33" spans="2:13">
      <c r="B33" s="12" t="s">
        <v>11</v>
      </c>
      <c r="C33" s="13">
        <v>2020</v>
      </c>
      <c r="D33" s="12" t="s">
        <v>31</v>
      </c>
      <c r="E33" s="14" t="s">
        <v>83</v>
      </c>
      <c r="F33" s="12"/>
      <c r="G33" s="14" t="s">
        <v>77</v>
      </c>
      <c r="I33" s="45" t="s">
        <v>84</v>
      </c>
      <c r="K33" s="12">
        <v>7200</v>
      </c>
      <c r="L33" t="s">
        <v>15</v>
      </c>
      <c r="M33" t="s">
        <v>72</v>
      </c>
    </row>
    <row r="34" spans="2:13">
      <c r="B34" s="17" t="s">
        <v>11</v>
      </c>
      <c r="C34" s="16">
        <v>2020</v>
      </c>
      <c r="D34" s="17" t="s">
        <v>31</v>
      </c>
      <c r="E34" s="14" t="s">
        <v>76</v>
      </c>
      <c r="F34" s="12"/>
      <c r="G34" s="14" t="s">
        <v>77</v>
      </c>
      <c r="I34" s="18" t="s">
        <v>71</v>
      </c>
      <c r="K34" s="17">
        <v>3375</v>
      </c>
      <c r="L34" t="s">
        <v>15</v>
      </c>
      <c r="M34" t="s">
        <v>72</v>
      </c>
    </row>
    <row r="35" spans="2:13">
      <c r="B35" s="12" t="s">
        <v>11</v>
      </c>
      <c r="C35" s="13">
        <v>2020</v>
      </c>
      <c r="D35" s="12" t="s">
        <v>31</v>
      </c>
      <c r="E35" s="14" t="s">
        <v>92</v>
      </c>
      <c r="F35" s="12"/>
      <c r="G35" s="14" t="s">
        <v>93</v>
      </c>
      <c r="I35" s="15" t="s">
        <v>16</v>
      </c>
      <c r="K35" s="12">
        <v>60000</v>
      </c>
      <c r="L35" t="s">
        <v>15</v>
      </c>
      <c r="M35" t="s">
        <v>91</v>
      </c>
    </row>
    <row r="36" spans="2:13">
      <c r="B36" s="17" t="s">
        <v>11</v>
      </c>
      <c r="C36" s="16">
        <v>2020</v>
      </c>
      <c r="D36" s="17" t="s">
        <v>31</v>
      </c>
      <c r="E36" s="14" t="s">
        <v>105</v>
      </c>
      <c r="F36" s="12"/>
      <c r="G36" s="14" t="s">
        <v>106</v>
      </c>
      <c r="I36" s="15" t="s">
        <v>107</v>
      </c>
      <c r="K36" s="17">
        <v>10000</v>
      </c>
      <c r="L36" s="11" t="s">
        <v>8</v>
      </c>
      <c r="M36" t="s">
        <v>72</v>
      </c>
    </row>
    <row r="37" spans="2:13">
      <c r="B37" s="12" t="s">
        <v>11</v>
      </c>
      <c r="C37" s="13">
        <v>2020</v>
      </c>
      <c r="D37" s="12" t="s">
        <v>31</v>
      </c>
      <c r="E37" s="14" t="s">
        <v>108</v>
      </c>
      <c r="F37" s="12"/>
      <c r="G37" s="14" t="s">
        <v>106</v>
      </c>
      <c r="I37" s="15" t="s">
        <v>107</v>
      </c>
      <c r="K37" s="12">
        <v>10000</v>
      </c>
      <c r="L37" s="11" t="s">
        <v>8</v>
      </c>
      <c r="M37" t="s">
        <v>72</v>
      </c>
    </row>
    <row r="38" spans="2:13">
      <c r="B38" s="17" t="s">
        <v>11</v>
      </c>
      <c r="C38" s="16">
        <v>2020</v>
      </c>
      <c r="D38" s="12" t="s">
        <v>33</v>
      </c>
      <c r="E38" s="14" t="s">
        <v>81</v>
      </c>
      <c r="F38" s="12"/>
      <c r="G38" s="14" t="s">
        <v>77</v>
      </c>
      <c r="I38" s="32" t="s">
        <v>82</v>
      </c>
      <c r="K38" s="17">
        <v>47840</v>
      </c>
      <c r="L38" t="s">
        <v>15</v>
      </c>
      <c r="M38" t="s">
        <v>72</v>
      </c>
    </row>
    <row r="39" spans="2:13">
      <c r="B39" s="12" t="s">
        <v>11</v>
      </c>
      <c r="C39" s="13">
        <v>2020</v>
      </c>
      <c r="D39" s="12" t="s">
        <v>33</v>
      </c>
      <c r="E39" s="14" t="s">
        <v>83</v>
      </c>
      <c r="F39" s="12"/>
      <c r="G39" s="14" t="s">
        <v>77</v>
      </c>
      <c r="I39" s="45" t="s">
        <v>84</v>
      </c>
      <c r="K39" s="12">
        <v>2800</v>
      </c>
      <c r="L39" t="s">
        <v>15</v>
      </c>
      <c r="M39" t="s">
        <v>72</v>
      </c>
    </row>
    <row r="40" spans="2:13">
      <c r="B40" s="17" t="s">
        <v>11</v>
      </c>
      <c r="C40" s="16">
        <v>2020</v>
      </c>
      <c r="D40" s="12" t="s">
        <v>33</v>
      </c>
      <c r="E40" s="14" t="s">
        <v>79</v>
      </c>
      <c r="F40" s="12"/>
      <c r="G40" s="14" t="s">
        <v>77</v>
      </c>
      <c r="I40" s="18" t="s">
        <v>71</v>
      </c>
      <c r="K40" s="17">
        <v>3500</v>
      </c>
      <c r="L40" t="s">
        <v>15</v>
      </c>
      <c r="M40" t="s">
        <v>72</v>
      </c>
    </row>
    <row r="41" spans="2:13">
      <c r="B41" s="12" t="s">
        <v>11</v>
      </c>
      <c r="C41" s="13">
        <v>2020</v>
      </c>
      <c r="D41" s="12" t="s">
        <v>33</v>
      </c>
      <c r="E41" s="14" t="s">
        <v>79</v>
      </c>
      <c r="F41" s="12"/>
      <c r="G41" s="14" t="s">
        <v>80</v>
      </c>
      <c r="I41" s="18" t="s">
        <v>71</v>
      </c>
      <c r="K41" s="12">
        <v>975</v>
      </c>
      <c r="L41" t="s">
        <v>15</v>
      </c>
      <c r="M41" t="s">
        <v>72</v>
      </c>
    </row>
    <row r="42" spans="2:13">
      <c r="B42" s="17" t="s">
        <v>11</v>
      </c>
      <c r="C42" s="16">
        <v>2020</v>
      </c>
      <c r="D42" s="12" t="s">
        <v>33</v>
      </c>
      <c r="E42" s="14" t="s">
        <v>109</v>
      </c>
      <c r="F42" s="12"/>
      <c r="G42" s="14" t="s">
        <v>80</v>
      </c>
      <c r="I42" s="18" t="s">
        <v>110</v>
      </c>
      <c r="K42" s="17">
        <v>2000</v>
      </c>
      <c r="L42" t="s">
        <v>15</v>
      </c>
      <c r="M42" t="s">
        <v>72</v>
      </c>
    </row>
    <row r="43" spans="2:13">
      <c r="B43" s="12" t="s">
        <v>11</v>
      </c>
      <c r="C43" s="13">
        <v>2020</v>
      </c>
      <c r="D43" s="12" t="s">
        <v>33</v>
      </c>
      <c r="E43" s="14" t="s">
        <v>78</v>
      </c>
      <c r="F43" s="12"/>
      <c r="G43" s="47" t="s">
        <v>75</v>
      </c>
      <c r="I43" s="18" t="s">
        <v>71</v>
      </c>
      <c r="K43" s="12">
        <v>48000</v>
      </c>
      <c r="L43" t="s">
        <v>15</v>
      </c>
      <c r="M43" t="s">
        <v>72</v>
      </c>
    </row>
    <row r="44" spans="2:13">
      <c r="B44" s="17" t="s">
        <v>11</v>
      </c>
      <c r="C44" s="16">
        <v>2020</v>
      </c>
      <c r="D44" s="12" t="s">
        <v>33</v>
      </c>
      <c r="E44" s="14" t="s">
        <v>92</v>
      </c>
      <c r="F44" s="12"/>
      <c r="G44" s="14" t="s">
        <v>93</v>
      </c>
      <c r="I44" s="15" t="s">
        <v>16</v>
      </c>
      <c r="K44" s="17">
        <v>45000</v>
      </c>
      <c r="L44" t="s">
        <v>15</v>
      </c>
      <c r="M44" t="s">
        <v>91</v>
      </c>
    </row>
    <row r="45" spans="2:13">
      <c r="B45" s="12" t="s">
        <v>11</v>
      </c>
      <c r="C45" s="13">
        <v>2020</v>
      </c>
      <c r="D45" s="12" t="s">
        <v>33</v>
      </c>
      <c r="E45" s="14" t="s">
        <v>105</v>
      </c>
      <c r="F45" s="12"/>
      <c r="G45" s="14" t="s">
        <v>106</v>
      </c>
      <c r="I45" s="15" t="s">
        <v>107</v>
      </c>
      <c r="K45" s="12">
        <v>12000</v>
      </c>
      <c r="L45" s="11" t="s">
        <v>8</v>
      </c>
      <c r="M45" t="s">
        <v>72</v>
      </c>
    </row>
    <row r="46" spans="2:13">
      <c r="B46" s="17" t="s">
        <v>11</v>
      </c>
      <c r="C46" s="16">
        <v>2020</v>
      </c>
      <c r="D46" s="12" t="s">
        <v>33</v>
      </c>
      <c r="E46" s="14" t="s">
        <v>108</v>
      </c>
      <c r="F46" s="12"/>
      <c r="G46" s="14" t="s">
        <v>106</v>
      </c>
      <c r="I46" s="15" t="s">
        <v>107</v>
      </c>
      <c r="K46" s="17">
        <v>8188</v>
      </c>
      <c r="L46" s="11" t="s">
        <v>8</v>
      </c>
      <c r="M46" t="s">
        <v>72</v>
      </c>
    </row>
    <row r="47" spans="2:13">
      <c r="B47" s="17" t="s">
        <v>11</v>
      </c>
      <c r="C47" s="16">
        <v>2020</v>
      </c>
      <c r="D47" t="s">
        <v>34</v>
      </c>
      <c r="E47" s="14" t="s">
        <v>69</v>
      </c>
      <c r="F47" s="12"/>
      <c r="G47" s="14" t="s">
        <v>70</v>
      </c>
      <c r="I47" s="18" t="s">
        <v>99</v>
      </c>
      <c r="K47" s="17">
        <v>24000</v>
      </c>
      <c r="L47" t="s">
        <v>15</v>
      </c>
      <c r="M47" t="s">
        <v>72</v>
      </c>
    </row>
    <row r="48" spans="2:13">
      <c r="B48" s="12" t="s">
        <v>11</v>
      </c>
      <c r="C48" s="13">
        <v>2020</v>
      </c>
      <c r="D48" t="s">
        <v>34</v>
      </c>
      <c r="E48" s="14" t="s">
        <v>76</v>
      </c>
      <c r="F48" s="12"/>
      <c r="G48" s="14" t="s">
        <v>77</v>
      </c>
      <c r="I48" s="18" t="s">
        <v>71</v>
      </c>
      <c r="K48" s="12">
        <v>20250</v>
      </c>
      <c r="L48" t="s">
        <v>15</v>
      </c>
      <c r="M48" t="s">
        <v>72</v>
      </c>
    </row>
    <row r="49" spans="2:13">
      <c r="B49" s="17" t="s">
        <v>11</v>
      </c>
      <c r="C49" s="16">
        <v>2020</v>
      </c>
      <c r="D49" t="s">
        <v>34</v>
      </c>
      <c r="E49" s="14" t="s">
        <v>81</v>
      </c>
      <c r="F49" s="12"/>
      <c r="G49" s="14" t="s">
        <v>77</v>
      </c>
      <c r="I49" s="32" t="s">
        <v>82</v>
      </c>
      <c r="K49" s="17">
        <v>23920</v>
      </c>
      <c r="L49" t="s">
        <v>15</v>
      </c>
      <c r="M49" t="s">
        <v>72</v>
      </c>
    </row>
    <row r="50" spans="2:13">
      <c r="B50" s="12" t="s">
        <v>11</v>
      </c>
      <c r="C50" s="13">
        <v>2020</v>
      </c>
      <c r="D50" t="s">
        <v>34</v>
      </c>
      <c r="E50" s="14" t="s">
        <v>78</v>
      </c>
      <c r="F50" s="12"/>
      <c r="G50" s="47" t="s">
        <v>75</v>
      </c>
      <c r="I50" s="18" t="s">
        <v>71</v>
      </c>
      <c r="K50" s="12">
        <v>72000</v>
      </c>
      <c r="L50" t="s">
        <v>15</v>
      </c>
      <c r="M50" t="s">
        <v>72</v>
      </c>
    </row>
    <row r="51" spans="2:13">
      <c r="B51" s="17" t="s">
        <v>11</v>
      </c>
      <c r="C51" s="16">
        <v>2020</v>
      </c>
      <c r="D51" t="s">
        <v>34</v>
      </c>
      <c r="E51" s="14" t="s">
        <v>74</v>
      </c>
      <c r="F51" s="12"/>
      <c r="G51" s="12" t="s">
        <v>113</v>
      </c>
      <c r="I51" s="15" t="s">
        <v>114</v>
      </c>
      <c r="K51" s="17">
        <v>50000</v>
      </c>
      <c r="L51" t="s">
        <v>15</v>
      </c>
      <c r="M51" t="s">
        <v>72</v>
      </c>
    </row>
    <row r="52" spans="2:13">
      <c r="B52" s="12" t="s">
        <v>11</v>
      </c>
      <c r="C52" s="13">
        <v>2020</v>
      </c>
      <c r="D52" t="s">
        <v>34</v>
      </c>
      <c r="E52" s="14" t="s">
        <v>92</v>
      </c>
      <c r="F52" s="12"/>
      <c r="G52" s="14" t="s">
        <v>93</v>
      </c>
      <c r="I52" s="15" t="s">
        <v>16</v>
      </c>
      <c r="K52" s="12">
        <v>90000</v>
      </c>
      <c r="L52" t="s">
        <v>15</v>
      </c>
      <c r="M52" t="s">
        <v>91</v>
      </c>
    </row>
    <row r="53" spans="2:13">
      <c r="B53" s="17" t="s">
        <v>11</v>
      </c>
      <c r="C53" s="16">
        <v>2020</v>
      </c>
      <c r="D53" t="s">
        <v>34</v>
      </c>
      <c r="E53" s="14" t="s">
        <v>105</v>
      </c>
      <c r="F53" s="12"/>
      <c r="G53" s="14" t="s">
        <v>106</v>
      </c>
      <c r="I53" s="15" t="s">
        <v>107</v>
      </c>
      <c r="K53" s="17">
        <v>20000</v>
      </c>
      <c r="L53" s="11" t="s">
        <v>8</v>
      </c>
      <c r="M53" t="s">
        <v>72</v>
      </c>
    </row>
    <row r="54" spans="2:13">
      <c r="B54" s="12" t="s">
        <v>11</v>
      </c>
      <c r="C54" s="13">
        <v>2020</v>
      </c>
      <c r="D54" t="s">
        <v>34</v>
      </c>
      <c r="E54" s="14" t="s">
        <v>89</v>
      </c>
      <c r="F54" s="12"/>
      <c r="G54" s="46" t="s">
        <v>86</v>
      </c>
      <c r="I54" s="18" t="s">
        <v>87</v>
      </c>
      <c r="K54" s="12">
        <v>80000</v>
      </c>
      <c r="L54" s="11" t="s">
        <v>8</v>
      </c>
      <c r="M54" t="s">
        <v>72</v>
      </c>
    </row>
    <row r="55" spans="2:13">
      <c r="B55" s="17" t="s">
        <v>11</v>
      </c>
      <c r="C55" s="16">
        <v>2020</v>
      </c>
      <c r="D55" t="s">
        <v>34</v>
      </c>
      <c r="E55" s="14" t="s">
        <v>89</v>
      </c>
      <c r="F55" s="12"/>
      <c r="G55" s="14" t="s">
        <v>96</v>
      </c>
      <c r="I55" s="15" t="s">
        <v>16</v>
      </c>
      <c r="K55" s="17">
        <v>15350</v>
      </c>
      <c r="L55" s="11" t="s">
        <v>8</v>
      </c>
      <c r="M55" t="s">
        <v>91</v>
      </c>
    </row>
    <row r="56" spans="2:13">
      <c r="B56" s="12" t="s">
        <v>11</v>
      </c>
      <c r="C56" s="13">
        <v>2020</v>
      </c>
      <c r="D56" s="12" t="s">
        <v>38</v>
      </c>
      <c r="E56" s="14" t="s">
        <v>69</v>
      </c>
      <c r="F56" s="12"/>
      <c r="G56" s="14" t="s">
        <v>70</v>
      </c>
      <c r="I56" s="18" t="s">
        <v>99</v>
      </c>
      <c r="K56" s="12">
        <v>72000</v>
      </c>
      <c r="L56" t="s">
        <v>15</v>
      </c>
      <c r="M56" t="s">
        <v>72</v>
      </c>
    </row>
    <row r="57" spans="2:13">
      <c r="B57" s="17" t="s">
        <v>11</v>
      </c>
      <c r="C57" s="16">
        <v>2020</v>
      </c>
      <c r="D57" s="17" t="s">
        <v>38</v>
      </c>
      <c r="E57" s="14" t="s">
        <v>74</v>
      </c>
      <c r="F57" s="12"/>
      <c r="G57" s="12" t="s">
        <v>113</v>
      </c>
      <c r="I57" s="15" t="s">
        <v>114</v>
      </c>
      <c r="K57" s="17">
        <v>50000</v>
      </c>
      <c r="L57" t="s">
        <v>15</v>
      </c>
      <c r="M57" t="s">
        <v>72</v>
      </c>
    </row>
    <row r="58" spans="2:13">
      <c r="B58" s="12" t="s">
        <v>11</v>
      </c>
      <c r="C58" s="13">
        <v>2020</v>
      </c>
      <c r="D58" s="12" t="s">
        <v>38</v>
      </c>
      <c r="E58" s="14" t="s">
        <v>79</v>
      </c>
      <c r="F58" s="12"/>
      <c r="G58" s="14" t="s">
        <v>77</v>
      </c>
      <c r="I58" s="18" t="s">
        <v>71</v>
      </c>
      <c r="K58" s="12">
        <v>13500</v>
      </c>
      <c r="L58" t="s">
        <v>15</v>
      </c>
      <c r="M58" t="s">
        <v>72</v>
      </c>
    </row>
    <row r="59" spans="2:13">
      <c r="B59" s="17" t="s">
        <v>11</v>
      </c>
      <c r="C59" s="16">
        <v>2020</v>
      </c>
      <c r="D59" s="17" t="s">
        <v>38</v>
      </c>
      <c r="E59" s="14" t="s">
        <v>102</v>
      </c>
      <c r="F59" s="12"/>
      <c r="G59" s="14" t="s">
        <v>103</v>
      </c>
      <c r="I59" s="32" t="s">
        <v>104</v>
      </c>
      <c r="K59" s="17">
        <v>44800</v>
      </c>
      <c r="L59" t="s">
        <v>15</v>
      </c>
      <c r="M59" t="s">
        <v>72</v>
      </c>
    </row>
    <row r="60" spans="2:13">
      <c r="B60" s="12" t="s">
        <v>11</v>
      </c>
      <c r="C60" s="13">
        <v>2020</v>
      </c>
      <c r="D60" s="12" t="s">
        <v>38</v>
      </c>
      <c r="E60" s="14" t="s">
        <v>92</v>
      </c>
      <c r="F60" s="12"/>
      <c r="G60" s="14" t="s">
        <v>93</v>
      </c>
      <c r="I60" s="15" t="s">
        <v>16</v>
      </c>
      <c r="K60" s="12">
        <v>45000</v>
      </c>
      <c r="L60" t="s">
        <v>15</v>
      </c>
      <c r="M60" t="s">
        <v>91</v>
      </c>
    </row>
    <row r="61" spans="2:13">
      <c r="B61" s="17" t="s">
        <v>11</v>
      </c>
      <c r="C61" s="16">
        <v>2020</v>
      </c>
      <c r="D61" s="17" t="s">
        <v>38</v>
      </c>
      <c r="E61" s="14" t="s">
        <v>108</v>
      </c>
      <c r="F61" s="12"/>
      <c r="G61" s="14" t="s">
        <v>106</v>
      </c>
      <c r="I61" s="15" t="s">
        <v>107</v>
      </c>
      <c r="K61" s="17">
        <v>20000</v>
      </c>
      <c r="L61" s="11" t="s">
        <v>8</v>
      </c>
      <c r="M61" t="s">
        <v>72</v>
      </c>
    </row>
    <row r="62" spans="2:13">
      <c r="B62" s="12" t="s">
        <v>11</v>
      </c>
      <c r="C62" s="13">
        <v>2020</v>
      </c>
      <c r="D62" s="12" t="s">
        <v>38</v>
      </c>
      <c r="E62" s="14" t="s">
        <v>85</v>
      </c>
      <c r="F62" s="12"/>
      <c r="G62" s="46" t="s">
        <v>86</v>
      </c>
      <c r="I62" s="18" t="s">
        <v>87</v>
      </c>
      <c r="K62" s="12">
        <v>270000</v>
      </c>
      <c r="L62" s="11" t="s">
        <v>88</v>
      </c>
      <c r="M62" t="s">
        <v>72</v>
      </c>
    </row>
    <row r="63" spans="2:13">
      <c r="B63" s="17" t="s">
        <v>11</v>
      </c>
      <c r="C63" s="16">
        <v>2020</v>
      </c>
      <c r="D63" s="17" t="s">
        <v>38</v>
      </c>
      <c r="E63" s="14" t="s">
        <v>90</v>
      </c>
      <c r="F63" s="12"/>
      <c r="G63" s="46" t="s">
        <v>86</v>
      </c>
      <c r="I63" s="18" t="s">
        <v>87</v>
      </c>
      <c r="K63" s="17">
        <v>86637.440000000002</v>
      </c>
      <c r="L63" s="11" t="s">
        <v>88</v>
      </c>
      <c r="M63" t="s">
        <v>72</v>
      </c>
    </row>
    <row r="64" spans="2:13">
      <c r="B64" s="12" t="s">
        <v>11</v>
      </c>
      <c r="C64" s="13">
        <v>2020</v>
      </c>
      <c r="D64" s="12" t="s">
        <v>43</v>
      </c>
      <c r="E64" s="14" t="s">
        <v>69</v>
      </c>
      <c r="F64" s="12"/>
      <c r="G64" s="14" t="s">
        <v>70</v>
      </c>
      <c r="I64" s="18" t="s">
        <v>99</v>
      </c>
      <c r="K64" s="12">
        <v>48000</v>
      </c>
      <c r="L64" t="s">
        <v>15</v>
      </c>
      <c r="M64" t="s">
        <v>72</v>
      </c>
    </row>
    <row r="65" spans="2:13">
      <c r="B65" s="17" t="s">
        <v>11</v>
      </c>
      <c r="C65" s="16">
        <v>2020</v>
      </c>
      <c r="D65" s="17" t="s">
        <v>43</v>
      </c>
      <c r="E65" s="14" t="s">
        <v>102</v>
      </c>
      <c r="F65" s="12"/>
      <c r="G65" s="14" t="s">
        <v>103</v>
      </c>
      <c r="I65" s="32" t="s">
        <v>104</v>
      </c>
      <c r="K65" s="17">
        <v>89600</v>
      </c>
      <c r="L65" t="s">
        <v>15</v>
      </c>
      <c r="M65" t="s">
        <v>72</v>
      </c>
    </row>
    <row r="66" spans="2:13">
      <c r="B66" s="12" t="s">
        <v>11</v>
      </c>
      <c r="C66" s="13">
        <v>2020</v>
      </c>
      <c r="D66" s="12" t="s">
        <v>43</v>
      </c>
      <c r="E66" s="14" t="s">
        <v>109</v>
      </c>
      <c r="F66" s="12"/>
      <c r="G66" s="14" t="s">
        <v>77</v>
      </c>
      <c r="I66" s="45" t="s">
        <v>110</v>
      </c>
      <c r="K66" s="12">
        <v>34500</v>
      </c>
      <c r="L66" t="s">
        <v>15</v>
      </c>
      <c r="M66" t="s">
        <v>72</v>
      </c>
    </row>
    <row r="67" spans="2:13">
      <c r="B67" s="17" t="s">
        <v>11</v>
      </c>
      <c r="C67" s="16">
        <v>2020</v>
      </c>
      <c r="D67" s="17" t="s">
        <v>43</v>
      </c>
      <c r="E67" s="14" t="s">
        <v>92</v>
      </c>
      <c r="F67" s="12"/>
      <c r="G67" s="14" t="s">
        <v>93</v>
      </c>
      <c r="I67" s="15" t="s">
        <v>16</v>
      </c>
      <c r="K67" s="17">
        <v>90000</v>
      </c>
      <c r="L67" t="s">
        <v>15</v>
      </c>
      <c r="M67" t="s">
        <v>91</v>
      </c>
    </row>
    <row r="68" spans="2:13">
      <c r="B68" s="12" t="s">
        <v>11</v>
      </c>
      <c r="C68" s="13">
        <v>2020</v>
      </c>
      <c r="D68" s="12" t="s">
        <v>43</v>
      </c>
      <c r="E68" s="14" t="s">
        <v>92</v>
      </c>
      <c r="F68" s="12"/>
      <c r="G68" s="14" t="s">
        <v>94</v>
      </c>
      <c r="I68" s="15" t="s">
        <v>16</v>
      </c>
      <c r="K68" s="12">
        <v>3000</v>
      </c>
      <c r="L68" t="s">
        <v>15</v>
      </c>
      <c r="M68" t="s">
        <v>91</v>
      </c>
    </row>
    <row r="69" spans="2:13">
      <c r="B69" s="17" t="s">
        <v>11</v>
      </c>
      <c r="C69" s="16">
        <v>2020</v>
      </c>
      <c r="D69" s="17" t="s">
        <v>43</v>
      </c>
      <c r="E69" s="14" t="s">
        <v>105</v>
      </c>
      <c r="F69" s="12"/>
      <c r="G69" s="14" t="s">
        <v>106</v>
      </c>
      <c r="I69" s="15" t="s">
        <v>107</v>
      </c>
      <c r="K69" s="17">
        <v>10000</v>
      </c>
      <c r="L69" s="11" t="s">
        <v>8</v>
      </c>
      <c r="M69" t="s">
        <v>72</v>
      </c>
    </row>
    <row r="70" spans="2:13">
      <c r="B70" s="12" t="s">
        <v>11</v>
      </c>
      <c r="C70" s="13">
        <v>2020</v>
      </c>
      <c r="D70" s="12" t="s">
        <v>43</v>
      </c>
      <c r="E70" s="14" t="s">
        <v>108</v>
      </c>
      <c r="F70" s="12"/>
      <c r="G70" s="14" t="s">
        <v>106</v>
      </c>
      <c r="I70" s="15" t="s">
        <v>107</v>
      </c>
      <c r="K70" s="12">
        <v>10000</v>
      </c>
      <c r="L70" s="11" t="s">
        <v>8</v>
      </c>
      <c r="M70" t="s">
        <v>72</v>
      </c>
    </row>
    <row r="71" spans="2:13">
      <c r="B71" s="17" t="s">
        <v>11</v>
      </c>
      <c r="C71" s="16">
        <v>2020</v>
      </c>
      <c r="D71" s="17" t="s">
        <v>43</v>
      </c>
      <c r="E71" s="14" t="s">
        <v>97</v>
      </c>
      <c r="F71" s="12"/>
      <c r="G71" s="14" t="s">
        <v>98</v>
      </c>
      <c r="I71" s="15" t="s">
        <v>16</v>
      </c>
      <c r="K71" s="17">
        <v>408</v>
      </c>
      <c r="L71" s="11" t="s">
        <v>88</v>
      </c>
      <c r="M71" t="s">
        <v>91</v>
      </c>
    </row>
    <row r="72" spans="2:13">
      <c r="B72" s="17" t="s">
        <v>11</v>
      </c>
      <c r="C72" s="16">
        <v>2020</v>
      </c>
      <c r="D72" s="17" t="s">
        <v>45</v>
      </c>
      <c r="E72" s="14" t="s">
        <v>69</v>
      </c>
      <c r="F72" s="12"/>
      <c r="G72" s="14" t="s">
        <v>70</v>
      </c>
      <c r="I72" s="18" t="s">
        <v>99</v>
      </c>
      <c r="K72" s="17">
        <v>24000</v>
      </c>
      <c r="L72" t="s">
        <v>15</v>
      </c>
      <c r="M72" t="s">
        <v>72</v>
      </c>
    </row>
    <row r="73" spans="2:13">
      <c r="B73" s="12" t="s">
        <v>11</v>
      </c>
      <c r="C73" s="13">
        <v>2020</v>
      </c>
      <c r="D73" s="12" t="s">
        <v>45</v>
      </c>
      <c r="E73" s="14" t="s">
        <v>74</v>
      </c>
      <c r="F73" s="12"/>
      <c r="G73" s="44" t="s">
        <v>75</v>
      </c>
      <c r="I73" s="18" t="s">
        <v>71</v>
      </c>
      <c r="K73" s="12">
        <v>99000</v>
      </c>
      <c r="L73" t="s">
        <v>15</v>
      </c>
      <c r="M73" t="s">
        <v>72</v>
      </c>
    </row>
    <row r="74" spans="2:13">
      <c r="B74" s="17" t="s">
        <v>11</v>
      </c>
      <c r="C74" s="16">
        <v>2020</v>
      </c>
      <c r="D74" s="17" t="s">
        <v>45</v>
      </c>
      <c r="E74" s="14" t="s">
        <v>74</v>
      </c>
      <c r="F74" s="12"/>
      <c r="G74" s="12" t="s">
        <v>113</v>
      </c>
      <c r="I74" s="15" t="s">
        <v>114</v>
      </c>
      <c r="K74" s="17">
        <v>50000</v>
      </c>
      <c r="L74" t="s">
        <v>15</v>
      </c>
      <c r="M74" t="s">
        <v>72</v>
      </c>
    </row>
    <row r="75" spans="2:13">
      <c r="B75" s="12" t="s">
        <v>11</v>
      </c>
      <c r="C75" s="13">
        <v>2020</v>
      </c>
      <c r="D75" s="12" t="s">
        <v>45</v>
      </c>
      <c r="E75" s="14" t="s">
        <v>109</v>
      </c>
      <c r="F75" s="12"/>
      <c r="G75" s="14" t="s">
        <v>77</v>
      </c>
      <c r="I75" s="45" t="s">
        <v>110</v>
      </c>
      <c r="K75" s="12">
        <v>51750</v>
      </c>
      <c r="L75" t="s">
        <v>15</v>
      </c>
      <c r="M75" t="s">
        <v>72</v>
      </c>
    </row>
    <row r="76" spans="2:13">
      <c r="B76" s="17" t="s">
        <v>11</v>
      </c>
      <c r="C76" s="16">
        <v>2020</v>
      </c>
      <c r="D76" s="17" t="s">
        <v>45</v>
      </c>
      <c r="E76" s="14" t="s">
        <v>83</v>
      </c>
      <c r="F76" s="12"/>
      <c r="G76" s="14" t="s">
        <v>77</v>
      </c>
      <c r="I76" s="45" t="s">
        <v>84</v>
      </c>
      <c r="K76" s="17">
        <v>10000</v>
      </c>
      <c r="L76" t="s">
        <v>15</v>
      </c>
      <c r="M76" t="s">
        <v>72</v>
      </c>
    </row>
    <row r="77" spans="2:13">
      <c r="B77" s="12" t="s">
        <v>11</v>
      </c>
      <c r="C77" s="13">
        <v>2020</v>
      </c>
      <c r="D77" s="12" t="s">
        <v>45</v>
      </c>
      <c r="E77" s="14" t="s">
        <v>102</v>
      </c>
      <c r="F77" s="12"/>
      <c r="G77" s="14" t="s">
        <v>103</v>
      </c>
      <c r="I77" s="32" t="s">
        <v>104</v>
      </c>
      <c r="K77" s="12">
        <v>44800</v>
      </c>
      <c r="L77" t="s">
        <v>15</v>
      </c>
      <c r="M77" t="s">
        <v>72</v>
      </c>
    </row>
    <row r="78" spans="2:13">
      <c r="B78" s="17" t="s">
        <v>11</v>
      </c>
      <c r="C78" s="16">
        <v>2020</v>
      </c>
      <c r="D78" s="17" t="s">
        <v>45</v>
      </c>
      <c r="E78" s="14" t="s">
        <v>92</v>
      </c>
      <c r="F78" s="12"/>
      <c r="G78" s="14" t="s">
        <v>93</v>
      </c>
      <c r="I78" s="15" t="s">
        <v>16</v>
      </c>
      <c r="K78" s="17">
        <v>45000</v>
      </c>
      <c r="L78" t="s">
        <v>15</v>
      </c>
      <c r="M78" t="s">
        <v>91</v>
      </c>
    </row>
    <row r="79" spans="2:13">
      <c r="B79" s="12" t="s">
        <v>11</v>
      </c>
      <c r="C79" s="13">
        <v>2020</v>
      </c>
      <c r="D79" s="12" t="s">
        <v>45</v>
      </c>
      <c r="E79" s="14" t="s">
        <v>105</v>
      </c>
      <c r="F79" s="12"/>
      <c r="G79" s="14" t="s">
        <v>106</v>
      </c>
      <c r="I79" s="15" t="s">
        <v>107</v>
      </c>
      <c r="K79" s="12">
        <v>20000</v>
      </c>
      <c r="L79" s="11" t="s">
        <v>8</v>
      </c>
      <c r="M79" t="s">
        <v>72</v>
      </c>
    </row>
    <row r="80" spans="2:13">
      <c r="B80" s="17" t="s">
        <v>11</v>
      </c>
      <c r="C80" s="16">
        <v>2020</v>
      </c>
      <c r="D80" s="17" t="s">
        <v>47</v>
      </c>
      <c r="E80" s="14" t="s">
        <v>69</v>
      </c>
      <c r="F80" s="12"/>
      <c r="G80" s="14" t="s">
        <v>70</v>
      </c>
      <c r="I80" s="18" t="s">
        <v>99</v>
      </c>
      <c r="K80" s="17">
        <v>72750</v>
      </c>
      <c r="L80" t="s">
        <v>15</v>
      </c>
      <c r="M80" t="s">
        <v>72</v>
      </c>
    </row>
    <row r="81" spans="2:13">
      <c r="B81" s="12" t="s">
        <v>11</v>
      </c>
      <c r="C81" s="13">
        <v>2020</v>
      </c>
      <c r="D81" s="12" t="s">
        <v>47</v>
      </c>
      <c r="E81" s="14" t="s">
        <v>102</v>
      </c>
      <c r="F81" s="12"/>
      <c r="G81" s="14" t="s">
        <v>103</v>
      </c>
      <c r="I81" s="32" t="s">
        <v>104</v>
      </c>
      <c r="K81" s="12">
        <v>44800</v>
      </c>
      <c r="L81" t="s">
        <v>15</v>
      </c>
      <c r="M81" t="s">
        <v>72</v>
      </c>
    </row>
    <row r="82" spans="2:13">
      <c r="B82" s="17" t="s">
        <v>11</v>
      </c>
      <c r="C82" s="16">
        <v>2020</v>
      </c>
      <c r="D82" s="17" t="s">
        <v>47</v>
      </c>
      <c r="E82" s="14" t="s">
        <v>83</v>
      </c>
      <c r="F82" s="12"/>
      <c r="G82" s="14" t="s">
        <v>77</v>
      </c>
      <c r="I82" s="45" t="s">
        <v>84</v>
      </c>
      <c r="K82" s="17">
        <v>10000</v>
      </c>
      <c r="L82" t="s">
        <v>15</v>
      </c>
      <c r="M82" t="s">
        <v>72</v>
      </c>
    </row>
    <row r="83" spans="2:13">
      <c r="B83" s="12" t="s">
        <v>11</v>
      </c>
      <c r="C83" s="13">
        <v>2020</v>
      </c>
      <c r="D83" s="12" t="s">
        <v>47</v>
      </c>
      <c r="E83" s="14" t="s">
        <v>92</v>
      </c>
      <c r="F83" s="12"/>
      <c r="G83" s="14" t="s">
        <v>93</v>
      </c>
      <c r="I83" s="15" t="s">
        <v>16</v>
      </c>
      <c r="K83" s="12">
        <v>45000</v>
      </c>
      <c r="L83" t="s">
        <v>15</v>
      </c>
      <c r="M83" t="s">
        <v>91</v>
      </c>
    </row>
    <row r="84" spans="2:13">
      <c r="B84" s="17" t="s">
        <v>11</v>
      </c>
      <c r="C84" s="16">
        <v>2020</v>
      </c>
      <c r="D84" s="17" t="s">
        <v>47</v>
      </c>
      <c r="E84" s="14" t="s">
        <v>90</v>
      </c>
      <c r="F84" s="12"/>
      <c r="G84" s="46" t="s">
        <v>86</v>
      </c>
      <c r="I84" s="18" t="s">
        <v>87</v>
      </c>
      <c r="K84" s="17">
        <v>33362.57</v>
      </c>
      <c r="L84" s="11" t="s">
        <v>88</v>
      </c>
      <c r="M84" t="s">
        <v>72</v>
      </c>
    </row>
    <row r="85" spans="2:13">
      <c r="B85" s="12" t="s">
        <v>11</v>
      </c>
      <c r="C85" s="13">
        <v>2020</v>
      </c>
      <c r="D85" s="12" t="s">
        <v>47</v>
      </c>
      <c r="E85" s="14" t="s">
        <v>89</v>
      </c>
      <c r="F85" s="12"/>
      <c r="G85" s="46" t="s">
        <v>86</v>
      </c>
      <c r="I85" s="18" t="s">
        <v>87</v>
      </c>
      <c r="K85" s="12">
        <v>77400</v>
      </c>
      <c r="L85" s="11" t="s">
        <v>8</v>
      </c>
      <c r="M85" t="s">
        <v>91</v>
      </c>
    </row>
    <row r="86" spans="2:13">
      <c r="B86" s="12" t="s">
        <v>11</v>
      </c>
      <c r="C86" s="13">
        <v>2020</v>
      </c>
      <c r="D86" s="12" t="s">
        <v>49</v>
      </c>
      <c r="E86" s="14" t="s">
        <v>69</v>
      </c>
      <c r="F86" s="12"/>
      <c r="G86" s="14" t="s">
        <v>70</v>
      </c>
      <c r="I86" s="18" t="s">
        <v>99</v>
      </c>
      <c r="K86" s="12">
        <v>97975</v>
      </c>
      <c r="L86" t="s">
        <v>15</v>
      </c>
      <c r="M86" t="s">
        <v>72</v>
      </c>
    </row>
    <row r="87" spans="2:13">
      <c r="B87" s="17" t="s">
        <v>11</v>
      </c>
      <c r="C87" s="16">
        <v>2020</v>
      </c>
      <c r="D87" s="17" t="s">
        <v>49</v>
      </c>
      <c r="E87" s="14" t="s">
        <v>74</v>
      </c>
      <c r="F87" s="12"/>
      <c r="G87" s="44" t="s">
        <v>75</v>
      </c>
      <c r="I87" s="18" t="s">
        <v>71</v>
      </c>
      <c r="K87" s="17">
        <v>49500</v>
      </c>
      <c r="L87" t="s">
        <v>15</v>
      </c>
      <c r="M87" t="s">
        <v>72</v>
      </c>
    </row>
    <row r="88" spans="2:13">
      <c r="B88" s="12" t="s">
        <v>11</v>
      </c>
      <c r="C88" s="13">
        <v>2020</v>
      </c>
      <c r="D88" s="12" t="s">
        <v>49</v>
      </c>
      <c r="E88" s="14" t="s">
        <v>79</v>
      </c>
      <c r="F88" s="12"/>
      <c r="G88" s="14" t="s">
        <v>77</v>
      </c>
      <c r="I88" s="18" t="s">
        <v>71</v>
      </c>
      <c r="K88" s="12">
        <v>10000</v>
      </c>
      <c r="L88" t="s">
        <v>15</v>
      </c>
      <c r="M88" t="s">
        <v>72</v>
      </c>
    </row>
    <row r="89" spans="2:13">
      <c r="B89" s="17" t="s">
        <v>11</v>
      </c>
      <c r="C89" s="16">
        <v>2020</v>
      </c>
      <c r="D89" s="17" t="s">
        <v>49</v>
      </c>
      <c r="E89" s="14" t="s">
        <v>92</v>
      </c>
      <c r="F89" s="12"/>
      <c r="G89" s="14" t="s">
        <v>93</v>
      </c>
      <c r="I89" s="15" t="s">
        <v>16</v>
      </c>
      <c r="K89" s="17">
        <v>29950</v>
      </c>
      <c r="L89" t="s">
        <v>15</v>
      </c>
      <c r="M89" t="s">
        <v>91</v>
      </c>
    </row>
    <row r="90" spans="2:13">
      <c r="B90" s="12" t="s">
        <v>11</v>
      </c>
      <c r="C90" s="13">
        <v>2020</v>
      </c>
      <c r="D90" s="12" t="s">
        <v>49</v>
      </c>
      <c r="E90" s="14" t="s">
        <v>90</v>
      </c>
      <c r="F90" s="12"/>
      <c r="G90" s="46" t="s">
        <v>86</v>
      </c>
      <c r="I90" s="18" t="s">
        <v>87</v>
      </c>
      <c r="K90" s="12">
        <v>79014.789999999994</v>
      </c>
      <c r="L90" s="11" t="s">
        <v>88</v>
      </c>
      <c r="M90" t="s">
        <v>72</v>
      </c>
    </row>
    <row r="91" spans="2:13">
      <c r="B91" s="17" t="s">
        <v>11</v>
      </c>
      <c r="C91" s="16">
        <v>2020</v>
      </c>
      <c r="D91" s="17" t="s">
        <v>49</v>
      </c>
      <c r="E91" s="14" t="s">
        <v>85</v>
      </c>
      <c r="F91" s="12"/>
      <c r="G91" s="14" t="s">
        <v>77</v>
      </c>
      <c r="I91" s="45" t="s">
        <v>115</v>
      </c>
      <c r="K91" s="17">
        <v>280904</v>
      </c>
      <c r="L91" s="11" t="s">
        <v>88</v>
      </c>
      <c r="M91" t="s">
        <v>72</v>
      </c>
    </row>
    <row r="92" spans="2:13">
      <c r="B92" s="12" t="s">
        <v>11</v>
      </c>
      <c r="C92" s="13">
        <v>2021</v>
      </c>
      <c r="D92" s="12" t="s">
        <v>12</v>
      </c>
      <c r="E92" s="14" t="s">
        <v>78</v>
      </c>
      <c r="F92" s="12"/>
      <c r="G92" s="47" t="s">
        <v>75</v>
      </c>
      <c r="I92" s="18" t="s">
        <v>71</v>
      </c>
      <c r="K92" s="12">
        <v>47975</v>
      </c>
      <c r="L92" t="s">
        <v>15</v>
      </c>
      <c r="M92" t="s">
        <v>72</v>
      </c>
    </row>
    <row r="93" spans="2:13">
      <c r="B93" s="12" t="s">
        <v>11</v>
      </c>
      <c r="C93" s="13">
        <v>2021</v>
      </c>
      <c r="D93" s="12" t="s">
        <v>12</v>
      </c>
      <c r="E93" s="14" t="s">
        <v>105</v>
      </c>
      <c r="F93" s="12"/>
      <c r="G93" s="14" t="s">
        <v>106</v>
      </c>
      <c r="I93" s="15" t="s">
        <v>107</v>
      </c>
      <c r="K93" s="17">
        <v>26070</v>
      </c>
      <c r="L93" s="11" t="s">
        <v>8</v>
      </c>
      <c r="M93" t="s">
        <v>72</v>
      </c>
    </row>
    <row r="94" spans="2:13">
      <c r="B94" s="12" t="s">
        <v>11</v>
      </c>
      <c r="C94" s="13">
        <v>2021</v>
      </c>
      <c r="D94" s="12" t="s">
        <v>21</v>
      </c>
      <c r="E94" s="14" t="s">
        <v>92</v>
      </c>
      <c r="F94" s="12"/>
      <c r="G94" s="14" t="s">
        <v>93</v>
      </c>
      <c r="I94" s="15" t="s">
        <v>16</v>
      </c>
      <c r="K94" s="12">
        <v>45000</v>
      </c>
      <c r="L94" t="s">
        <v>15</v>
      </c>
      <c r="M94" t="s">
        <v>91</v>
      </c>
    </row>
    <row r="95" spans="2:13">
      <c r="B95" s="12" t="s">
        <v>11</v>
      </c>
      <c r="C95" s="13">
        <v>2021</v>
      </c>
      <c r="D95" s="12" t="s">
        <v>27</v>
      </c>
      <c r="E95" s="14" t="s">
        <v>92</v>
      </c>
      <c r="F95" s="12"/>
      <c r="G95" s="14" t="s">
        <v>93</v>
      </c>
      <c r="I95" s="15" t="s">
        <v>16</v>
      </c>
      <c r="K95" s="17">
        <v>45000</v>
      </c>
      <c r="L95" t="s">
        <v>15</v>
      </c>
      <c r="M95" t="s">
        <v>91</v>
      </c>
    </row>
    <row r="96" spans="2:13">
      <c r="B96" s="12" t="s">
        <v>11</v>
      </c>
      <c r="C96" s="13">
        <v>2021</v>
      </c>
      <c r="D96" s="12" t="s">
        <v>27</v>
      </c>
      <c r="E96" s="14" t="s">
        <v>105</v>
      </c>
      <c r="F96" s="12"/>
      <c r="G96" s="14" t="s">
        <v>106</v>
      </c>
      <c r="I96" s="15" t="s">
        <v>107</v>
      </c>
      <c r="K96" s="12">
        <v>23136</v>
      </c>
      <c r="L96" s="11" t="s">
        <v>8</v>
      </c>
      <c r="M96" t="s">
        <v>72</v>
      </c>
    </row>
    <row r="97" spans="2:13">
      <c r="B97" s="12" t="s">
        <v>11</v>
      </c>
      <c r="C97" s="13">
        <v>2021</v>
      </c>
      <c r="D97" s="12" t="s">
        <v>28</v>
      </c>
      <c r="E97" s="14" t="s">
        <v>69</v>
      </c>
      <c r="F97" s="12"/>
      <c r="G97" s="14" t="s">
        <v>70</v>
      </c>
      <c r="I97" s="18" t="s">
        <v>99</v>
      </c>
      <c r="K97" s="17">
        <v>48750</v>
      </c>
      <c r="L97" t="s">
        <v>15</v>
      </c>
      <c r="M97" t="s">
        <v>72</v>
      </c>
    </row>
    <row r="98" spans="2:13">
      <c r="B98" s="12" t="s">
        <v>11</v>
      </c>
      <c r="C98" s="13">
        <v>2021</v>
      </c>
      <c r="D98" s="12" t="s">
        <v>28</v>
      </c>
      <c r="E98" s="14" t="s">
        <v>78</v>
      </c>
      <c r="F98" s="12"/>
      <c r="G98" s="47" t="s">
        <v>75</v>
      </c>
      <c r="I98" s="18" t="s">
        <v>71</v>
      </c>
      <c r="K98" s="12">
        <v>74250</v>
      </c>
      <c r="L98" t="s">
        <v>15</v>
      </c>
      <c r="M98" t="s">
        <v>72</v>
      </c>
    </row>
    <row r="99" spans="2:13">
      <c r="B99" s="12" t="s">
        <v>11</v>
      </c>
      <c r="C99" s="13">
        <v>2021</v>
      </c>
      <c r="D99" s="12" t="s">
        <v>28</v>
      </c>
      <c r="E99" s="14" t="s">
        <v>78</v>
      </c>
      <c r="F99" s="12"/>
      <c r="G99" s="47" t="s">
        <v>75</v>
      </c>
      <c r="I99" s="18" t="s">
        <v>71</v>
      </c>
      <c r="K99" s="17">
        <v>49500</v>
      </c>
      <c r="L99" t="s">
        <v>15</v>
      </c>
      <c r="M99" t="s">
        <v>72</v>
      </c>
    </row>
    <row r="100" spans="2:13">
      <c r="B100" s="12" t="s">
        <v>11</v>
      </c>
      <c r="C100" s="13">
        <v>2021</v>
      </c>
      <c r="D100" s="12" t="s">
        <v>28</v>
      </c>
      <c r="E100" s="14" t="s">
        <v>76</v>
      </c>
      <c r="F100" s="12"/>
      <c r="G100" s="14" t="s">
        <v>77</v>
      </c>
      <c r="I100" s="18" t="s">
        <v>71</v>
      </c>
      <c r="K100" s="12">
        <v>7875</v>
      </c>
      <c r="L100" t="s">
        <v>15</v>
      </c>
      <c r="M100" t="s">
        <v>72</v>
      </c>
    </row>
    <row r="101" spans="2:13">
      <c r="B101" s="12" t="s">
        <v>11</v>
      </c>
      <c r="C101" s="13">
        <v>2021</v>
      </c>
      <c r="D101" s="12" t="s">
        <v>28</v>
      </c>
      <c r="E101" s="14" t="s">
        <v>102</v>
      </c>
      <c r="F101" s="12"/>
      <c r="G101" s="14" t="s">
        <v>77</v>
      </c>
      <c r="I101" s="32" t="s">
        <v>104</v>
      </c>
      <c r="K101" s="17">
        <v>45000</v>
      </c>
      <c r="L101" t="s">
        <v>15</v>
      </c>
      <c r="M101" t="s">
        <v>72</v>
      </c>
    </row>
    <row r="102" spans="2:13">
      <c r="B102" s="12" t="s">
        <v>11</v>
      </c>
      <c r="C102" s="13">
        <v>2021</v>
      </c>
      <c r="D102" s="12" t="s">
        <v>28</v>
      </c>
      <c r="E102" s="14" t="s">
        <v>92</v>
      </c>
      <c r="F102" s="12"/>
      <c r="G102" s="14" t="s">
        <v>93</v>
      </c>
      <c r="I102" s="15" t="s">
        <v>16</v>
      </c>
      <c r="K102" s="12">
        <v>45000</v>
      </c>
      <c r="L102" t="s">
        <v>15</v>
      </c>
      <c r="M102" t="s">
        <v>91</v>
      </c>
    </row>
    <row r="103" spans="2:13">
      <c r="B103" s="12" t="s">
        <v>11</v>
      </c>
      <c r="C103" s="13">
        <v>2021</v>
      </c>
      <c r="D103" s="12" t="s">
        <v>31</v>
      </c>
      <c r="E103" s="14" t="s">
        <v>69</v>
      </c>
      <c r="F103" s="12"/>
      <c r="G103" s="14" t="s">
        <v>70</v>
      </c>
      <c r="I103" s="18" t="s">
        <v>99</v>
      </c>
      <c r="K103" s="17">
        <v>48750</v>
      </c>
      <c r="L103" t="s">
        <v>15</v>
      </c>
      <c r="M103" t="s">
        <v>72</v>
      </c>
    </row>
    <row r="104" spans="2:13">
      <c r="B104" s="12" t="s">
        <v>11</v>
      </c>
      <c r="C104" s="13">
        <v>2021</v>
      </c>
      <c r="D104" s="12" t="s">
        <v>31</v>
      </c>
      <c r="E104" s="14" t="s">
        <v>78</v>
      </c>
      <c r="F104" s="12"/>
      <c r="G104" s="47" t="s">
        <v>75</v>
      </c>
      <c r="I104" s="18" t="s">
        <v>71</v>
      </c>
      <c r="K104" s="12">
        <v>49475</v>
      </c>
      <c r="L104" t="s">
        <v>15</v>
      </c>
      <c r="M104" t="s">
        <v>72</v>
      </c>
    </row>
    <row r="105" spans="2:13">
      <c r="B105" s="12" t="s">
        <v>11</v>
      </c>
      <c r="C105" s="13">
        <v>2021</v>
      </c>
      <c r="D105" s="12" t="s">
        <v>31</v>
      </c>
      <c r="E105" s="14" t="s">
        <v>102</v>
      </c>
      <c r="F105" s="12"/>
      <c r="G105" s="14" t="s">
        <v>77</v>
      </c>
      <c r="I105" s="32" t="s">
        <v>104</v>
      </c>
      <c r="K105" s="17">
        <v>25000</v>
      </c>
      <c r="L105" t="s">
        <v>15</v>
      </c>
      <c r="M105" t="s">
        <v>72</v>
      </c>
    </row>
    <row r="106" spans="2:13">
      <c r="B106" s="12" t="s">
        <v>11</v>
      </c>
      <c r="C106" s="13">
        <v>2021</v>
      </c>
      <c r="D106" s="12" t="s">
        <v>31</v>
      </c>
      <c r="E106" s="14" t="s">
        <v>78</v>
      </c>
      <c r="F106" s="12"/>
      <c r="G106" s="47" t="s">
        <v>75</v>
      </c>
      <c r="I106" s="18" t="s">
        <v>71</v>
      </c>
      <c r="K106" s="12">
        <v>24750</v>
      </c>
      <c r="L106" t="s">
        <v>15</v>
      </c>
      <c r="M106" t="s">
        <v>72</v>
      </c>
    </row>
    <row r="107" spans="2:13">
      <c r="B107" s="12" t="s">
        <v>11</v>
      </c>
      <c r="C107" s="13">
        <v>2021</v>
      </c>
      <c r="D107" s="12" t="s">
        <v>31</v>
      </c>
      <c r="E107" s="14" t="s">
        <v>74</v>
      </c>
      <c r="F107" s="12"/>
      <c r="G107" s="44" t="s">
        <v>75</v>
      </c>
      <c r="I107" s="18" t="s">
        <v>71</v>
      </c>
      <c r="K107" s="17">
        <v>49500</v>
      </c>
      <c r="L107" t="s">
        <v>15</v>
      </c>
      <c r="M107" t="s">
        <v>72</v>
      </c>
    </row>
    <row r="108" spans="2:13">
      <c r="B108" s="12" t="s">
        <v>11</v>
      </c>
      <c r="C108" s="13">
        <v>2021</v>
      </c>
      <c r="D108" s="12" t="s">
        <v>33</v>
      </c>
      <c r="E108" s="14" t="s">
        <v>69</v>
      </c>
      <c r="F108" s="12"/>
      <c r="G108" s="14" t="s">
        <v>70</v>
      </c>
      <c r="I108" s="18" t="s">
        <v>99</v>
      </c>
      <c r="K108" s="12">
        <v>48750</v>
      </c>
      <c r="L108" t="s">
        <v>15</v>
      </c>
      <c r="M108" t="s">
        <v>72</v>
      </c>
    </row>
    <row r="109" spans="2:13">
      <c r="B109" s="12" t="s">
        <v>11</v>
      </c>
      <c r="C109" s="13">
        <v>2021</v>
      </c>
      <c r="D109" s="12" t="s">
        <v>33</v>
      </c>
      <c r="E109" s="14" t="s">
        <v>102</v>
      </c>
      <c r="F109" s="12"/>
      <c r="G109" s="14" t="s">
        <v>77</v>
      </c>
      <c r="I109" s="32" t="s">
        <v>104</v>
      </c>
      <c r="K109" s="17">
        <v>175000</v>
      </c>
      <c r="L109" t="s">
        <v>15</v>
      </c>
      <c r="M109" t="s">
        <v>72</v>
      </c>
    </row>
    <row r="110" spans="2:13">
      <c r="B110" s="12" t="s">
        <v>11</v>
      </c>
      <c r="C110" s="13">
        <v>2021</v>
      </c>
      <c r="D110" s="12" t="s">
        <v>33</v>
      </c>
      <c r="E110" s="14" t="s">
        <v>83</v>
      </c>
      <c r="F110" s="12"/>
      <c r="G110" s="14" t="s">
        <v>77</v>
      </c>
      <c r="I110" s="45" t="s">
        <v>84</v>
      </c>
      <c r="K110" s="12">
        <v>10000</v>
      </c>
      <c r="L110" t="s">
        <v>15</v>
      </c>
      <c r="M110" t="s">
        <v>72</v>
      </c>
    </row>
    <row r="111" spans="2:13">
      <c r="B111" s="12" t="s">
        <v>11</v>
      </c>
      <c r="C111" s="13">
        <v>2021</v>
      </c>
      <c r="D111" s="12" t="s">
        <v>33</v>
      </c>
      <c r="E111" s="14" t="s">
        <v>76</v>
      </c>
      <c r="F111" s="12"/>
      <c r="G111" s="14" t="s">
        <v>77</v>
      </c>
      <c r="I111" s="18" t="s">
        <v>71</v>
      </c>
      <c r="K111" s="17">
        <v>7875</v>
      </c>
      <c r="L111" t="s">
        <v>15</v>
      </c>
      <c r="M111" t="s">
        <v>72</v>
      </c>
    </row>
    <row r="112" spans="2:13">
      <c r="B112" s="12" t="s">
        <v>11</v>
      </c>
      <c r="C112" s="13">
        <v>2021</v>
      </c>
      <c r="D112" s="12" t="s">
        <v>33</v>
      </c>
      <c r="E112" s="14" t="s">
        <v>92</v>
      </c>
      <c r="F112" s="12"/>
      <c r="G112" s="14" t="s">
        <v>93</v>
      </c>
      <c r="I112" s="15" t="s">
        <v>16</v>
      </c>
      <c r="K112" s="12">
        <v>50000</v>
      </c>
      <c r="L112" t="s">
        <v>15</v>
      </c>
      <c r="M112" t="s">
        <v>91</v>
      </c>
    </row>
    <row r="113" spans="2:13">
      <c r="B113" s="12" t="s">
        <v>11</v>
      </c>
      <c r="C113" s="13">
        <v>2021</v>
      </c>
      <c r="D113" s="12" t="s">
        <v>33</v>
      </c>
      <c r="E113" s="14" t="s">
        <v>92</v>
      </c>
      <c r="F113" s="12"/>
      <c r="G113" s="14" t="s">
        <v>94</v>
      </c>
      <c r="I113" s="15" t="s">
        <v>16</v>
      </c>
      <c r="K113" s="17">
        <v>2750</v>
      </c>
      <c r="L113" t="s">
        <v>15</v>
      </c>
      <c r="M113" t="s">
        <v>91</v>
      </c>
    </row>
    <row r="114" spans="2:13">
      <c r="B114" s="12" t="s">
        <v>11</v>
      </c>
      <c r="C114" s="16">
        <v>2021</v>
      </c>
      <c r="D114" t="s">
        <v>34</v>
      </c>
      <c r="E114" s="14" t="s">
        <v>69</v>
      </c>
      <c r="F114" s="12"/>
      <c r="G114" s="14" t="s">
        <v>70</v>
      </c>
      <c r="I114" s="18" t="s">
        <v>99</v>
      </c>
      <c r="K114" s="17">
        <v>48000</v>
      </c>
      <c r="L114" t="s">
        <v>15</v>
      </c>
      <c r="M114" t="s">
        <v>72</v>
      </c>
    </row>
    <row r="115" spans="2:13">
      <c r="B115" s="12" t="s">
        <v>11</v>
      </c>
      <c r="C115" s="13">
        <v>2021</v>
      </c>
      <c r="D115" t="s">
        <v>34</v>
      </c>
      <c r="E115" s="14" t="s">
        <v>102</v>
      </c>
      <c r="F115" s="12"/>
      <c r="G115" s="14" t="s">
        <v>77</v>
      </c>
      <c r="I115" s="32" t="s">
        <v>104</v>
      </c>
      <c r="K115" s="12">
        <v>25000</v>
      </c>
      <c r="L115" t="s">
        <v>15</v>
      </c>
      <c r="M115" t="s">
        <v>72</v>
      </c>
    </row>
    <row r="116" spans="2:13">
      <c r="B116" s="12" t="s">
        <v>11</v>
      </c>
      <c r="C116" s="16">
        <v>2021</v>
      </c>
      <c r="D116" t="s">
        <v>34</v>
      </c>
      <c r="E116" s="14" t="s">
        <v>79</v>
      </c>
      <c r="F116" s="12"/>
      <c r="G116" s="14" t="s">
        <v>77</v>
      </c>
      <c r="I116" s="18" t="s">
        <v>71</v>
      </c>
      <c r="K116" s="17">
        <v>11000</v>
      </c>
      <c r="L116" t="s">
        <v>15</v>
      </c>
      <c r="M116" t="s">
        <v>72</v>
      </c>
    </row>
    <row r="117" spans="2:13">
      <c r="B117" s="12" t="s">
        <v>11</v>
      </c>
      <c r="C117" s="13">
        <v>2021</v>
      </c>
      <c r="D117" t="s">
        <v>34</v>
      </c>
      <c r="E117" s="14" t="s">
        <v>78</v>
      </c>
      <c r="F117" s="12"/>
      <c r="G117" s="47" t="s">
        <v>75</v>
      </c>
      <c r="I117" s="18" t="s">
        <v>71</v>
      </c>
      <c r="K117" s="12">
        <v>49500</v>
      </c>
      <c r="L117" t="s">
        <v>15</v>
      </c>
      <c r="M117" t="s">
        <v>72</v>
      </c>
    </row>
    <row r="118" spans="2:13">
      <c r="B118" s="12" t="s">
        <v>11</v>
      </c>
      <c r="C118" s="16">
        <v>2021</v>
      </c>
      <c r="D118" t="s">
        <v>34</v>
      </c>
      <c r="E118" s="14" t="s">
        <v>74</v>
      </c>
      <c r="F118" s="12"/>
      <c r="G118" s="44" t="s">
        <v>75</v>
      </c>
      <c r="I118" s="18" t="s">
        <v>71</v>
      </c>
      <c r="K118" s="17">
        <v>49500</v>
      </c>
      <c r="L118" t="s">
        <v>15</v>
      </c>
      <c r="M118" t="s">
        <v>72</v>
      </c>
    </row>
    <row r="119" spans="2:13">
      <c r="B119" s="12" t="s">
        <v>11</v>
      </c>
      <c r="C119" s="13">
        <v>2021</v>
      </c>
      <c r="D119" t="s">
        <v>34</v>
      </c>
      <c r="E119" s="14" t="s">
        <v>92</v>
      </c>
      <c r="F119" s="12"/>
      <c r="G119" s="14" t="s">
        <v>93</v>
      </c>
      <c r="I119" s="15" t="s">
        <v>16</v>
      </c>
      <c r="K119" s="12">
        <v>90000</v>
      </c>
      <c r="L119" t="s">
        <v>15</v>
      </c>
      <c r="M119" t="s">
        <v>91</v>
      </c>
    </row>
    <row r="120" spans="2:13">
      <c r="B120" s="12" t="s">
        <v>11</v>
      </c>
      <c r="C120" s="16">
        <v>2021</v>
      </c>
      <c r="D120" t="s">
        <v>34</v>
      </c>
      <c r="E120" s="14" t="s">
        <v>89</v>
      </c>
      <c r="F120" s="12"/>
      <c r="G120" s="46" t="s">
        <v>86</v>
      </c>
      <c r="I120" s="18" t="s">
        <v>87</v>
      </c>
      <c r="K120" s="17">
        <v>81200</v>
      </c>
      <c r="L120" s="11" t="s">
        <v>8</v>
      </c>
      <c r="M120" t="s">
        <v>72</v>
      </c>
    </row>
    <row r="121" spans="2:13">
      <c r="B121" s="12" t="s">
        <v>11</v>
      </c>
      <c r="C121" s="13">
        <v>2021</v>
      </c>
      <c r="D121" t="s">
        <v>34</v>
      </c>
      <c r="E121" s="14" t="s">
        <v>105</v>
      </c>
      <c r="F121" s="12"/>
      <c r="G121" s="14" t="s">
        <v>106</v>
      </c>
      <c r="I121" s="15" t="s">
        <v>107</v>
      </c>
      <c r="K121" s="12">
        <v>20000</v>
      </c>
      <c r="L121" s="11" t="s">
        <v>8</v>
      </c>
      <c r="M121" t="s">
        <v>72</v>
      </c>
    </row>
    <row r="122" spans="2:13">
      <c r="B122" s="12" t="s">
        <v>11</v>
      </c>
      <c r="C122" s="16">
        <v>2021</v>
      </c>
      <c r="D122" s="17" t="s">
        <v>38</v>
      </c>
      <c r="E122" s="14" t="s">
        <v>74</v>
      </c>
      <c r="F122" s="12"/>
      <c r="G122" s="44" t="s">
        <v>75</v>
      </c>
      <c r="I122" s="18" t="s">
        <v>71</v>
      </c>
      <c r="K122" s="17">
        <v>49500</v>
      </c>
      <c r="L122" t="s">
        <v>15</v>
      </c>
      <c r="M122" t="s">
        <v>72</v>
      </c>
    </row>
    <row r="123" spans="2:13">
      <c r="B123" s="12" t="s">
        <v>11</v>
      </c>
      <c r="C123" s="13">
        <v>2021</v>
      </c>
      <c r="D123" s="12" t="s">
        <v>38</v>
      </c>
      <c r="E123" s="14" t="s">
        <v>102</v>
      </c>
      <c r="F123" s="12"/>
      <c r="G123" s="14" t="s">
        <v>103</v>
      </c>
      <c r="I123" s="32" t="s">
        <v>104</v>
      </c>
      <c r="K123" s="12">
        <v>44800</v>
      </c>
      <c r="L123" t="s">
        <v>15</v>
      </c>
      <c r="M123" t="s">
        <v>72</v>
      </c>
    </row>
    <row r="124" spans="2:13">
      <c r="B124" s="12" t="s">
        <v>11</v>
      </c>
      <c r="C124" s="16">
        <v>2021</v>
      </c>
      <c r="D124" s="17" t="s">
        <v>38</v>
      </c>
      <c r="E124" s="14" t="s">
        <v>92</v>
      </c>
      <c r="F124" s="12"/>
      <c r="G124" s="14" t="s">
        <v>93</v>
      </c>
      <c r="I124" s="15" t="s">
        <v>16</v>
      </c>
      <c r="K124" s="17">
        <v>50000</v>
      </c>
      <c r="L124" t="s">
        <v>15</v>
      </c>
      <c r="M124" t="s">
        <v>91</v>
      </c>
    </row>
    <row r="125" spans="2:13">
      <c r="B125" s="12" t="s">
        <v>11</v>
      </c>
      <c r="C125" s="13">
        <v>2021</v>
      </c>
      <c r="D125" s="12" t="s">
        <v>38</v>
      </c>
      <c r="E125" s="14" t="s">
        <v>85</v>
      </c>
      <c r="F125" s="12"/>
      <c r="G125" s="46" t="s">
        <v>86</v>
      </c>
      <c r="I125" s="18" t="s">
        <v>87</v>
      </c>
      <c r="K125" s="12">
        <v>138271.73000000001</v>
      </c>
      <c r="L125" s="11" t="s">
        <v>88</v>
      </c>
      <c r="M125" t="s">
        <v>72</v>
      </c>
    </row>
    <row r="126" spans="2:13">
      <c r="B126" s="12" t="s">
        <v>11</v>
      </c>
      <c r="C126" s="16">
        <v>2021</v>
      </c>
      <c r="D126" s="17" t="s">
        <v>38</v>
      </c>
      <c r="E126" s="14" t="s">
        <v>108</v>
      </c>
      <c r="F126" s="12"/>
      <c r="G126" s="14" t="s">
        <v>106</v>
      </c>
      <c r="I126" s="15" t="s">
        <v>107</v>
      </c>
      <c r="K126" s="17">
        <v>2775</v>
      </c>
      <c r="L126" s="11" t="s">
        <v>8</v>
      </c>
      <c r="M126" t="s">
        <v>72</v>
      </c>
    </row>
    <row r="127" spans="2:13">
      <c r="B127" s="12" t="s">
        <v>11</v>
      </c>
      <c r="C127" s="13">
        <v>2021</v>
      </c>
      <c r="D127" s="12" t="s">
        <v>38</v>
      </c>
      <c r="E127" s="14" t="s">
        <v>105</v>
      </c>
      <c r="F127" s="12"/>
      <c r="G127" s="14" t="s">
        <v>106</v>
      </c>
      <c r="I127" s="15" t="s">
        <v>107</v>
      </c>
      <c r="K127" s="12">
        <v>43494</v>
      </c>
      <c r="L127" s="11" t="s">
        <v>8</v>
      </c>
      <c r="M127" t="s">
        <v>72</v>
      </c>
    </row>
    <row r="128" spans="2:13">
      <c r="B128" s="12" t="s">
        <v>11</v>
      </c>
      <c r="C128" s="16">
        <v>2021</v>
      </c>
      <c r="D128" s="17" t="s">
        <v>43</v>
      </c>
      <c r="E128" s="14" t="s">
        <v>69</v>
      </c>
      <c r="F128" s="12"/>
      <c r="G128" s="14" t="s">
        <v>70</v>
      </c>
      <c r="I128" s="18" t="s">
        <v>99</v>
      </c>
      <c r="K128" s="17">
        <v>72000</v>
      </c>
      <c r="L128" t="s">
        <v>15</v>
      </c>
      <c r="M128" t="s">
        <v>72</v>
      </c>
    </row>
    <row r="129" spans="2:13">
      <c r="B129" s="12" t="s">
        <v>11</v>
      </c>
      <c r="C129" s="13">
        <v>2021</v>
      </c>
      <c r="D129" s="12" t="s">
        <v>43</v>
      </c>
      <c r="E129" s="14" t="s">
        <v>78</v>
      </c>
      <c r="F129" s="12"/>
      <c r="G129" s="47" t="s">
        <v>75</v>
      </c>
      <c r="I129" s="18" t="s">
        <v>71</v>
      </c>
      <c r="K129" s="12">
        <v>24750</v>
      </c>
      <c r="L129" t="s">
        <v>15</v>
      </c>
      <c r="M129" t="s">
        <v>72</v>
      </c>
    </row>
    <row r="130" spans="2:13">
      <c r="B130" s="12" t="s">
        <v>11</v>
      </c>
      <c r="C130" s="16">
        <v>2021</v>
      </c>
      <c r="D130" s="17" t="s">
        <v>43</v>
      </c>
      <c r="E130" s="14" t="s">
        <v>78</v>
      </c>
      <c r="F130" s="12"/>
      <c r="G130" s="47" t="s">
        <v>75</v>
      </c>
      <c r="I130" s="18" t="s">
        <v>71</v>
      </c>
      <c r="K130" s="17">
        <v>49500</v>
      </c>
      <c r="L130" t="s">
        <v>15</v>
      </c>
      <c r="M130" t="s">
        <v>72</v>
      </c>
    </row>
    <row r="131" spans="2:13">
      <c r="B131" s="12" t="s">
        <v>11</v>
      </c>
      <c r="C131" s="13">
        <v>2021</v>
      </c>
      <c r="D131" s="12" t="s">
        <v>43</v>
      </c>
      <c r="E131" s="14" t="s">
        <v>81</v>
      </c>
      <c r="F131" s="12"/>
      <c r="G131" s="14" t="s">
        <v>77</v>
      </c>
      <c r="I131" s="32" t="s">
        <v>82</v>
      </c>
      <c r="K131" s="12">
        <v>23920</v>
      </c>
      <c r="L131" t="s">
        <v>15</v>
      </c>
      <c r="M131" t="s">
        <v>72</v>
      </c>
    </row>
    <row r="132" spans="2:13">
      <c r="B132" s="12" t="s">
        <v>11</v>
      </c>
      <c r="C132" s="16">
        <v>2021</v>
      </c>
      <c r="D132" s="17" t="s">
        <v>43</v>
      </c>
      <c r="E132" s="14" t="s">
        <v>92</v>
      </c>
      <c r="F132" s="12"/>
      <c r="G132" s="14" t="s">
        <v>93</v>
      </c>
      <c r="I132" s="15" t="s">
        <v>16</v>
      </c>
      <c r="K132" s="17">
        <v>100000</v>
      </c>
      <c r="L132" t="s">
        <v>15</v>
      </c>
      <c r="M132" t="s">
        <v>91</v>
      </c>
    </row>
    <row r="133" spans="2:13">
      <c r="B133" s="12" t="s">
        <v>11</v>
      </c>
      <c r="C133" s="13">
        <v>2021</v>
      </c>
      <c r="D133" s="12" t="s">
        <v>45</v>
      </c>
      <c r="E133" s="14" t="s">
        <v>83</v>
      </c>
      <c r="F133" s="12"/>
      <c r="G133" s="14" t="s">
        <v>77</v>
      </c>
      <c r="I133" s="45" t="s">
        <v>84</v>
      </c>
      <c r="K133" s="12">
        <v>14000</v>
      </c>
      <c r="L133" t="s">
        <v>15</v>
      </c>
      <c r="M133" t="s">
        <v>72</v>
      </c>
    </row>
    <row r="134" spans="2:13">
      <c r="B134" s="12" t="s">
        <v>11</v>
      </c>
      <c r="C134" s="16">
        <v>2021</v>
      </c>
      <c r="D134" s="17" t="s">
        <v>45</v>
      </c>
      <c r="E134" s="14" t="s">
        <v>76</v>
      </c>
      <c r="F134" s="12"/>
      <c r="G134" s="14" t="s">
        <v>77</v>
      </c>
      <c r="I134" s="18" t="s">
        <v>71</v>
      </c>
      <c r="K134" s="17">
        <v>7875</v>
      </c>
      <c r="L134" t="s">
        <v>15</v>
      </c>
      <c r="M134" t="s">
        <v>72</v>
      </c>
    </row>
    <row r="135" spans="2:13">
      <c r="B135" s="12" t="s">
        <v>11</v>
      </c>
      <c r="C135" s="13">
        <v>2021</v>
      </c>
      <c r="D135" s="12" t="s">
        <v>45</v>
      </c>
      <c r="E135" s="14" t="s">
        <v>102</v>
      </c>
      <c r="F135" s="12"/>
      <c r="G135" s="14" t="s">
        <v>77</v>
      </c>
      <c r="I135" s="32" t="s">
        <v>104</v>
      </c>
      <c r="K135" s="12">
        <v>43200</v>
      </c>
      <c r="L135" t="s">
        <v>15</v>
      </c>
      <c r="M135" t="s">
        <v>72</v>
      </c>
    </row>
    <row r="136" spans="2:13">
      <c r="B136" s="12" t="s">
        <v>11</v>
      </c>
      <c r="C136" s="16">
        <v>2021</v>
      </c>
      <c r="D136" s="17" t="s">
        <v>45</v>
      </c>
      <c r="E136" s="14" t="s">
        <v>69</v>
      </c>
      <c r="F136" s="12"/>
      <c r="G136" s="14" t="s">
        <v>70</v>
      </c>
      <c r="I136" s="18" t="s">
        <v>99</v>
      </c>
      <c r="K136" s="17">
        <v>24000</v>
      </c>
      <c r="L136" t="s">
        <v>15</v>
      </c>
      <c r="M136" t="s">
        <v>72</v>
      </c>
    </row>
    <row r="137" spans="2:13">
      <c r="B137" s="12" t="s">
        <v>11</v>
      </c>
      <c r="C137" s="13">
        <v>2021</v>
      </c>
      <c r="D137" s="12" t="s">
        <v>45</v>
      </c>
      <c r="E137" s="14" t="s">
        <v>74</v>
      </c>
      <c r="F137" s="12"/>
      <c r="G137" s="44" t="s">
        <v>75</v>
      </c>
      <c r="I137" s="18" t="s">
        <v>71</v>
      </c>
      <c r="K137" s="12">
        <v>99000</v>
      </c>
      <c r="L137" t="s">
        <v>15</v>
      </c>
      <c r="M137" t="s">
        <v>72</v>
      </c>
    </row>
    <row r="138" spans="2:13">
      <c r="B138" s="12" t="s">
        <v>11</v>
      </c>
      <c r="C138" s="16">
        <v>2021</v>
      </c>
      <c r="D138" s="17" t="s">
        <v>45</v>
      </c>
      <c r="E138" s="14" t="s">
        <v>92</v>
      </c>
      <c r="F138" s="12"/>
      <c r="G138" s="14" t="s">
        <v>93</v>
      </c>
      <c r="I138" s="15" t="s">
        <v>16</v>
      </c>
      <c r="K138" s="17">
        <v>30000</v>
      </c>
      <c r="L138" t="s">
        <v>15</v>
      </c>
      <c r="M138" t="s">
        <v>91</v>
      </c>
    </row>
    <row r="139" spans="2:13">
      <c r="B139" s="17" t="s">
        <v>11</v>
      </c>
      <c r="C139" s="16">
        <v>2021</v>
      </c>
      <c r="D139" s="17" t="s">
        <v>47</v>
      </c>
      <c r="E139" s="14" t="s">
        <v>69</v>
      </c>
      <c r="F139" s="12"/>
      <c r="G139" s="33" t="s">
        <v>70</v>
      </c>
      <c r="I139" s="18" t="s">
        <v>99</v>
      </c>
      <c r="K139" s="17">
        <v>72000</v>
      </c>
      <c r="L139" t="s">
        <v>15</v>
      </c>
      <c r="M139" t="s">
        <v>72</v>
      </c>
    </row>
    <row r="140" spans="2:13">
      <c r="B140" s="12" t="s">
        <v>11</v>
      </c>
      <c r="C140" s="13">
        <v>2021</v>
      </c>
      <c r="D140" s="12" t="s">
        <v>47</v>
      </c>
      <c r="E140" s="14" t="s">
        <v>74</v>
      </c>
      <c r="F140" s="12"/>
      <c r="G140" s="44" t="s">
        <v>75</v>
      </c>
      <c r="I140" s="18" t="s">
        <v>71</v>
      </c>
      <c r="K140" s="12">
        <v>49500</v>
      </c>
      <c r="L140" t="s">
        <v>15</v>
      </c>
      <c r="M140" t="s">
        <v>72</v>
      </c>
    </row>
    <row r="141" spans="2:13">
      <c r="B141" s="17" t="s">
        <v>11</v>
      </c>
      <c r="C141" s="16">
        <v>2021</v>
      </c>
      <c r="D141" s="17" t="s">
        <v>47</v>
      </c>
      <c r="E141" s="14" t="s">
        <v>81</v>
      </c>
      <c r="F141" s="12"/>
      <c r="G141" s="33" t="s">
        <v>77</v>
      </c>
      <c r="I141" s="32" t="s">
        <v>82</v>
      </c>
      <c r="K141" s="17">
        <v>23920</v>
      </c>
      <c r="L141" t="s">
        <v>15</v>
      </c>
      <c r="M141" t="s">
        <v>72</v>
      </c>
    </row>
    <row r="142" spans="2:13">
      <c r="B142" s="12" t="s">
        <v>11</v>
      </c>
      <c r="C142" s="13">
        <v>2021</v>
      </c>
      <c r="D142" s="12" t="s">
        <v>47</v>
      </c>
      <c r="E142" s="14" t="s">
        <v>83</v>
      </c>
      <c r="F142" s="12"/>
      <c r="G142" s="33" t="s">
        <v>77</v>
      </c>
      <c r="I142" s="45" t="s">
        <v>84</v>
      </c>
      <c r="K142" s="12">
        <v>3500</v>
      </c>
      <c r="L142" t="s">
        <v>15</v>
      </c>
      <c r="M142" t="s">
        <v>72</v>
      </c>
    </row>
    <row r="143" spans="2:13">
      <c r="B143" s="17" t="s">
        <v>11</v>
      </c>
      <c r="C143" s="16">
        <v>2021</v>
      </c>
      <c r="D143" s="17" t="s">
        <v>47</v>
      </c>
      <c r="E143" s="14" t="s">
        <v>92</v>
      </c>
      <c r="F143" s="12"/>
      <c r="G143" s="33" t="s">
        <v>93</v>
      </c>
      <c r="I143" s="15" t="s">
        <v>16</v>
      </c>
      <c r="K143" s="17">
        <v>40000</v>
      </c>
      <c r="L143" t="s">
        <v>15</v>
      </c>
      <c r="M143" t="s">
        <v>91</v>
      </c>
    </row>
    <row r="144" spans="2:13">
      <c r="B144" s="12" t="s">
        <v>11</v>
      </c>
      <c r="C144" s="13">
        <v>2021</v>
      </c>
      <c r="D144" s="12" t="s">
        <v>47</v>
      </c>
      <c r="E144" s="14" t="s">
        <v>92</v>
      </c>
      <c r="F144" s="12"/>
      <c r="G144" s="33" t="s">
        <v>94</v>
      </c>
      <c r="I144" s="15" t="s">
        <v>16</v>
      </c>
      <c r="K144" s="12">
        <v>20000</v>
      </c>
      <c r="L144" t="s">
        <v>15</v>
      </c>
      <c r="M144" t="s">
        <v>91</v>
      </c>
    </row>
    <row r="145" spans="2:13">
      <c r="B145" s="17" t="s">
        <v>11</v>
      </c>
      <c r="C145" s="16">
        <v>2021</v>
      </c>
      <c r="D145" s="17" t="s">
        <v>47</v>
      </c>
      <c r="E145" s="14" t="s">
        <v>105</v>
      </c>
      <c r="F145" s="12"/>
      <c r="G145" s="33" t="s">
        <v>106</v>
      </c>
      <c r="I145" s="15" t="s">
        <v>107</v>
      </c>
      <c r="K145" s="17">
        <v>25000</v>
      </c>
      <c r="L145" s="11" t="s">
        <v>8</v>
      </c>
      <c r="M145" t="s">
        <v>72</v>
      </c>
    </row>
    <row r="146" spans="2:13">
      <c r="B146" s="12" t="s">
        <v>11</v>
      </c>
      <c r="C146" s="13">
        <v>2021</v>
      </c>
      <c r="D146" s="12" t="s">
        <v>47</v>
      </c>
      <c r="E146" s="14" t="s">
        <v>89</v>
      </c>
      <c r="F146" s="12"/>
      <c r="G146" s="46" t="s">
        <v>86</v>
      </c>
      <c r="I146" s="18" t="s">
        <v>87</v>
      </c>
      <c r="K146" s="12">
        <v>75425</v>
      </c>
      <c r="L146" s="11" t="s">
        <v>8</v>
      </c>
      <c r="M146" t="s">
        <v>72</v>
      </c>
    </row>
    <row r="147" spans="2:13">
      <c r="B147" s="12" t="s">
        <v>11</v>
      </c>
      <c r="C147" s="13">
        <v>2021</v>
      </c>
      <c r="D147" s="12" t="s">
        <v>49</v>
      </c>
      <c r="E147" s="14" t="s">
        <v>69</v>
      </c>
      <c r="F147" s="12"/>
      <c r="G147" s="33" t="s">
        <v>70</v>
      </c>
      <c r="I147" s="15" t="s">
        <v>99</v>
      </c>
      <c r="K147" s="12">
        <v>48000</v>
      </c>
      <c r="L147" t="s">
        <v>15</v>
      </c>
      <c r="M147" t="s">
        <v>72</v>
      </c>
    </row>
    <row r="148" spans="2:13">
      <c r="B148" s="17" t="s">
        <v>11</v>
      </c>
      <c r="C148" s="16">
        <v>2021</v>
      </c>
      <c r="D148" s="12" t="s">
        <v>49</v>
      </c>
      <c r="E148" s="14" t="s">
        <v>102</v>
      </c>
      <c r="F148" s="12"/>
      <c r="G148" s="33" t="s">
        <v>77</v>
      </c>
      <c r="I148" s="32" t="s">
        <v>104</v>
      </c>
      <c r="K148" s="17">
        <v>50000</v>
      </c>
      <c r="L148" t="s">
        <v>15</v>
      </c>
      <c r="M148" t="s">
        <v>72</v>
      </c>
    </row>
    <row r="149" spans="2:13">
      <c r="B149" s="12" t="s">
        <v>11</v>
      </c>
      <c r="C149" s="13">
        <v>2021</v>
      </c>
      <c r="D149" s="12" t="s">
        <v>49</v>
      </c>
      <c r="E149" s="14" t="s">
        <v>92</v>
      </c>
      <c r="F149" s="12"/>
      <c r="G149" s="33" t="s">
        <v>93</v>
      </c>
      <c r="I149" s="15" t="s">
        <v>16</v>
      </c>
      <c r="K149" s="12">
        <v>40000</v>
      </c>
      <c r="L149" t="s">
        <v>15</v>
      </c>
      <c r="M149" t="s">
        <v>91</v>
      </c>
    </row>
    <row r="150" spans="2:13">
      <c r="B150" s="12" t="s">
        <v>11</v>
      </c>
      <c r="C150">
        <v>2022</v>
      </c>
      <c r="D150" t="s">
        <v>12</v>
      </c>
      <c r="E150" s="14" t="s">
        <v>92</v>
      </c>
      <c r="F150" s="12"/>
      <c r="G150" s="33" t="s">
        <v>94</v>
      </c>
      <c r="I150" s="15" t="s">
        <v>16</v>
      </c>
      <c r="K150">
        <v>40000</v>
      </c>
      <c r="L150" t="s">
        <v>15</v>
      </c>
      <c r="M150" t="s">
        <v>91</v>
      </c>
    </row>
    <row r="151" spans="2:13">
      <c r="B151" s="12" t="s">
        <v>11</v>
      </c>
      <c r="C151">
        <v>2022</v>
      </c>
      <c r="D151" t="s">
        <v>12</v>
      </c>
      <c r="E151" s="14" t="s">
        <v>105</v>
      </c>
      <c r="G151" s="33" t="s">
        <v>106</v>
      </c>
      <c r="I151" s="15" t="s">
        <v>107</v>
      </c>
      <c r="K151">
        <v>14625</v>
      </c>
      <c r="L151" s="11" t="s">
        <v>8</v>
      </c>
      <c r="M151" t="s">
        <v>72</v>
      </c>
    </row>
    <row r="152" spans="2:13">
      <c r="B152" s="12" t="s">
        <v>11</v>
      </c>
      <c r="C152">
        <v>2022</v>
      </c>
      <c r="D152" t="s">
        <v>12</v>
      </c>
      <c r="E152" s="14" t="s">
        <v>108</v>
      </c>
      <c r="G152" s="33" t="s">
        <v>106</v>
      </c>
      <c r="I152" s="15" t="s">
        <v>107</v>
      </c>
      <c r="K152">
        <v>9030</v>
      </c>
      <c r="L152" s="11" t="s">
        <v>8</v>
      </c>
      <c r="M152" t="s">
        <v>72</v>
      </c>
    </row>
    <row r="153" spans="2:13">
      <c r="B153" s="12" t="s">
        <v>11</v>
      </c>
      <c r="C153">
        <v>2022</v>
      </c>
      <c r="D153" t="s">
        <v>21</v>
      </c>
      <c r="E153" s="14" t="s">
        <v>69</v>
      </c>
      <c r="F153" s="12"/>
      <c r="G153" s="33" t="s">
        <v>70</v>
      </c>
      <c r="I153" s="18" t="s">
        <v>99</v>
      </c>
      <c r="K153">
        <v>48000</v>
      </c>
      <c r="L153" t="s">
        <v>15</v>
      </c>
      <c r="M153" t="s">
        <v>72</v>
      </c>
    </row>
    <row r="154" spans="2:13">
      <c r="B154" s="12" t="s">
        <v>11</v>
      </c>
      <c r="C154">
        <v>2022</v>
      </c>
      <c r="D154" t="s">
        <v>21</v>
      </c>
      <c r="E154" s="14" t="s">
        <v>74</v>
      </c>
      <c r="G154" s="44" t="s">
        <v>75</v>
      </c>
      <c r="I154" s="18" t="s">
        <v>71</v>
      </c>
      <c r="K154">
        <v>49500</v>
      </c>
      <c r="L154" t="s">
        <v>15</v>
      </c>
      <c r="M154" t="s">
        <v>72</v>
      </c>
    </row>
    <row r="155" spans="2:13">
      <c r="B155" s="12" t="s">
        <v>11</v>
      </c>
      <c r="C155">
        <v>2022</v>
      </c>
      <c r="D155" t="s">
        <v>21</v>
      </c>
      <c r="E155" s="14" t="s">
        <v>102</v>
      </c>
      <c r="G155" s="33" t="s">
        <v>77</v>
      </c>
      <c r="I155" s="32" t="s">
        <v>104</v>
      </c>
      <c r="K155">
        <v>75000</v>
      </c>
      <c r="L155" t="s">
        <v>15</v>
      </c>
      <c r="M155" t="s">
        <v>72</v>
      </c>
    </row>
    <row r="156" spans="2:13">
      <c r="B156" s="12" t="s">
        <v>11</v>
      </c>
      <c r="C156">
        <v>2022</v>
      </c>
      <c r="D156" t="s">
        <v>21</v>
      </c>
      <c r="E156" s="14" t="s">
        <v>81</v>
      </c>
      <c r="G156" s="33" t="s">
        <v>77</v>
      </c>
      <c r="I156" s="32" t="s">
        <v>82</v>
      </c>
      <c r="K156">
        <v>47840</v>
      </c>
      <c r="L156" t="s">
        <v>15</v>
      </c>
      <c r="M156" t="s">
        <v>72</v>
      </c>
    </row>
    <row r="157" spans="2:13">
      <c r="B157" s="12" t="s">
        <v>11</v>
      </c>
      <c r="C157">
        <v>2022</v>
      </c>
      <c r="D157" t="s">
        <v>21</v>
      </c>
      <c r="E157" s="14" t="s">
        <v>92</v>
      </c>
      <c r="G157" s="33" t="s">
        <v>93</v>
      </c>
      <c r="I157" s="15" t="s">
        <v>16</v>
      </c>
      <c r="K157">
        <v>50000</v>
      </c>
      <c r="L157" t="s">
        <v>15</v>
      </c>
      <c r="M157" t="s">
        <v>91</v>
      </c>
    </row>
    <row r="158" spans="2:13">
      <c r="B158" s="12" t="s">
        <v>11</v>
      </c>
      <c r="C158">
        <v>2022</v>
      </c>
      <c r="D158" t="s">
        <v>27</v>
      </c>
      <c r="E158" s="14" t="s">
        <v>69</v>
      </c>
      <c r="F158" s="12"/>
      <c r="G158" s="33" t="s">
        <v>70</v>
      </c>
      <c r="I158" s="18" t="s">
        <v>99</v>
      </c>
      <c r="K158">
        <v>24000</v>
      </c>
      <c r="L158" t="s">
        <v>15</v>
      </c>
      <c r="M158" t="s">
        <v>72</v>
      </c>
    </row>
    <row r="159" spans="2:13">
      <c r="B159" s="12" t="s">
        <v>11</v>
      </c>
      <c r="C159">
        <v>2022</v>
      </c>
      <c r="D159" t="s">
        <v>27</v>
      </c>
      <c r="E159" s="14" t="s">
        <v>102</v>
      </c>
      <c r="G159" s="33" t="s">
        <v>77</v>
      </c>
      <c r="I159" s="32" t="s">
        <v>104</v>
      </c>
      <c r="K159">
        <v>100000</v>
      </c>
      <c r="L159" t="s">
        <v>15</v>
      </c>
      <c r="M159" t="s">
        <v>72</v>
      </c>
    </row>
    <row r="160" spans="2:13">
      <c r="B160" s="12" t="s">
        <v>11</v>
      </c>
      <c r="C160">
        <v>2022</v>
      </c>
      <c r="D160" t="s">
        <v>27</v>
      </c>
      <c r="E160" s="14" t="s">
        <v>78</v>
      </c>
      <c r="F160" s="12"/>
      <c r="G160" s="47" t="s">
        <v>75</v>
      </c>
      <c r="I160" s="18" t="s">
        <v>71</v>
      </c>
      <c r="K160">
        <v>24750</v>
      </c>
      <c r="L160" t="s">
        <v>15</v>
      </c>
      <c r="M160" t="s">
        <v>72</v>
      </c>
    </row>
    <row r="161" spans="2:13">
      <c r="B161" s="12" t="s">
        <v>11</v>
      </c>
      <c r="C161">
        <v>2022</v>
      </c>
      <c r="D161" t="s">
        <v>27</v>
      </c>
      <c r="E161" s="14" t="s">
        <v>105</v>
      </c>
      <c r="G161" s="33" t="s">
        <v>106</v>
      </c>
      <c r="I161" s="15" t="s">
        <v>107</v>
      </c>
      <c r="K161">
        <v>25000</v>
      </c>
      <c r="L161" s="11" t="s">
        <v>8</v>
      </c>
      <c r="M161" t="s">
        <v>72</v>
      </c>
    </row>
    <row r="162" spans="2:13">
      <c r="B162" s="12" t="s">
        <v>11</v>
      </c>
      <c r="C162">
        <v>2022</v>
      </c>
      <c r="D162" t="s">
        <v>27</v>
      </c>
      <c r="E162" s="14" t="s">
        <v>85</v>
      </c>
      <c r="G162" s="46" t="s">
        <v>86</v>
      </c>
      <c r="I162" s="18" t="s">
        <v>87</v>
      </c>
      <c r="K162">
        <v>246865.94</v>
      </c>
      <c r="L162" s="11" t="s">
        <v>88</v>
      </c>
      <c r="M162" t="s">
        <v>72</v>
      </c>
    </row>
    <row r="163" spans="2:13">
      <c r="B163" s="12" t="s">
        <v>11</v>
      </c>
      <c r="C163">
        <v>2022</v>
      </c>
      <c r="D163" t="s">
        <v>28</v>
      </c>
      <c r="E163" s="14" t="s">
        <v>83</v>
      </c>
      <c r="G163" s="33" t="s">
        <v>77</v>
      </c>
      <c r="I163" s="45" t="s">
        <v>84</v>
      </c>
      <c r="K163">
        <v>14000</v>
      </c>
      <c r="L163" t="s">
        <v>15</v>
      </c>
      <c r="M163" t="s">
        <v>72</v>
      </c>
    </row>
    <row r="164" spans="2:13">
      <c r="B164" s="12" t="s">
        <v>11</v>
      </c>
      <c r="C164">
        <v>2022</v>
      </c>
      <c r="D164" t="s">
        <v>28</v>
      </c>
      <c r="E164" s="14" t="s">
        <v>76</v>
      </c>
      <c r="G164" s="33" t="s">
        <v>77</v>
      </c>
      <c r="I164" s="18" t="s">
        <v>71</v>
      </c>
      <c r="K164">
        <v>7875</v>
      </c>
      <c r="L164" t="s">
        <v>15</v>
      </c>
      <c r="M164" t="s">
        <v>72</v>
      </c>
    </row>
    <row r="165" spans="2:13">
      <c r="B165" s="12" t="s">
        <v>11</v>
      </c>
      <c r="C165">
        <v>2022</v>
      </c>
      <c r="D165" t="s">
        <v>28</v>
      </c>
      <c r="E165" s="14" t="s">
        <v>81</v>
      </c>
      <c r="G165" s="33" t="s">
        <v>77</v>
      </c>
      <c r="I165" s="32" t="s">
        <v>82</v>
      </c>
      <c r="K165">
        <v>23920</v>
      </c>
      <c r="L165" t="s">
        <v>15</v>
      </c>
      <c r="M165" t="s">
        <v>72</v>
      </c>
    </row>
    <row r="166" spans="2:13">
      <c r="B166" s="12" t="s">
        <v>11</v>
      </c>
      <c r="C166">
        <v>2022</v>
      </c>
      <c r="D166" t="s">
        <v>28</v>
      </c>
      <c r="E166" s="14" t="s">
        <v>92</v>
      </c>
      <c r="G166" s="33" t="s">
        <v>93</v>
      </c>
      <c r="I166" s="15" t="s">
        <v>16</v>
      </c>
      <c r="K166">
        <v>50000</v>
      </c>
      <c r="L166" t="s">
        <v>15</v>
      </c>
      <c r="M166" t="s">
        <v>91</v>
      </c>
    </row>
    <row r="167" spans="2:13">
      <c r="B167" s="12" t="s">
        <v>11</v>
      </c>
      <c r="C167">
        <v>2022</v>
      </c>
      <c r="D167" t="s">
        <v>28</v>
      </c>
      <c r="E167" s="14" t="s">
        <v>105</v>
      </c>
      <c r="G167" s="33" t="s">
        <v>106</v>
      </c>
      <c r="I167" s="15" t="s">
        <v>107</v>
      </c>
      <c r="K167">
        <v>13150</v>
      </c>
      <c r="L167" s="11" t="s">
        <v>8</v>
      </c>
      <c r="M167" t="s">
        <v>72</v>
      </c>
    </row>
    <row r="168" spans="2:13">
      <c r="B168" s="12" t="s">
        <v>11</v>
      </c>
      <c r="C168">
        <v>2022</v>
      </c>
      <c r="D168" t="s">
        <v>28</v>
      </c>
      <c r="E168" s="14" t="s">
        <v>108</v>
      </c>
      <c r="G168" s="33" t="s">
        <v>106</v>
      </c>
      <c r="I168" s="15" t="s">
        <v>107</v>
      </c>
      <c r="K168">
        <v>13000</v>
      </c>
      <c r="L168" s="11" t="s">
        <v>8</v>
      </c>
      <c r="M168" t="s">
        <v>72</v>
      </c>
    </row>
    <row r="169" spans="2:13">
      <c r="B169" s="12" t="s">
        <v>11</v>
      </c>
      <c r="C169">
        <v>2022</v>
      </c>
      <c r="D169" t="s">
        <v>31</v>
      </c>
      <c r="E169" s="14" t="s">
        <v>69</v>
      </c>
      <c r="F169" s="12"/>
      <c r="G169" s="33" t="s">
        <v>70</v>
      </c>
      <c r="I169" s="18" t="s">
        <v>99</v>
      </c>
      <c r="K169">
        <v>24000</v>
      </c>
      <c r="L169" t="s">
        <v>15</v>
      </c>
      <c r="M169" t="s">
        <v>72</v>
      </c>
    </row>
    <row r="170" spans="2:13">
      <c r="B170" s="12" t="s">
        <v>11</v>
      </c>
      <c r="C170">
        <v>2022</v>
      </c>
      <c r="D170" t="s">
        <v>31</v>
      </c>
      <c r="E170" s="14" t="s">
        <v>74</v>
      </c>
      <c r="G170" s="44" t="s">
        <v>75</v>
      </c>
      <c r="I170" s="18" t="s">
        <v>71</v>
      </c>
      <c r="K170">
        <v>99000</v>
      </c>
      <c r="L170" t="s">
        <v>15</v>
      </c>
      <c r="M170" t="s">
        <v>72</v>
      </c>
    </row>
    <row r="171" spans="2:13">
      <c r="B171" s="12" t="s">
        <v>11</v>
      </c>
      <c r="C171">
        <v>2022</v>
      </c>
      <c r="D171" t="s">
        <v>31</v>
      </c>
      <c r="E171" s="14" t="s">
        <v>78</v>
      </c>
      <c r="F171" s="12"/>
      <c r="G171" s="47" t="s">
        <v>75</v>
      </c>
      <c r="I171" s="18" t="s">
        <v>71</v>
      </c>
      <c r="K171">
        <v>24750</v>
      </c>
      <c r="L171" t="s">
        <v>15</v>
      </c>
      <c r="M171" t="s">
        <v>72</v>
      </c>
    </row>
    <row r="172" spans="2:13">
      <c r="B172" s="12" t="s">
        <v>11</v>
      </c>
      <c r="C172">
        <v>2022</v>
      </c>
      <c r="D172" t="s">
        <v>31</v>
      </c>
      <c r="E172" s="14" t="s">
        <v>78</v>
      </c>
      <c r="G172" s="47" t="s">
        <v>75</v>
      </c>
      <c r="I172" s="18" t="s">
        <v>71</v>
      </c>
      <c r="K172">
        <v>74250</v>
      </c>
      <c r="L172" t="s">
        <v>15</v>
      </c>
      <c r="M172" t="s">
        <v>72</v>
      </c>
    </row>
    <row r="173" spans="2:13">
      <c r="B173" s="12" t="s">
        <v>11</v>
      </c>
      <c r="C173">
        <v>2022</v>
      </c>
      <c r="D173" t="s">
        <v>31</v>
      </c>
      <c r="E173" s="14" t="s">
        <v>92</v>
      </c>
      <c r="G173" s="33" t="s">
        <v>93</v>
      </c>
      <c r="I173" s="15" t="s">
        <v>16</v>
      </c>
      <c r="K173">
        <v>50000</v>
      </c>
      <c r="L173" t="s">
        <v>15</v>
      </c>
      <c r="M173" t="s">
        <v>91</v>
      </c>
    </row>
    <row r="174" spans="2:13">
      <c r="B174" s="12" t="s">
        <v>11</v>
      </c>
      <c r="C174">
        <v>2022</v>
      </c>
      <c r="D174" t="s">
        <v>31</v>
      </c>
      <c r="E174" s="14" t="s">
        <v>90</v>
      </c>
      <c r="F174" s="12"/>
      <c r="G174" s="46" t="s">
        <v>86</v>
      </c>
      <c r="I174" s="18" t="s">
        <v>87</v>
      </c>
      <c r="K174">
        <v>86243</v>
      </c>
      <c r="L174" s="11" t="s">
        <v>88</v>
      </c>
      <c r="M174" t="s">
        <v>72</v>
      </c>
    </row>
    <row r="175" spans="2:13">
      <c r="B175" s="12" t="s">
        <v>11</v>
      </c>
      <c r="C175">
        <v>2022</v>
      </c>
      <c r="D175" s="12" t="s">
        <v>33</v>
      </c>
      <c r="E175" s="14" t="s">
        <v>69</v>
      </c>
      <c r="F175" s="12"/>
      <c r="G175" s="33" t="s">
        <v>70</v>
      </c>
      <c r="I175" s="18" t="s">
        <v>99</v>
      </c>
      <c r="K175">
        <v>96000</v>
      </c>
      <c r="L175" t="s">
        <v>15</v>
      </c>
      <c r="M175" t="s">
        <v>72</v>
      </c>
    </row>
    <row r="176" spans="2:13">
      <c r="B176" s="12" t="s">
        <v>11</v>
      </c>
      <c r="C176">
        <v>2022</v>
      </c>
      <c r="D176" s="12" t="s">
        <v>33</v>
      </c>
      <c r="E176" s="14" t="s">
        <v>102</v>
      </c>
      <c r="G176" s="33" t="s">
        <v>77</v>
      </c>
      <c r="I176" s="32" t="s">
        <v>104</v>
      </c>
      <c r="K176">
        <v>25000</v>
      </c>
      <c r="L176" t="s">
        <v>15</v>
      </c>
      <c r="M176" t="s">
        <v>72</v>
      </c>
    </row>
    <row r="177" spans="2:13">
      <c r="B177" s="12" t="s">
        <v>11</v>
      </c>
      <c r="C177">
        <v>2022</v>
      </c>
      <c r="D177" s="12" t="s">
        <v>33</v>
      </c>
      <c r="E177" s="14" t="s">
        <v>89</v>
      </c>
      <c r="G177" s="46" t="s">
        <v>86</v>
      </c>
      <c r="I177" s="18" t="s">
        <v>87</v>
      </c>
      <c r="K177">
        <v>80200</v>
      </c>
      <c r="L177" s="11" t="s">
        <v>8</v>
      </c>
      <c r="M177" t="s">
        <v>116</v>
      </c>
    </row>
    <row r="178" spans="2:13">
      <c r="B178" s="12" t="s">
        <v>11</v>
      </c>
      <c r="C178">
        <v>2022</v>
      </c>
      <c r="D178" s="12" t="s">
        <v>33</v>
      </c>
      <c r="E178" s="14" t="s">
        <v>92</v>
      </c>
      <c r="G178" s="33" t="s">
        <v>93</v>
      </c>
      <c r="I178" s="15" t="s">
        <v>16</v>
      </c>
      <c r="K178">
        <v>50000</v>
      </c>
      <c r="L178" t="s">
        <v>15</v>
      </c>
      <c r="M178" t="s">
        <v>91</v>
      </c>
    </row>
    <row r="179" spans="2:13">
      <c r="B179" s="12" t="s">
        <v>11</v>
      </c>
      <c r="C179">
        <v>2022</v>
      </c>
      <c r="D179" t="s">
        <v>34</v>
      </c>
      <c r="E179" s="14" t="s">
        <v>69</v>
      </c>
      <c r="F179" s="12"/>
      <c r="G179" s="33" t="s">
        <v>70</v>
      </c>
      <c r="I179" s="18" t="s">
        <v>99</v>
      </c>
      <c r="K179">
        <v>48000</v>
      </c>
      <c r="L179" t="s">
        <v>15</v>
      </c>
      <c r="M179" t="s">
        <v>72</v>
      </c>
    </row>
    <row r="180" spans="2:13">
      <c r="B180" s="12" t="s">
        <v>11</v>
      </c>
      <c r="C180">
        <v>2022</v>
      </c>
      <c r="D180" t="s">
        <v>34</v>
      </c>
      <c r="E180" s="14" t="s">
        <v>102</v>
      </c>
      <c r="G180" s="33" t="s">
        <v>77</v>
      </c>
      <c r="I180" s="32" t="s">
        <v>104</v>
      </c>
      <c r="K180">
        <v>25000</v>
      </c>
      <c r="L180" t="s">
        <v>15</v>
      </c>
      <c r="M180" t="s">
        <v>72</v>
      </c>
    </row>
    <row r="181" spans="2:13">
      <c r="B181" s="12" t="s">
        <v>11</v>
      </c>
      <c r="C181">
        <v>2022</v>
      </c>
      <c r="D181" t="s">
        <v>34</v>
      </c>
      <c r="E181" s="14" t="s">
        <v>83</v>
      </c>
      <c r="G181" s="33" t="s">
        <v>77</v>
      </c>
      <c r="I181" s="45" t="s">
        <v>84</v>
      </c>
      <c r="K181">
        <v>13000</v>
      </c>
      <c r="L181" t="s">
        <v>15</v>
      </c>
      <c r="M181" t="s">
        <v>72</v>
      </c>
    </row>
    <row r="182" spans="2:13">
      <c r="B182" s="12" t="s">
        <v>11</v>
      </c>
      <c r="C182">
        <v>2022</v>
      </c>
      <c r="D182" t="s">
        <v>34</v>
      </c>
      <c r="E182" s="14" t="s">
        <v>76</v>
      </c>
      <c r="G182" s="33" t="s">
        <v>77</v>
      </c>
      <c r="I182" s="18" t="s">
        <v>71</v>
      </c>
      <c r="K182">
        <v>7875</v>
      </c>
      <c r="L182" t="s">
        <v>15</v>
      </c>
      <c r="M182" t="s">
        <v>72</v>
      </c>
    </row>
    <row r="183" spans="2:13">
      <c r="B183" s="12" t="s">
        <v>11</v>
      </c>
      <c r="C183">
        <v>2022</v>
      </c>
      <c r="D183" t="s">
        <v>34</v>
      </c>
      <c r="E183" s="14" t="s">
        <v>78</v>
      </c>
      <c r="F183" s="12"/>
      <c r="G183" s="47" t="s">
        <v>75</v>
      </c>
      <c r="I183" s="18" t="s">
        <v>71</v>
      </c>
      <c r="K183">
        <v>25750</v>
      </c>
      <c r="L183" t="s">
        <v>15</v>
      </c>
      <c r="M183" t="s">
        <v>72</v>
      </c>
    </row>
    <row r="184" spans="2:13">
      <c r="B184" s="12" t="s">
        <v>11</v>
      </c>
      <c r="C184">
        <v>2022</v>
      </c>
      <c r="D184" t="s">
        <v>34</v>
      </c>
      <c r="E184" s="14" t="s">
        <v>105</v>
      </c>
      <c r="G184" s="33" t="s">
        <v>106</v>
      </c>
      <c r="I184" s="15" t="s">
        <v>107</v>
      </c>
      <c r="K184">
        <v>20685</v>
      </c>
      <c r="L184" s="11" t="s">
        <v>8</v>
      </c>
      <c r="M184" t="s">
        <v>72</v>
      </c>
    </row>
    <row r="185" spans="2:13">
      <c r="B185" s="12" t="s">
        <v>11</v>
      </c>
      <c r="C185">
        <v>2022</v>
      </c>
      <c r="D185" t="s">
        <v>34</v>
      </c>
      <c r="E185" s="14" t="s">
        <v>108</v>
      </c>
      <c r="G185" s="33" t="s">
        <v>106</v>
      </c>
      <c r="I185" s="15" t="s">
        <v>107</v>
      </c>
      <c r="K185">
        <v>22905</v>
      </c>
      <c r="L185" s="11" t="s">
        <v>8</v>
      </c>
      <c r="M185" t="s">
        <v>72</v>
      </c>
    </row>
    <row r="186" spans="2:13">
      <c r="B186" s="12" t="s">
        <v>11</v>
      </c>
      <c r="C186">
        <v>2022</v>
      </c>
      <c r="D186" t="s">
        <v>34</v>
      </c>
      <c r="E186" s="14" t="s">
        <v>85</v>
      </c>
      <c r="G186" s="46" t="s">
        <v>86</v>
      </c>
      <c r="I186" s="18" t="s">
        <v>87</v>
      </c>
      <c r="K186">
        <v>158294.82999999999</v>
      </c>
      <c r="L186" s="11" t="s">
        <v>88</v>
      </c>
      <c r="M186" t="s">
        <v>72</v>
      </c>
    </row>
    <row r="187" spans="2:13">
      <c r="B187" s="12" t="s">
        <v>11</v>
      </c>
      <c r="C187">
        <v>2022</v>
      </c>
      <c r="D187" t="s">
        <v>34</v>
      </c>
      <c r="E187" s="14" t="s">
        <v>90</v>
      </c>
      <c r="F187" s="12"/>
      <c r="G187" s="46" t="s">
        <v>86</v>
      </c>
      <c r="I187" s="18" t="s">
        <v>87</v>
      </c>
      <c r="K187">
        <v>92757.39</v>
      </c>
      <c r="L187" s="11" t="s">
        <v>88</v>
      </c>
      <c r="M187" t="s">
        <v>72</v>
      </c>
    </row>
    <row r="188" spans="2:13">
      <c r="B188" s="12" t="s">
        <v>11</v>
      </c>
      <c r="C188">
        <v>2022</v>
      </c>
      <c r="D188" t="s">
        <v>34</v>
      </c>
      <c r="E188" s="14" t="s">
        <v>92</v>
      </c>
      <c r="G188" s="33" t="s">
        <v>93</v>
      </c>
      <c r="I188" s="15" t="s">
        <v>16</v>
      </c>
      <c r="K188">
        <v>80000</v>
      </c>
      <c r="L188" t="s">
        <v>15</v>
      </c>
      <c r="M188" t="s">
        <v>91</v>
      </c>
    </row>
    <row r="189" spans="2:13">
      <c r="B189" s="12" t="s">
        <v>11</v>
      </c>
      <c r="C189">
        <v>2022</v>
      </c>
      <c r="D189" t="s">
        <v>38</v>
      </c>
      <c r="E189" s="14" t="s">
        <v>69</v>
      </c>
      <c r="F189" s="12"/>
      <c r="G189" s="33" t="s">
        <v>70</v>
      </c>
      <c r="I189" s="18" t="s">
        <v>99</v>
      </c>
      <c r="K189">
        <v>96000</v>
      </c>
      <c r="L189" t="s">
        <v>15</v>
      </c>
      <c r="M189" t="s">
        <v>72</v>
      </c>
    </row>
    <row r="190" spans="2:13">
      <c r="B190" s="12" t="s">
        <v>11</v>
      </c>
      <c r="C190">
        <v>2022</v>
      </c>
      <c r="D190" t="s">
        <v>38</v>
      </c>
      <c r="E190" s="14" t="s">
        <v>78</v>
      </c>
      <c r="G190" s="47" t="s">
        <v>75</v>
      </c>
      <c r="I190" s="18" t="s">
        <v>71</v>
      </c>
      <c r="K190">
        <v>123750</v>
      </c>
      <c r="L190" t="s">
        <v>15</v>
      </c>
      <c r="M190" t="s">
        <v>72</v>
      </c>
    </row>
    <row r="191" spans="2:13">
      <c r="B191" s="12" t="s">
        <v>11</v>
      </c>
      <c r="C191">
        <v>2022</v>
      </c>
      <c r="D191" t="s">
        <v>38</v>
      </c>
      <c r="E191" s="14" t="s">
        <v>83</v>
      </c>
      <c r="G191" s="33" t="s">
        <v>77</v>
      </c>
      <c r="I191" s="45" t="s">
        <v>84</v>
      </c>
      <c r="K191">
        <v>6000</v>
      </c>
      <c r="L191" t="s">
        <v>15</v>
      </c>
      <c r="M191" t="s">
        <v>72</v>
      </c>
    </row>
    <row r="192" spans="2:13">
      <c r="B192" s="12" t="s">
        <v>11</v>
      </c>
      <c r="C192">
        <v>2022</v>
      </c>
      <c r="D192" t="s">
        <v>38</v>
      </c>
      <c r="E192" s="14" t="s">
        <v>79</v>
      </c>
      <c r="G192" s="33" t="s">
        <v>77</v>
      </c>
      <c r="I192" s="18" t="s">
        <v>71</v>
      </c>
      <c r="K192">
        <v>6000</v>
      </c>
      <c r="L192" t="s">
        <v>15</v>
      </c>
      <c r="M192" t="s">
        <v>72</v>
      </c>
    </row>
    <row r="193" spans="2:13">
      <c r="B193" s="12" t="s">
        <v>11</v>
      </c>
      <c r="C193">
        <v>2022</v>
      </c>
      <c r="D193" t="s">
        <v>38</v>
      </c>
      <c r="E193" s="14" t="s">
        <v>76</v>
      </c>
      <c r="G193" s="33" t="s">
        <v>77</v>
      </c>
      <c r="I193" s="18" t="s">
        <v>71</v>
      </c>
      <c r="K193">
        <v>10125</v>
      </c>
      <c r="L193" t="s">
        <v>15</v>
      </c>
      <c r="M193" t="s">
        <v>72</v>
      </c>
    </row>
    <row r="194" spans="2:13">
      <c r="B194" s="12" t="s">
        <v>11</v>
      </c>
      <c r="C194">
        <v>2022</v>
      </c>
      <c r="D194" t="s">
        <v>38</v>
      </c>
      <c r="E194" s="14" t="s">
        <v>109</v>
      </c>
      <c r="G194" s="33" t="s">
        <v>117</v>
      </c>
      <c r="I194" s="45" t="s">
        <v>110</v>
      </c>
      <c r="K194">
        <v>14125</v>
      </c>
      <c r="L194" t="s">
        <v>15</v>
      </c>
      <c r="M194" t="s">
        <v>116</v>
      </c>
    </row>
    <row r="195" spans="2:13">
      <c r="B195" s="12" t="s">
        <v>11</v>
      </c>
      <c r="C195">
        <v>2022</v>
      </c>
      <c r="D195" t="s">
        <v>38</v>
      </c>
      <c r="E195" t="s">
        <v>92</v>
      </c>
      <c r="G195" s="33" t="s">
        <v>118</v>
      </c>
      <c r="I195" t="s">
        <v>16</v>
      </c>
      <c r="K195">
        <v>30000</v>
      </c>
      <c r="L195" t="s">
        <v>15</v>
      </c>
      <c r="M195" t="s">
        <v>119</v>
      </c>
    </row>
    <row r="196" spans="2:13">
      <c r="B196" s="12" t="s">
        <v>11</v>
      </c>
      <c r="C196">
        <v>2022</v>
      </c>
      <c r="D196" t="s">
        <v>38</v>
      </c>
      <c r="E196" s="14" t="s">
        <v>105</v>
      </c>
      <c r="G196" s="33" t="s">
        <v>106</v>
      </c>
      <c r="I196" s="15" t="s">
        <v>107</v>
      </c>
      <c r="K196">
        <v>24630</v>
      </c>
      <c r="L196" s="11" t="s">
        <v>8</v>
      </c>
      <c r="M196" t="s">
        <v>72</v>
      </c>
    </row>
    <row r="197" spans="2:13">
      <c r="B197" s="12" t="s">
        <v>11</v>
      </c>
      <c r="C197">
        <v>2022</v>
      </c>
      <c r="D197" t="s">
        <v>43</v>
      </c>
      <c r="E197" s="14" t="s">
        <v>69</v>
      </c>
      <c r="F197" s="12"/>
      <c r="G197" s="33" t="s">
        <v>70</v>
      </c>
      <c r="I197" s="18" t="s">
        <v>99</v>
      </c>
      <c r="K197">
        <v>96000</v>
      </c>
      <c r="L197" t="s">
        <v>15</v>
      </c>
      <c r="M197" t="s">
        <v>72</v>
      </c>
    </row>
    <row r="198" spans="2:13">
      <c r="B198" s="12" t="s">
        <v>11</v>
      </c>
      <c r="C198">
        <v>2022</v>
      </c>
      <c r="D198" t="s">
        <v>43</v>
      </c>
      <c r="E198" s="14" t="s">
        <v>69</v>
      </c>
      <c r="G198" s="33" t="s">
        <v>11</v>
      </c>
      <c r="I198" s="48" t="s">
        <v>16</v>
      </c>
      <c r="K198">
        <v>23575</v>
      </c>
      <c r="L198" t="s">
        <v>15</v>
      </c>
      <c r="M198" t="s">
        <v>119</v>
      </c>
    </row>
    <row r="199" spans="2:13">
      <c r="B199" s="12" t="s">
        <v>11</v>
      </c>
      <c r="C199">
        <v>2022</v>
      </c>
      <c r="D199" t="s">
        <v>43</v>
      </c>
      <c r="E199" s="14" t="s">
        <v>102</v>
      </c>
      <c r="G199" s="33" t="s">
        <v>77</v>
      </c>
      <c r="I199" s="32" t="s">
        <v>104</v>
      </c>
      <c r="K199">
        <v>100000</v>
      </c>
      <c r="L199" t="s">
        <v>15</v>
      </c>
      <c r="M199" t="s">
        <v>72</v>
      </c>
    </row>
    <row r="200" spans="2:13">
      <c r="B200" s="12" t="s">
        <v>11</v>
      </c>
      <c r="C200">
        <v>2022</v>
      </c>
      <c r="D200" t="s">
        <v>43</v>
      </c>
      <c r="E200" s="14" t="s">
        <v>78</v>
      </c>
      <c r="F200" s="12"/>
      <c r="G200" s="47" t="s">
        <v>75</v>
      </c>
      <c r="I200" s="18" t="s">
        <v>71</v>
      </c>
      <c r="K200">
        <v>49500</v>
      </c>
      <c r="L200" t="s">
        <v>15</v>
      </c>
      <c r="M200" t="s">
        <v>72</v>
      </c>
    </row>
    <row r="201" spans="2:13">
      <c r="B201" s="12" t="s">
        <v>11</v>
      </c>
      <c r="C201">
        <v>2022</v>
      </c>
      <c r="D201" t="s">
        <v>43</v>
      </c>
      <c r="E201" s="14" t="s">
        <v>74</v>
      </c>
      <c r="G201" s="44" t="s">
        <v>75</v>
      </c>
      <c r="I201" s="18" t="s">
        <v>71</v>
      </c>
      <c r="K201">
        <v>148500</v>
      </c>
      <c r="L201" t="s">
        <v>15</v>
      </c>
      <c r="M201" t="s">
        <v>72</v>
      </c>
    </row>
    <row r="202" spans="2:13">
      <c r="B202" s="12" t="s">
        <v>11</v>
      </c>
      <c r="C202">
        <v>2022</v>
      </c>
      <c r="D202" t="s">
        <v>43</v>
      </c>
      <c r="E202" t="s">
        <v>92</v>
      </c>
      <c r="G202" s="33" t="s">
        <v>118</v>
      </c>
      <c r="I202" t="s">
        <v>16</v>
      </c>
      <c r="K202">
        <v>40000</v>
      </c>
      <c r="L202" t="s">
        <v>15</v>
      </c>
      <c r="M202" t="s">
        <v>119</v>
      </c>
    </row>
    <row r="203" spans="2:13">
      <c r="B203" s="12" t="s">
        <v>11</v>
      </c>
      <c r="C203">
        <v>2022</v>
      </c>
      <c r="D203" t="s">
        <v>43</v>
      </c>
      <c r="E203" s="14" t="s">
        <v>89</v>
      </c>
      <c r="G203" s="46" t="s">
        <v>86</v>
      </c>
      <c r="I203" s="18" t="s">
        <v>87</v>
      </c>
      <c r="K203">
        <v>71875</v>
      </c>
      <c r="L203" s="11" t="s">
        <v>8</v>
      </c>
      <c r="M203" t="s">
        <v>116</v>
      </c>
    </row>
    <row r="204" spans="2:13">
      <c r="B204" s="12" t="s">
        <v>11</v>
      </c>
      <c r="C204">
        <v>2022</v>
      </c>
      <c r="D204" t="s">
        <v>45</v>
      </c>
      <c r="E204" s="14" t="s">
        <v>78</v>
      </c>
      <c r="F204" s="12"/>
      <c r="G204" s="47" t="s">
        <v>75</v>
      </c>
      <c r="I204" s="18" t="s">
        <v>71</v>
      </c>
      <c r="K204">
        <v>49500</v>
      </c>
      <c r="L204" t="s">
        <v>15</v>
      </c>
      <c r="M204" t="s">
        <v>72</v>
      </c>
    </row>
    <row r="205" spans="2:13">
      <c r="B205" s="12" t="s">
        <v>11</v>
      </c>
      <c r="C205">
        <v>2022</v>
      </c>
      <c r="D205" t="s">
        <v>45</v>
      </c>
      <c r="E205" s="14" t="s">
        <v>74</v>
      </c>
      <c r="G205" s="44" t="s">
        <v>75</v>
      </c>
      <c r="I205" s="18" t="s">
        <v>71</v>
      </c>
      <c r="K205">
        <v>24750</v>
      </c>
      <c r="L205" t="s">
        <v>15</v>
      </c>
      <c r="M205" t="s">
        <v>72</v>
      </c>
    </row>
    <row r="206" spans="2:13">
      <c r="B206" s="12" t="s">
        <v>11</v>
      </c>
      <c r="C206">
        <v>2022</v>
      </c>
      <c r="D206" t="s">
        <v>45</v>
      </c>
      <c r="E206" s="14" t="s">
        <v>69</v>
      </c>
      <c r="G206" s="33" t="s">
        <v>11</v>
      </c>
      <c r="I206" s="48" t="s">
        <v>16</v>
      </c>
      <c r="K206">
        <v>6775</v>
      </c>
      <c r="L206" t="s">
        <v>15</v>
      </c>
      <c r="M206" t="s">
        <v>119</v>
      </c>
    </row>
    <row r="207" spans="2:13">
      <c r="B207" s="12" t="s">
        <v>11</v>
      </c>
      <c r="C207">
        <v>2022</v>
      </c>
      <c r="D207" t="s">
        <v>45</v>
      </c>
      <c r="E207" s="14" t="s">
        <v>92</v>
      </c>
      <c r="G207" s="33" t="s">
        <v>93</v>
      </c>
      <c r="I207" s="15" t="s">
        <v>16</v>
      </c>
      <c r="K207">
        <v>57750</v>
      </c>
      <c r="L207" t="s">
        <v>15</v>
      </c>
      <c r="M207" t="s">
        <v>91</v>
      </c>
    </row>
    <row r="208" spans="2:13">
      <c r="B208" s="12" t="s">
        <v>11</v>
      </c>
      <c r="C208">
        <v>2022</v>
      </c>
      <c r="D208" t="s">
        <v>47</v>
      </c>
      <c r="E208" s="14" t="s">
        <v>69</v>
      </c>
      <c r="F208" s="12"/>
      <c r="G208" s="33" t="s">
        <v>70</v>
      </c>
      <c r="I208" s="18" t="s">
        <v>99</v>
      </c>
      <c r="K208">
        <v>72000</v>
      </c>
      <c r="L208" t="s">
        <v>15</v>
      </c>
      <c r="M208" t="s">
        <v>72</v>
      </c>
    </row>
    <row r="209" spans="2:13">
      <c r="B209" s="12" t="s">
        <v>11</v>
      </c>
      <c r="C209">
        <v>2022</v>
      </c>
      <c r="D209" t="s">
        <v>47</v>
      </c>
      <c r="E209" s="14" t="s">
        <v>102</v>
      </c>
      <c r="G209" s="33" t="s">
        <v>77</v>
      </c>
      <c r="I209" s="32" t="s">
        <v>104</v>
      </c>
      <c r="K209">
        <v>50000</v>
      </c>
      <c r="L209" t="s">
        <v>15</v>
      </c>
      <c r="M209" t="s">
        <v>72</v>
      </c>
    </row>
    <row r="210" spans="2:13">
      <c r="B210" s="12" t="s">
        <v>11</v>
      </c>
      <c r="C210">
        <v>2022</v>
      </c>
      <c r="D210" t="s">
        <v>47</v>
      </c>
      <c r="E210" s="14" t="s">
        <v>79</v>
      </c>
      <c r="G210" s="33" t="s">
        <v>77</v>
      </c>
      <c r="I210" s="18" t="s">
        <v>71</v>
      </c>
      <c r="K210">
        <v>11000</v>
      </c>
      <c r="L210" t="s">
        <v>15</v>
      </c>
      <c r="M210" t="s">
        <v>72</v>
      </c>
    </row>
    <row r="211" spans="2:13">
      <c r="B211" s="12" t="s">
        <v>11</v>
      </c>
      <c r="C211">
        <v>2022</v>
      </c>
      <c r="D211" t="s">
        <v>47</v>
      </c>
      <c r="E211" s="14" t="s">
        <v>92</v>
      </c>
      <c r="G211" s="33" t="s">
        <v>93</v>
      </c>
      <c r="I211" s="15" t="s">
        <v>16</v>
      </c>
      <c r="K211">
        <v>50000</v>
      </c>
      <c r="L211" t="s">
        <v>15</v>
      </c>
      <c r="M211" t="s">
        <v>91</v>
      </c>
    </row>
    <row r="212" spans="2:13">
      <c r="B212" s="12" t="s">
        <v>11</v>
      </c>
      <c r="C212">
        <v>2022</v>
      </c>
      <c r="D212" t="s">
        <v>47</v>
      </c>
      <c r="E212" s="14" t="s">
        <v>90</v>
      </c>
      <c r="F212" s="12"/>
      <c r="G212" s="46" t="s">
        <v>86</v>
      </c>
      <c r="I212" s="18" t="s">
        <v>87</v>
      </c>
      <c r="K212">
        <v>200890.57</v>
      </c>
      <c r="L212" s="11" t="s">
        <v>88</v>
      </c>
      <c r="M212" t="s">
        <v>72</v>
      </c>
    </row>
    <row r="213" spans="2:13">
      <c r="B213" s="12" t="s">
        <v>11</v>
      </c>
      <c r="C213">
        <v>2022</v>
      </c>
      <c r="D213" t="s">
        <v>47</v>
      </c>
      <c r="E213" s="14" t="s">
        <v>105</v>
      </c>
      <c r="G213" s="33" t="s">
        <v>106</v>
      </c>
      <c r="I213" s="15" t="s">
        <v>107</v>
      </c>
      <c r="K213">
        <v>25000</v>
      </c>
      <c r="L213" s="11" t="s">
        <v>8</v>
      </c>
      <c r="M213" t="s">
        <v>72</v>
      </c>
    </row>
    <row r="214" spans="2:13">
      <c r="B214" s="12" t="s">
        <v>11</v>
      </c>
      <c r="C214">
        <v>2022</v>
      </c>
      <c r="D214" t="s">
        <v>49</v>
      </c>
      <c r="E214" s="17" t="s">
        <v>69</v>
      </c>
      <c r="G214" s="14" t="s">
        <v>120</v>
      </c>
      <c r="I214" s="18" t="s">
        <v>99</v>
      </c>
      <c r="K214" s="17">
        <v>72000</v>
      </c>
      <c r="L214" t="s">
        <v>15</v>
      </c>
      <c r="M214" t="s">
        <v>72</v>
      </c>
    </row>
    <row r="215" spans="2:13">
      <c r="B215" s="12" t="s">
        <v>11</v>
      </c>
      <c r="C215">
        <v>2022</v>
      </c>
      <c r="D215" t="s">
        <v>49</v>
      </c>
      <c r="E215" s="14" t="s">
        <v>74</v>
      </c>
      <c r="G215" s="50" t="s">
        <v>75</v>
      </c>
      <c r="I215" s="18" t="s">
        <v>71</v>
      </c>
      <c r="K215" s="17">
        <v>49450</v>
      </c>
      <c r="L215" t="s">
        <v>15</v>
      </c>
      <c r="M215" t="s">
        <v>72</v>
      </c>
    </row>
    <row r="216" spans="2:13">
      <c r="B216" s="12" t="s">
        <v>11</v>
      </c>
      <c r="C216">
        <v>2022</v>
      </c>
      <c r="D216" t="s">
        <v>49</v>
      </c>
      <c r="E216" s="14" t="s">
        <v>102</v>
      </c>
      <c r="G216" s="17" t="s">
        <v>103</v>
      </c>
      <c r="I216" s="32" t="s">
        <v>104</v>
      </c>
      <c r="K216" s="17">
        <v>67200</v>
      </c>
      <c r="L216" t="s">
        <v>15</v>
      </c>
      <c r="M216" t="s">
        <v>72</v>
      </c>
    </row>
    <row r="217" spans="2:13">
      <c r="B217" s="12" t="s">
        <v>11</v>
      </c>
      <c r="C217">
        <v>2022</v>
      </c>
      <c r="D217" t="s">
        <v>49</v>
      </c>
      <c r="E217" s="14" t="s">
        <v>81</v>
      </c>
      <c r="G217" s="17" t="s">
        <v>77</v>
      </c>
      <c r="I217" s="32" t="s">
        <v>82</v>
      </c>
      <c r="K217" s="17">
        <v>47840</v>
      </c>
      <c r="L217" t="s">
        <v>15</v>
      </c>
      <c r="M217" t="s">
        <v>72</v>
      </c>
    </row>
    <row r="218" spans="2:13">
      <c r="B218" s="12" t="s">
        <v>11</v>
      </c>
      <c r="C218">
        <v>2022</v>
      </c>
      <c r="D218" t="s">
        <v>49</v>
      </c>
      <c r="E218" s="14" t="s">
        <v>79</v>
      </c>
      <c r="G218" s="17" t="s">
        <v>77</v>
      </c>
      <c r="I218" s="18" t="s">
        <v>71</v>
      </c>
      <c r="K218" s="17">
        <v>21000</v>
      </c>
      <c r="L218" t="s">
        <v>15</v>
      </c>
      <c r="M218" t="s">
        <v>72</v>
      </c>
    </row>
    <row r="219" spans="2:13">
      <c r="B219" s="12" t="s">
        <v>11</v>
      </c>
      <c r="C219">
        <v>2022</v>
      </c>
      <c r="D219" t="s">
        <v>49</v>
      </c>
      <c r="E219" s="14" t="s">
        <v>105</v>
      </c>
      <c r="G219" s="33" t="s">
        <v>106</v>
      </c>
      <c r="I219" s="15" t="s">
        <v>107</v>
      </c>
      <c r="K219" s="49">
        <v>25000</v>
      </c>
      <c r="L219" t="s">
        <v>8</v>
      </c>
      <c r="M219" t="s">
        <v>72</v>
      </c>
    </row>
    <row r="220" spans="2:13">
      <c r="B220" s="12" t="s">
        <v>11</v>
      </c>
      <c r="C220">
        <v>2022</v>
      </c>
      <c r="D220" t="s">
        <v>49</v>
      </c>
      <c r="E220" s="14" t="s">
        <v>92</v>
      </c>
      <c r="G220" s="33" t="s">
        <v>93</v>
      </c>
      <c r="I220" s="15" t="s">
        <v>16</v>
      </c>
      <c r="K220" s="49">
        <v>100000</v>
      </c>
      <c r="L220" t="s">
        <v>15</v>
      </c>
      <c r="M220" t="s">
        <v>91</v>
      </c>
    </row>
    <row r="221" spans="2:13">
      <c r="B221" s="12" t="s">
        <v>11</v>
      </c>
      <c r="C221">
        <v>2023</v>
      </c>
      <c r="D221" t="s">
        <v>12</v>
      </c>
      <c r="E221" s="14" t="s">
        <v>105</v>
      </c>
      <c r="F221" s="55"/>
      <c r="G221" s="33" t="s">
        <v>106</v>
      </c>
      <c r="H221" s="57"/>
      <c r="I221" s="15" t="s">
        <v>107</v>
      </c>
      <c r="J221" s="57"/>
      <c r="K221">
        <v>25000</v>
      </c>
      <c r="L221" t="s">
        <v>8</v>
      </c>
      <c r="M221" s="61" t="s">
        <v>121</v>
      </c>
    </row>
    <row r="222" spans="2:13">
      <c r="B222" s="12" t="s">
        <v>11</v>
      </c>
      <c r="C222">
        <v>2023</v>
      </c>
      <c r="D222" t="s">
        <v>12</v>
      </c>
      <c r="E222" s="14" t="s">
        <v>74</v>
      </c>
      <c r="F222" s="56"/>
      <c r="G222" s="50" t="s">
        <v>75</v>
      </c>
      <c r="H222" s="58"/>
      <c r="I222" s="18" t="s">
        <v>71</v>
      </c>
      <c r="J222" s="58"/>
      <c r="K222">
        <v>171875</v>
      </c>
      <c r="L222" t="s">
        <v>60</v>
      </c>
      <c r="M222" s="61" t="s">
        <v>73</v>
      </c>
    </row>
    <row r="223" spans="2:13">
      <c r="B223" s="12" t="s">
        <v>11</v>
      </c>
      <c r="C223">
        <v>2023</v>
      </c>
      <c r="D223" t="s">
        <v>12</v>
      </c>
      <c r="E223" s="14" t="s">
        <v>102</v>
      </c>
      <c r="F223" s="56"/>
      <c r="G223" s="17" t="s">
        <v>103</v>
      </c>
      <c r="H223" s="58"/>
      <c r="I223" s="32" t="s">
        <v>104</v>
      </c>
      <c r="J223" s="58"/>
      <c r="K223">
        <v>112000</v>
      </c>
      <c r="L223" t="s">
        <v>15</v>
      </c>
      <c r="M223" s="61" t="s">
        <v>73</v>
      </c>
    </row>
    <row r="224" spans="2:13">
      <c r="B224" s="12" t="s">
        <v>11</v>
      </c>
      <c r="C224">
        <v>2023</v>
      </c>
      <c r="D224" t="s">
        <v>12</v>
      </c>
      <c r="E224" s="14" t="s">
        <v>102</v>
      </c>
      <c r="F224" s="56"/>
      <c r="G224" s="14" t="s">
        <v>77</v>
      </c>
      <c r="H224" s="58"/>
      <c r="I224" s="32" t="s">
        <v>104</v>
      </c>
      <c r="J224" s="58"/>
      <c r="K224">
        <v>100000</v>
      </c>
      <c r="L224" t="s">
        <v>15</v>
      </c>
      <c r="M224" s="61" t="s">
        <v>73</v>
      </c>
    </row>
    <row r="225" spans="2:13">
      <c r="B225" s="12" t="s">
        <v>11</v>
      </c>
      <c r="C225">
        <v>2023</v>
      </c>
      <c r="D225" t="s">
        <v>12</v>
      </c>
      <c r="E225" s="14" t="s">
        <v>81</v>
      </c>
      <c r="G225" s="17" t="s">
        <v>77</v>
      </c>
      <c r="I225" s="32" t="s">
        <v>82</v>
      </c>
      <c r="J225" s="58"/>
      <c r="K225">
        <v>23920</v>
      </c>
      <c r="L225" t="s">
        <v>60</v>
      </c>
      <c r="M225" s="61" t="s">
        <v>73</v>
      </c>
    </row>
    <row r="226" spans="2:13">
      <c r="B226" s="12" t="s">
        <v>11</v>
      </c>
      <c r="C226">
        <v>2023</v>
      </c>
      <c r="D226" t="s">
        <v>12</v>
      </c>
      <c r="E226" s="14" t="s">
        <v>83</v>
      </c>
      <c r="G226" s="33" t="s">
        <v>77</v>
      </c>
      <c r="I226" s="45" t="s">
        <v>84</v>
      </c>
      <c r="J226" s="58"/>
      <c r="K226">
        <v>8000</v>
      </c>
      <c r="L226" t="s">
        <v>60</v>
      </c>
      <c r="M226" s="61" t="s">
        <v>73</v>
      </c>
    </row>
    <row r="227" spans="2:13">
      <c r="B227" s="12" t="s">
        <v>11</v>
      </c>
      <c r="C227">
        <v>2023</v>
      </c>
      <c r="D227" t="s">
        <v>12</v>
      </c>
      <c r="E227" s="14" t="s">
        <v>122</v>
      </c>
      <c r="F227" s="56"/>
      <c r="G227" s="33" t="s">
        <v>123</v>
      </c>
      <c r="H227" s="58"/>
      <c r="I227" s="18" t="s">
        <v>71</v>
      </c>
      <c r="J227" s="58"/>
      <c r="K227">
        <v>10125</v>
      </c>
      <c r="L227" t="s">
        <v>60</v>
      </c>
      <c r="M227" s="61" t="s">
        <v>73</v>
      </c>
    </row>
    <row r="228" spans="2:13">
      <c r="B228" s="12" t="s">
        <v>11</v>
      </c>
      <c r="C228">
        <v>2023</v>
      </c>
      <c r="D228" t="s">
        <v>12</v>
      </c>
      <c r="E228" s="14" t="s">
        <v>92</v>
      </c>
      <c r="G228" s="33" t="s">
        <v>93</v>
      </c>
      <c r="I228" s="15" t="s">
        <v>16</v>
      </c>
      <c r="J228" s="58"/>
      <c r="K228">
        <v>90000</v>
      </c>
      <c r="L228" t="s">
        <v>60</v>
      </c>
      <c r="M228" s="61" t="s">
        <v>124</v>
      </c>
    </row>
  </sheetData>
  <conditionalFormatting sqref="C3:F228 K3:M228">
    <cfRule type="expression" dxfId="184" priority="13">
      <formula>C3=""</formula>
    </cfRule>
    <cfRule type="expression" dxfId="183" priority="14">
      <formula>C3&lt;&gt;""</formula>
    </cfRule>
  </conditionalFormatting>
  <conditionalFormatting sqref="G3:J228">
    <cfRule type="expression" dxfId="182" priority="7">
      <formula>G3&lt;&gt;""</formula>
    </cfRule>
    <cfRule type="expression" dxfId="181" priority="8">
      <formula>G3=""</formula>
    </cfRule>
  </conditionalFormatting>
  <dataValidations count="9">
    <dataValidation type="list" allowBlank="1" showInputMessage="1" showErrorMessage="1" sqref="E3:E228" xr:uid="{E78F13CB-292C-4CC6-90B9-BC9A3302FB19}">
      <formula1>liste_RMPACK</formula1>
    </dataValidation>
    <dataValidation type="list" allowBlank="1" showInputMessage="1" showErrorMessage="1" sqref="M3:M228" xr:uid="{D5EE3283-451D-4630-8D32-1BDA60A7921D}">
      <formula1>Purchase_type</formula1>
    </dataValidation>
    <dataValidation type="list" allowBlank="1" showInputMessage="1" showErrorMessage="1" sqref="L3:L228" xr:uid="{E9A46B97-12BE-49A6-8A28-3AC6EB8D97EC}">
      <formula1>Liste_Unité</formula1>
    </dataValidation>
    <dataValidation type="decimal" operator="greaterThan" allowBlank="1" showInputMessage="1" showErrorMessage="1" sqref="K3:K228" xr:uid="{9F107C0A-660C-418F-AE32-D1D3114E2CF8}">
      <formula1>0</formula1>
    </dataValidation>
    <dataValidation allowBlank="1" showInputMessage="1" showErrorMessage="1" prompt="Only if the country is not in the list" sqref="J3:J228" xr:uid="{CF8DEAE4-6570-49D6-AD77-6F5F08E4D838}"/>
    <dataValidation allowBlank="1" showInputMessage="1" showErrorMessage="1" prompt="Only if the supplier is not in the list" sqref="H3:H228" xr:uid="{0E3A0912-CE61-4E50-B23D-CE5B0800191F}"/>
    <dataValidation type="list" allowBlank="1" showInputMessage="1" showErrorMessage="1" promptTitle="Country" prompt="If new country, please choose &quot;NEW&quot; in the list and enter in the column next to." sqref="I3:I228" xr:uid="{311B253A-0E31-4962-883F-034C19C5D858}">
      <formula1>liste_Country_Origin</formula1>
    </dataValidation>
    <dataValidation type="list" allowBlank="1" showInputMessage="1" showErrorMessage="1" promptTitle="RM_Pack_supplier" prompt="If new raw material or packaging, pleas choose &quot;NEW&quot; in the list and enter in the column next to" sqref="G3:G226 G228" xr:uid="{D6D1F641-EAD9-4AF6-8394-6C53E2624C35}">
      <formula1>liste_supplier_RM</formula1>
    </dataValidation>
    <dataValidation allowBlank="1" showInputMessage="1" showErrorMessage="1" prompt="Only if the raw material or packaging is not in the list" sqref="F3:F228" xr:uid="{AF66DDC4-BC31-4CF8-B086-F8614A5B6893}"/>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9E53F-63DF-40E4-B9B1-5D0B852A2725}">
  <sheetPr>
    <tabColor theme="8"/>
  </sheetPr>
  <dimension ref="B2:J3"/>
  <sheetViews>
    <sheetView workbookViewId="0">
      <selection activeCell="B3" sqref="B3"/>
    </sheetView>
  </sheetViews>
  <sheetFormatPr baseColWidth="10" defaultColWidth="11.44140625" defaultRowHeight="14.4"/>
  <cols>
    <col min="2" max="2" width="9.88671875" bestFit="1" customWidth="1"/>
    <col min="3" max="3" width="9.109375" bestFit="1" customWidth="1"/>
    <col min="4" max="4" width="7.6640625" bestFit="1" customWidth="1"/>
    <col min="5" max="5" width="45" bestFit="1" customWidth="1"/>
    <col min="6" max="6" width="21.44140625" customWidth="1"/>
    <col min="7" max="7" width="26.44140625" customWidth="1"/>
    <col min="8" max="8" width="48.5546875" customWidth="1"/>
  </cols>
  <sheetData>
    <row r="2" spans="2:10">
      <c r="B2" t="s">
        <v>0</v>
      </c>
      <c r="C2" t="s">
        <v>1</v>
      </c>
      <c r="D2" t="s">
        <v>2</v>
      </c>
      <c r="E2" t="s">
        <v>125</v>
      </c>
      <c r="F2" t="s">
        <v>126</v>
      </c>
      <c r="G2" t="s">
        <v>127</v>
      </c>
      <c r="H2" t="s">
        <v>128</v>
      </c>
      <c r="I2" t="s">
        <v>67</v>
      </c>
      <c r="J2" t="s">
        <v>8</v>
      </c>
    </row>
    <row r="3" spans="2:10">
      <c r="B3" s="7"/>
      <c r="C3" s="8"/>
      <c r="D3" s="6"/>
    </row>
  </sheetData>
  <sheetProtection algorithmName="SHA-512" hashValue="GYtyWjsP6ZNqnLacDDGwnm/L76oQfTRnLrTU8fENySRZNOygs457HupB2eqYo86UMKwFqZHKAS8kxSHkQAnrvQ==" saltValue="rKFlI8UsNna+MVC5tgBl+Q==" spinCount="100000" sheet="1" objects="1" scenarios="1"/>
  <conditionalFormatting sqref="C3:D3">
    <cfRule type="expression" dxfId="180" priority="1">
      <formula>C3=""</formula>
    </cfRule>
    <cfRule type="expression" dxfId="179" priority="2">
      <formula>C3&lt;&gt;""</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D35B8-7F41-4719-92D8-CB0DAFDBEF3D}">
  <sheetPr>
    <tabColor theme="9" tint="0.39997558519241921"/>
  </sheetPr>
  <dimension ref="B3:L48"/>
  <sheetViews>
    <sheetView topLeftCell="A34" workbookViewId="0">
      <selection activeCell="F53" sqref="F53"/>
    </sheetView>
  </sheetViews>
  <sheetFormatPr baseColWidth="10" defaultColWidth="11.44140625" defaultRowHeight="14.4"/>
  <cols>
    <col min="5" max="5" width="18.44140625" customWidth="1"/>
    <col min="6" max="6" width="20.6640625" customWidth="1"/>
    <col min="7" max="7" width="14" customWidth="1"/>
    <col min="8" max="8" width="16.44140625" customWidth="1"/>
    <col min="9" max="9" width="19.33203125" customWidth="1"/>
    <col min="10" max="10" width="19.88671875" customWidth="1"/>
    <col min="11" max="11" width="18.44140625" customWidth="1"/>
    <col min="12" max="12" width="25.109375" customWidth="1"/>
  </cols>
  <sheetData>
    <row r="3" spans="2:12">
      <c r="B3" t="s">
        <v>0</v>
      </c>
      <c r="C3" t="s">
        <v>1</v>
      </c>
      <c r="D3" t="s">
        <v>2</v>
      </c>
      <c r="E3" t="s">
        <v>129</v>
      </c>
      <c r="F3" t="s">
        <v>130</v>
      </c>
      <c r="G3" t="s">
        <v>131</v>
      </c>
      <c r="H3" t="s">
        <v>132</v>
      </c>
      <c r="I3" t="s">
        <v>133</v>
      </c>
      <c r="J3" t="s">
        <v>134</v>
      </c>
      <c r="K3" t="s">
        <v>135</v>
      </c>
      <c r="L3" t="s">
        <v>136</v>
      </c>
    </row>
    <row r="4" spans="2:12">
      <c r="B4" s="12" t="s">
        <v>11</v>
      </c>
      <c r="C4">
        <v>2020</v>
      </c>
      <c r="D4" t="s">
        <v>12</v>
      </c>
      <c r="E4" t="s">
        <v>137</v>
      </c>
      <c r="F4" t="s">
        <v>17</v>
      </c>
      <c r="G4" s="19"/>
      <c r="H4">
        <v>111793.8</v>
      </c>
      <c r="I4" s="19"/>
      <c r="J4" s="19"/>
      <c r="K4" s="19"/>
      <c r="L4" s="19"/>
    </row>
    <row r="5" spans="2:12">
      <c r="B5" s="12" t="s">
        <v>11</v>
      </c>
      <c r="C5" s="34">
        <v>2020</v>
      </c>
      <c r="D5" s="34" t="s">
        <v>21</v>
      </c>
      <c r="E5" s="34" t="s">
        <v>137</v>
      </c>
      <c r="F5" t="s">
        <v>17</v>
      </c>
      <c r="G5" s="11"/>
      <c r="H5" s="34">
        <v>192068</v>
      </c>
      <c r="I5" s="11"/>
      <c r="J5" s="11"/>
      <c r="K5" s="11"/>
      <c r="L5" s="11"/>
    </row>
    <row r="6" spans="2:12">
      <c r="B6" s="12" t="s">
        <v>11</v>
      </c>
      <c r="C6" s="34">
        <v>2020</v>
      </c>
      <c r="D6" s="34" t="s">
        <v>27</v>
      </c>
      <c r="E6" s="34" t="s">
        <v>137</v>
      </c>
      <c r="F6" t="s">
        <v>17</v>
      </c>
      <c r="G6" s="19"/>
      <c r="H6" s="34">
        <v>135888.6</v>
      </c>
      <c r="I6" s="19"/>
      <c r="J6" s="19"/>
      <c r="K6" s="19"/>
      <c r="L6" s="19"/>
    </row>
    <row r="7" spans="2:12">
      <c r="B7" s="12" t="s">
        <v>11</v>
      </c>
      <c r="C7" s="34">
        <v>2020</v>
      </c>
      <c r="D7" s="34" t="s">
        <v>28</v>
      </c>
      <c r="E7" s="34" t="s">
        <v>137</v>
      </c>
      <c r="F7" t="s">
        <v>17</v>
      </c>
      <c r="G7" s="11"/>
      <c r="H7" s="34">
        <v>190371</v>
      </c>
      <c r="I7" s="11"/>
      <c r="J7" s="11"/>
      <c r="K7" s="11"/>
      <c r="L7" s="11"/>
    </row>
    <row r="8" spans="2:12">
      <c r="B8" s="12" t="s">
        <v>11</v>
      </c>
      <c r="C8" s="34">
        <v>2020</v>
      </c>
      <c r="D8" s="34" t="s">
        <v>28</v>
      </c>
      <c r="E8" s="34" t="s">
        <v>137</v>
      </c>
      <c r="F8" t="s">
        <v>24</v>
      </c>
      <c r="G8" s="19"/>
      <c r="H8" s="34">
        <v>33855</v>
      </c>
      <c r="I8" s="19"/>
      <c r="J8" s="19"/>
      <c r="K8" s="19"/>
      <c r="L8" s="19"/>
    </row>
    <row r="9" spans="2:12">
      <c r="B9" s="12" t="s">
        <v>11</v>
      </c>
      <c r="C9" s="34">
        <v>2020</v>
      </c>
      <c r="D9" s="34" t="s">
        <v>31</v>
      </c>
      <c r="E9" s="34" t="s">
        <v>137</v>
      </c>
      <c r="F9" t="s">
        <v>17</v>
      </c>
      <c r="G9" s="11"/>
      <c r="H9" s="34">
        <v>278657</v>
      </c>
      <c r="I9" s="11"/>
      <c r="J9" s="11"/>
      <c r="K9" s="11"/>
      <c r="L9" s="11"/>
    </row>
    <row r="10" spans="2:12">
      <c r="B10" s="12" t="s">
        <v>11</v>
      </c>
      <c r="C10" s="34">
        <v>2020</v>
      </c>
      <c r="D10" s="34" t="s">
        <v>33</v>
      </c>
      <c r="E10" s="34" t="s">
        <v>137</v>
      </c>
      <c r="F10" t="s">
        <v>17</v>
      </c>
      <c r="G10" s="19"/>
      <c r="H10" s="34">
        <v>15000.6</v>
      </c>
      <c r="I10" s="19"/>
      <c r="J10" s="19"/>
      <c r="K10" s="19"/>
      <c r="L10" s="19"/>
    </row>
    <row r="11" spans="2:12">
      <c r="B11" s="12" t="s">
        <v>11</v>
      </c>
      <c r="C11" s="34">
        <v>2020</v>
      </c>
      <c r="D11" s="34" t="s">
        <v>33</v>
      </c>
      <c r="E11" s="34" t="s">
        <v>137</v>
      </c>
      <c r="F11" t="s">
        <v>24</v>
      </c>
      <c r="G11" s="11"/>
      <c r="H11" s="34">
        <v>166335</v>
      </c>
      <c r="I11" s="11"/>
      <c r="J11" s="11"/>
      <c r="K11" s="11"/>
      <c r="L11" s="11"/>
    </row>
    <row r="12" spans="2:12">
      <c r="B12" s="12" t="s">
        <v>11</v>
      </c>
      <c r="C12" s="34">
        <v>2020</v>
      </c>
      <c r="D12" s="34" t="s">
        <v>34</v>
      </c>
      <c r="E12" s="34" t="s">
        <v>137</v>
      </c>
      <c r="F12" t="s">
        <v>17</v>
      </c>
      <c r="G12" s="19"/>
      <c r="H12" s="34">
        <v>327653</v>
      </c>
      <c r="I12" s="19"/>
      <c r="J12" s="19"/>
      <c r="K12" s="19"/>
      <c r="L12" s="19"/>
    </row>
    <row r="13" spans="2:12">
      <c r="B13" s="12" t="s">
        <v>11</v>
      </c>
      <c r="C13" s="34">
        <v>2020</v>
      </c>
      <c r="D13" s="34" t="s">
        <v>38</v>
      </c>
      <c r="E13" s="34" t="s">
        <v>137</v>
      </c>
      <c r="F13" t="s">
        <v>17</v>
      </c>
      <c r="G13" s="11"/>
      <c r="H13" s="34">
        <v>289896.59999999998</v>
      </c>
      <c r="I13" s="11"/>
      <c r="J13" s="11"/>
      <c r="K13" s="11"/>
      <c r="L13" s="11"/>
    </row>
    <row r="14" spans="2:12">
      <c r="B14" s="12" t="s">
        <v>11</v>
      </c>
      <c r="C14" s="34">
        <v>2020</v>
      </c>
      <c r="D14" s="34" t="s">
        <v>43</v>
      </c>
      <c r="E14" s="34" t="s">
        <v>137</v>
      </c>
      <c r="F14" t="s">
        <v>17</v>
      </c>
      <c r="G14" s="19"/>
      <c r="H14" s="34">
        <v>163585.20000000001</v>
      </c>
      <c r="I14" s="19"/>
      <c r="J14" s="19"/>
      <c r="K14" s="19"/>
      <c r="L14" s="19"/>
    </row>
    <row r="15" spans="2:12">
      <c r="B15" s="12" t="s">
        <v>11</v>
      </c>
      <c r="C15" s="34">
        <v>2020</v>
      </c>
      <c r="D15" s="34" t="s">
        <v>43</v>
      </c>
      <c r="E15" s="34" t="s">
        <v>137</v>
      </c>
      <c r="F15" t="s">
        <v>24</v>
      </c>
      <c r="G15" s="11"/>
      <c r="H15" s="34">
        <v>9045</v>
      </c>
      <c r="I15" s="11"/>
      <c r="J15" s="11"/>
      <c r="K15" s="11"/>
      <c r="L15" s="11"/>
    </row>
    <row r="16" spans="2:12">
      <c r="B16" s="12" t="s">
        <v>11</v>
      </c>
      <c r="C16" s="34">
        <v>2020</v>
      </c>
      <c r="D16" s="34" t="s">
        <v>45</v>
      </c>
      <c r="E16" s="34" t="s">
        <v>137</v>
      </c>
      <c r="F16" t="s">
        <v>24</v>
      </c>
      <c r="G16" s="19"/>
      <c r="H16" s="34">
        <v>214035</v>
      </c>
      <c r="I16" s="19"/>
      <c r="J16" s="19"/>
      <c r="K16" s="19"/>
      <c r="L16" s="19"/>
    </row>
    <row r="17" spans="2:12">
      <c r="B17" s="12" t="s">
        <v>11</v>
      </c>
      <c r="C17" s="34">
        <v>2020</v>
      </c>
      <c r="D17" s="34" t="s">
        <v>47</v>
      </c>
      <c r="E17" s="34" t="s">
        <v>137</v>
      </c>
      <c r="F17" t="s">
        <v>24</v>
      </c>
      <c r="G17" s="11"/>
      <c r="H17" s="34">
        <v>190545</v>
      </c>
      <c r="I17" s="11"/>
      <c r="J17" s="11"/>
      <c r="K17" s="11"/>
      <c r="L17" s="11"/>
    </row>
    <row r="18" spans="2:12">
      <c r="B18" s="12" t="s">
        <v>11</v>
      </c>
      <c r="C18" s="34">
        <v>2020</v>
      </c>
      <c r="D18" s="34" t="s">
        <v>49</v>
      </c>
      <c r="E18" s="34" t="s">
        <v>137</v>
      </c>
      <c r="F18" t="s">
        <v>17</v>
      </c>
      <c r="G18" s="19"/>
      <c r="H18" s="34">
        <v>144871.6</v>
      </c>
      <c r="I18" s="19"/>
      <c r="J18" s="19"/>
      <c r="K18" s="19"/>
      <c r="L18" s="19"/>
    </row>
    <row r="19" spans="2:12">
      <c r="B19" s="12" t="s">
        <v>11</v>
      </c>
      <c r="C19">
        <v>2021</v>
      </c>
      <c r="D19" t="s">
        <v>12</v>
      </c>
      <c r="E19" t="s">
        <v>137</v>
      </c>
      <c r="F19" t="s">
        <v>17</v>
      </c>
      <c r="G19" s="11"/>
      <c r="H19">
        <v>65260.2</v>
      </c>
      <c r="I19" s="11"/>
      <c r="J19" s="11"/>
      <c r="K19" s="11"/>
      <c r="L19" s="11"/>
    </row>
    <row r="20" spans="2:12">
      <c r="B20" s="12" t="s">
        <v>11</v>
      </c>
      <c r="C20">
        <v>2021</v>
      </c>
      <c r="D20" t="s">
        <v>21</v>
      </c>
      <c r="E20" t="s">
        <v>137</v>
      </c>
      <c r="F20" t="s">
        <v>17</v>
      </c>
      <c r="G20" s="19"/>
      <c r="H20">
        <v>189556.8</v>
      </c>
      <c r="I20" s="19"/>
      <c r="J20" s="19"/>
      <c r="K20" s="19"/>
      <c r="L20" s="19"/>
    </row>
    <row r="21" spans="2:12">
      <c r="B21" s="12" t="s">
        <v>11</v>
      </c>
      <c r="C21" s="34">
        <v>2021</v>
      </c>
      <c r="D21" s="34" t="s">
        <v>27</v>
      </c>
      <c r="E21" s="34" t="s">
        <v>137</v>
      </c>
      <c r="F21" t="s">
        <v>17</v>
      </c>
      <c r="G21" s="11"/>
      <c r="H21" s="34">
        <v>177012.6</v>
      </c>
      <c r="I21" s="11"/>
      <c r="J21" s="11"/>
      <c r="K21" s="11"/>
      <c r="L21" s="11"/>
    </row>
    <row r="22" spans="2:12">
      <c r="B22" s="12" t="s">
        <v>11</v>
      </c>
      <c r="C22" s="34">
        <v>2021</v>
      </c>
      <c r="D22" s="34" t="s">
        <v>28</v>
      </c>
      <c r="E22" s="34" t="s">
        <v>137</v>
      </c>
      <c r="F22" t="s">
        <v>17</v>
      </c>
      <c r="G22" s="19"/>
      <c r="H22" s="34">
        <v>15897.6</v>
      </c>
      <c r="I22" s="19"/>
      <c r="J22" s="19"/>
      <c r="K22" s="19"/>
      <c r="L22" s="19"/>
    </row>
    <row r="23" spans="2:12">
      <c r="B23" s="12" t="s">
        <v>11</v>
      </c>
      <c r="C23" s="34">
        <v>2021</v>
      </c>
      <c r="D23" s="34" t="s">
        <v>31</v>
      </c>
      <c r="E23" s="34" t="s">
        <v>137</v>
      </c>
      <c r="F23" t="s">
        <v>17</v>
      </c>
      <c r="G23" s="11"/>
      <c r="H23" s="34">
        <v>185748</v>
      </c>
      <c r="I23" s="11"/>
      <c r="J23" s="11"/>
      <c r="K23" s="11"/>
      <c r="L23" s="11"/>
    </row>
    <row r="24" spans="2:12">
      <c r="B24" s="12" t="s">
        <v>11</v>
      </c>
      <c r="C24" s="34">
        <v>2021</v>
      </c>
      <c r="D24" s="34" t="s">
        <v>33</v>
      </c>
      <c r="E24" s="34" t="s">
        <v>137</v>
      </c>
      <c r="F24" t="s">
        <v>17</v>
      </c>
      <c r="G24" s="19"/>
      <c r="H24" s="34">
        <v>227644.79999999999</v>
      </c>
      <c r="I24" s="19"/>
      <c r="J24" s="19"/>
      <c r="K24" s="19"/>
      <c r="L24" s="19"/>
    </row>
    <row r="25" spans="2:12">
      <c r="B25" s="12" t="s">
        <v>11</v>
      </c>
      <c r="C25" s="34">
        <v>2021</v>
      </c>
      <c r="D25" s="34" t="s">
        <v>34</v>
      </c>
      <c r="E25" s="34" t="s">
        <v>137</v>
      </c>
      <c r="F25" t="s">
        <v>17</v>
      </c>
      <c r="G25" s="11"/>
      <c r="H25" s="34">
        <v>183967.8</v>
      </c>
      <c r="I25" s="11"/>
      <c r="J25" s="11"/>
      <c r="K25" s="11"/>
      <c r="L25" s="11"/>
    </row>
    <row r="26" spans="2:12">
      <c r="B26" s="12" t="s">
        <v>11</v>
      </c>
      <c r="C26" s="34">
        <v>2021</v>
      </c>
      <c r="D26" s="34" t="s">
        <v>34</v>
      </c>
      <c r="E26" s="34" t="s">
        <v>137</v>
      </c>
      <c r="F26" t="s">
        <v>24</v>
      </c>
      <c r="G26" s="19"/>
      <c r="H26" s="34">
        <v>68310</v>
      </c>
      <c r="I26" s="19"/>
      <c r="J26" s="19"/>
      <c r="K26" s="19"/>
      <c r="L26" s="19"/>
    </row>
    <row r="27" spans="2:12">
      <c r="B27" s="12" t="s">
        <v>11</v>
      </c>
      <c r="C27" s="34">
        <v>2021</v>
      </c>
      <c r="D27" s="34" t="s">
        <v>38</v>
      </c>
      <c r="E27" s="34" t="s">
        <v>137</v>
      </c>
      <c r="F27" t="s">
        <v>17</v>
      </c>
      <c r="G27" s="11"/>
      <c r="H27" s="34">
        <v>123786</v>
      </c>
      <c r="I27" s="11"/>
      <c r="J27" s="11"/>
      <c r="K27" s="11"/>
      <c r="L27" s="11"/>
    </row>
    <row r="28" spans="2:12">
      <c r="B28" s="12" t="s">
        <v>11</v>
      </c>
      <c r="C28" s="34">
        <v>2021</v>
      </c>
      <c r="D28" s="34" t="s">
        <v>38</v>
      </c>
      <c r="E28" s="34" t="s">
        <v>137</v>
      </c>
      <c r="F28" t="s">
        <v>24</v>
      </c>
      <c r="G28" s="19"/>
      <c r="H28" s="34">
        <v>132645</v>
      </c>
      <c r="I28" s="19"/>
      <c r="J28" s="19"/>
      <c r="K28" s="19"/>
      <c r="L28" s="19"/>
    </row>
    <row r="29" spans="2:12">
      <c r="B29" s="12" t="s">
        <v>11</v>
      </c>
      <c r="C29" s="34">
        <v>2021</v>
      </c>
      <c r="D29" s="34" t="s">
        <v>43</v>
      </c>
      <c r="E29" t="s">
        <v>137</v>
      </c>
      <c r="F29" t="s">
        <v>17</v>
      </c>
      <c r="G29" s="11"/>
      <c r="H29">
        <v>320850</v>
      </c>
      <c r="I29" s="11"/>
      <c r="J29" s="11"/>
      <c r="K29" s="11"/>
      <c r="L29" s="11"/>
    </row>
    <row r="30" spans="2:12">
      <c r="B30" s="12" t="s">
        <v>11</v>
      </c>
      <c r="C30" s="34">
        <v>2021</v>
      </c>
      <c r="D30" s="34" t="s">
        <v>45</v>
      </c>
      <c r="E30" s="34" t="s">
        <v>137</v>
      </c>
      <c r="F30" t="s">
        <v>17</v>
      </c>
      <c r="G30" s="19"/>
      <c r="H30" s="34">
        <v>261109.8</v>
      </c>
      <c r="I30" s="19"/>
      <c r="J30" s="19"/>
      <c r="K30" s="19"/>
      <c r="L30" s="19"/>
    </row>
    <row r="31" spans="2:12">
      <c r="B31" s="12" t="s">
        <v>11</v>
      </c>
      <c r="C31" s="34">
        <v>2021</v>
      </c>
      <c r="D31" s="34" t="s">
        <v>47</v>
      </c>
      <c r="E31" s="34" t="s">
        <v>137</v>
      </c>
      <c r="F31" t="s">
        <v>17</v>
      </c>
      <c r="G31" s="11"/>
      <c r="H31" s="34">
        <v>137034</v>
      </c>
      <c r="I31" s="11"/>
      <c r="J31" s="11"/>
      <c r="K31" s="11"/>
      <c r="L31" s="11"/>
    </row>
    <row r="32" spans="2:12">
      <c r="B32" s="12" t="s">
        <v>11</v>
      </c>
      <c r="C32" s="34">
        <v>2021</v>
      </c>
      <c r="D32" s="34" t="s">
        <v>49</v>
      </c>
      <c r="E32" s="34" t="s">
        <v>137</v>
      </c>
      <c r="F32" t="s">
        <v>17</v>
      </c>
      <c r="G32" s="19"/>
      <c r="H32" s="34">
        <v>150737.4</v>
      </c>
      <c r="I32" s="19"/>
      <c r="J32" s="19"/>
      <c r="K32" s="19"/>
      <c r="L32" s="19"/>
    </row>
    <row r="33" spans="2:12">
      <c r="B33" s="12" t="s">
        <v>11</v>
      </c>
      <c r="C33" s="34">
        <v>2022</v>
      </c>
      <c r="D33" s="34" t="s">
        <v>12</v>
      </c>
      <c r="E33" s="34" t="s">
        <v>137</v>
      </c>
      <c r="F33" t="s">
        <v>17</v>
      </c>
      <c r="G33" s="11"/>
      <c r="H33" s="34">
        <v>189087.6</v>
      </c>
      <c r="I33" s="11"/>
      <c r="J33" s="11"/>
      <c r="K33" s="11"/>
      <c r="L33" s="11"/>
    </row>
    <row r="34" spans="2:12">
      <c r="B34" s="12" t="s">
        <v>11</v>
      </c>
      <c r="C34" s="34">
        <v>2022</v>
      </c>
      <c r="D34" s="34" t="s">
        <v>21</v>
      </c>
      <c r="E34" s="34" t="s">
        <v>137</v>
      </c>
      <c r="F34" t="s">
        <v>17</v>
      </c>
      <c r="G34" s="19"/>
      <c r="H34" s="34">
        <v>112111.2</v>
      </c>
      <c r="I34" s="19"/>
      <c r="J34" s="19"/>
      <c r="K34" s="19"/>
      <c r="L34" s="19"/>
    </row>
    <row r="35" spans="2:12">
      <c r="B35" s="12" t="s">
        <v>11</v>
      </c>
      <c r="C35" s="34">
        <v>2022</v>
      </c>
      <c r="D35" s="34" t="s">
        <v>27</v>
      </c>
      <c r="E35" s="34" t="s">
        <v>137</v>
      </c>
      <c r="F35" t="s">
        <v>17</v>
      </c>
      <c r="G35" s="11"/>
      <c r="H35" s="34">
        <v>151800</v>
      </c>
      <c r="I35" s="11"/>
      <c r="J35" s="11"/>
      <c r="K35" s="11"/>
      <c r="L35" s="11"/>
    </row>
    <row r="36" spans="2:12">
      <c r="B36" s="12" t="s">
        <v>11</v>
      </c>
      <c r="C36" s="34">
        <v>2022</v>
      </c>
      <c r="D36" s="34" t="s">
        <v>28</v>
      </c>
      <c r="E36" s="34" t="s">
        <v>137</v>
      </c>
      <c r="F36" t="s">
        <v>17</v>
      </c>
      <c r="G36" s="19"/>
      <c r="H36" s="34">
        <v>104673</v>
      </c>
      <c r="I36" s="19"/>
      <c r="J36" s="19"/>
      <c r="K36" s="19"/>
      <c r="L36" s="19"/>
    </row>
    <row r="37" spans="2:12">
      <c r="B37" s="12" t="s">
        <v>11</v>
      </c>
      <c r="C37" s="34">
        <v>2022</v>
      </c>
      <c r="D37" s="34" t="s">
        <v>31</v>
      </c>
      <c r="E37" s="34" t="s">
        <v>137</v>
      </c>
      <c r="F37" t="s">
        <v>17</v>
      </c>
      <c r="G37" s="11"/>
      <c r="H37" s="34">
        <v>91466.4</v>
      </c>
      <c r="I37" s="11"/>
      <c r="J37" s="11"/>
      <c r="K37" s="11"/>
      <c r="L37" s="11"/>
    </row>
    <row r="38" spans="2:12">
      <c r="B38" s="12" t="s">
        <v>11</v>
      </c>
      <c r="C38" s="34">
        <v>2022</v>
      </c>
      <c r="D38" s="34" t="s">
        <v>31</v>
      </c>
      <c r="E38" s="34" t="s">
        <v>137</v>
      </c>
      <c r="F38" t="s">
        <v>24</v>
      </c>
      <c r="G38" s="19"/>
      <c r="H38" s="34">
        <v>42480</v>
      </c>
      <c r="I38" s="19"/>
      <c r="J38" s="19"/>
      <c r="K38" s="19"/>
      <c r="L38" s="19"/>
    </row>
    <row r="39" spans="2:12">
      <c r="B39" s="12" t="s">
        <v>11</v>
      </c>
      <c r="C39" s="34">
        <v>2022</v>
      </c>
      <c r="D39" s="34" t="s">
        <v>33</v>
      </c>
      <c r="E39" s="34" t="s">
        <v>137</v>
      </c>
      <c r="F39" t="s">
        <v>17</v>
      </c>
      <c r="G39" s="11"/>
      <c r="H39" s="34">
        <v>13551.6</v>
      </c>
      <c r="I39" s="11"/>
      <c r="J39" s="11"/>
      <c r="K39" s="11"/>
      <c r="L39" s="11"/>
    </row>
    <row r="40" spans="2:12">
      <c r="B40" s="12" t="s">
        <v>11</v>
      </c>
      <c r="C40" s="34">
        <v>2022</v>
      </c>
      <c r="D40" s="34" t="s">
        <v>33</v>
      </c>
      <c r="E40" s="34" t="s">
        <v>137</v>
      </c>
      <c r="F40" t="s">
        <v>24</v>
      </c>
      <c r="G40" s="19"/>
      <c r="H40" s="34">
        <v>276165</v>
      </c>
      <c r="I40" s="19"/>
      <c r="J40" s="19"/>
      <c r="K40" s="19"/>
      <c r="L40" s="19"/>
    </row>
    <row r="41" spans="2:12">
      <c r="B41" s="12" t="s">
        <v>11</v>
      </c>
      <c r="C41" s="34">
        <v>2022</v>
      </c>
      <c r="D41" s="34" t="s">
        <v>34</v>
      </c>
      <c r="E41" t="s">
        <v>137</v>
      </c>
      <c r="F41" t="s">
        <v>17</v>
      </c>
      <c r="G41" s="11"/>
      <c r="H41">
        <v>268437.59999999998</v>
      </c>
      <c r="I41" s="11"/>
      <c r="J41" s="11"/>
      <c r="K41" s="11"/>
      <c r="L41" s="11"/>
    </row>
    <row r="42" spans="2:12">
      <c r="B42" s="12" t="s">
        <v>11</v>
      </c>
      <c r="C42">
        <v>2022</v>
      </c>
      <c r="D42" t="s">
        <v>38</v>
      </c>
      <c r="E42" t="s">
        <v>137</v>
      </c>
      <c r="F42" t="s">
        <v>17</v>
      </c>
      <c r="G42" s="19"/>
      <c r="H42">
        <v>54316.800000000003</v>
      </c>
      <c r="I42" s="19"/>
      <c r="J42" s="19"/>
      <c r="K42" s="19"/>
      <c r="L42" s="19"/>
    </row>
    <row r="43" spans="2:12">
      <c r="B43" s="12" t="s">
        <v>11</v>
      </c>
      <c r="C43">
        <v>2022</v>
      </c>
      <c r="D43" t="s">
        <v>38</v>
      </c>
      <c r="E43" t="s">
        <v>137</v>
      </c>
      <c r="F43" t="s">
        <v>17</v>
      </c>
      <c r="G43" s="11"/>
      <c r="H43">
        <v>106410</v>
      </c>
      <c r="I43" s="11"/>
      <c r="J43" s="11"/>
      <c r="K43" s="11"/>
      <c r="L43" s="11"/>
    </row>
    <row r="44" spans="2:12">
      <c r="B44" s="12" t="s">
        <v>11</v>
      </c>
      <c r="C44" s="34">
        <v>2022</v>
      </c>
      <c r="D44" s="34" t="s">
        <v>43</v>
      </c>
      <c r="E44" s="34" t="s">
        <v>137</v>
      </c>
      <c r="F44" t="s">
        <v>24</v>
      </c>
      <c r="G44" s="19"/>
      <c r="H44" s="34">
        <v>73620</v>
      </c>
      <c r="I44" s="19"/>
      <c r="J44" s="19"/>
      <c r="K44" s="19"/>
      <c r="L44" s="19"/>
    </row>
    <row r="45" spans="2:12">
      <c r="B45" s="12" t="s">
        <v>11</v>
      </c>
      <c r="C45" s="34">
        <v>2022</v>
      </c>
      <c r="D45" s="34" t="s">
        <v>43</v>
      </c>
      <c r="E45" s="34" t="s">
        <v>137</v>
      </c>
      <c r="F45" t="s">
        <v>17</v>
      </c>
      <c r="G45" s="11"/>
      <c r="H45" s="34">
        <v>117217.2</v>
      </c>
      <c r="I45" s="11"/>
      <c r="J45" s="11"/>
      <c r="K45" s="11"/>
      <c r="L45" s="11"/>
    </row>
    <row r="46" spans="2:12">
      <c r="B46" s="12" t="s">
        <v>11</v>
      </c>
      <c r="C46" s="34">
        <v>2022</v>
      </c>
      <c r="D46" s="34" t="s">
        <v>47</v>
      </c>
      <c r="E46" s="34" t="s">
        <v>137</v>
      </c>
      <c r="F46" t="s">
        <v>17</v>
      </c>
      <c r="G46" s="19"/>
      <c r="H46" s="34">
        <v>168084</v>
      </c>
      <c r="I46" s="19"/>
      <c r="J46" s="19"/>
      <c r="K46" s="19"/>
      <c r="L46" s="19"/>
    </row>
    <row r="47" spans="2:12">
      <c r="B47" s="51" t="s">
        <v>11</v>
      </c>
      <c r="C47" s="52">
        <v>2022</v>
      </c>
      <c r="D47" s="53" t="s">
        <v>49</v>
      </c>
      <c r="E47" s="34" t="s">
        <v>137</v>
      </c>
      <c r="F47" t="s">
        <v>17</v>
      </c>
      <c r="H47" s="54">
        <v>365010</v>
      </c>
    </row>
    <row r="48" spans="2:12">
      <c r="B48" s="51" t="s">
        <v>11</v>
      </c>
      <c r="C48" s="52">
        <v>2023</v>
      </c>
      <c r="D48" s="53" t="s">
        <v>12</v>
      </c>
      <c r="E48" s="34" t="s">
        <v>137</v>
      </c>
      <c r="F48" t="s">
        <v>17</v>
      </c>
      <c r="H48" s="54">
        <v>382825.8</v>
      </c>
      <c r="I48">
        <v>386050</v>
      </c>
      <c r="J48">
        <v>8</v>
      </c>
      <c r="K48">
        <v>81</v>
      </c>
      <c r="L48">
        <v>8.3999999999999995E-3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58761-86EF-45F7-A46A-E6890A4BE770}">
  <sheetPr>
    <tabColor theme="9" tint="0.39997558519241921"/>
  </sheetPr>
  <dimension ref="B2:I31"/>
  <sheetViews>
    <sheetView workbookViewId="0">
      <selection activeCell="G20" sqref="G20"/>
    </sheetView>
  </sheetViews>
  <sheetFormatPr baseColWidth="10" defaultColWidth="11.44140625" defaultRowHeight="14.4"/>
  <cols>
    <col min="5" max="5" width="29.44140625" customWidth="1"/>
    <col min="6" max="6" width="29.109375" bestFit="1" customWidth="1"/>
    <col min="7" max="7" width="23" customWidth="1"/>
    <col min="8" max="8" width="18.88671875" customWidth="1"/>
    <col min="9" max="9" width="67.109375" bestFit="1" customWidth="1"/>
  </cols>
  <sheetData>
    <row r="2" spans="2:9">
      <c r="B2" t="s">
        <v>0</v>
      </c>
      <c r="C2" t="s">
        <v>1</v>
      </c>
      <c r="D2" t="s">
        <v>2</v>
      </c>
      <c r="E2" t="s">
        <v>138</v>
      </c>
      <c r="F2" t="s">
        <v>139</v>
      </c>
      <c r="G2" t="s">
        <v>140</v>
      </c>
      <c r="H2" t="s">
        <v>141</v>
      </c>
      <c r="I2" t="s">
        <v>142</v>
      </c>
    </row>
    <row r="3" spans="2:9">
      <c r="B3" s="12" t="s">
        <v>11</v>
      </c>
      <c r="C3">
        <v>2020</v>
      </c>
      <c r="D3" t="s">
        <v>12</v>
      </c>
      <c r="E3" t="s">
        <v>143</v>
      </c>
      <c r="F3" t="s">
        <v>144</v>
      </c>
      <c r="G3" s="19"/>
      <c r="H3">
        <v>5</v>
      </c>
      <c r="I3" t="s">
        <v>145</v>
      </c>
    </row>
    <row r="4" spans="2:9">
      <c r="B4" s="12" t="s">
        <v>11</v>
      </c>
      <c r="C4">
        <v>2020</v>
      </c>
      <c r="D4" t="s">
        <v>12</v>
      </c>
      <c r="E4" t="s">
        <v>143</v>
      </c>
      <c r="F4" t="s">
        <v>144</v>
      </c>
      <c r="G4" s="11"/>
      <c r="H4">
        <v>4</v>
      </c>
      <c r="I4" t="s">
        <v>146</v>
      </c>
    </row>
    <row r="5" spans="2:9">
      <c r="B5" s="12" t="s">
        <v>11</v>
      </c>
      <c r="C5">
        <v>2020</v>
      </c>
      <c r="D5" t="s">
        <v>27</v>
      </c>
      <c r="E5" t="s">
        <v>143</v>
      </c>
      <c r="F5" t="s">
        <v>147</v>
      </c>
      <c r="G5" s="19"/>
      <c r="H5">
        <v>1</v>
      </c>
      <c r="I5" t="s">
        <v>148</v>
      </c>
    </row>
    <row r="6" spans="2:9">
      <c r="B6" s="12" t="s">
        <v>11</v>
      </c>
      <c r="C6">
        <v>2020</v>
      </c>
      <c r="D6" t="s">
        <v>28</v>
      </c>
      <c r="E6" t="s">
        <v>143</v>
      </c>
      <c r="F6" t="s">
        <v>149</v>
      </c>
      <c r="G6" s="11"/>
      <c r="H6">
        <v>0</v>
      </c>
    </row>
    <row r="7" spans="2:9">
      <c r="B7" s="12" t="s">
        <v>11</v>
      </c>
      <c r="C7">
        <v>2020</v>
      </c>
      <c r="D7" t="s">
        <v>33</v>
      </c>
      <c r="E7" t="s">
        <v>143</v>
      </c>
      <c r="F7" t="s">
        <v>144</v>
      </c>
      <c r="G7" s="19"/>
      <c r="H7">
        <v>1</v>
      </c>
      <c r="I7" t="s">
        <v>150</v>
      </c>
    </row>
    <row r="8" spans="2:9">
      <c r="B8" s="12" t="s">
        <v>11</v>
      </c>
      <c r="C8">
        <v>2020</v>
      </c>
      <c r="D8" t="s">
        <v>33</v>
      </c>
      <c r="E8" t="s">
        <v>143</v>
      </c>
      <c r="F8" t="s">
        <v>151</v>
      </c>
      <c r="G8" s="11"/>
      <c r="H8">
        <v>7</v>
      </c>
      <c r="I8" t="s">
        <v>152</v>
      </c>
    </row>
    <row r="9" spans="2:9">
      <c r="B9" s="12" t="s">
        <v>11</v>
      </c>
      <c r="C9">
        <v>2020</v>
      </c>
      <c r="D9" t="s">
        <v>43</v>
      </c>
      <c r="E9" t="s">
        <v>143</v>
      </c>
      <c r="F9" t="s">
        <v>149</v>
      </c>
      <c r="G9" s="19"/>
      <c r="H9">
        <v>11</v>
      </c>
      <c r="I9" t="s">
        <v>153</v>
      </c>
    </row>
    <row r="10" spans="2:9">
      <c r="B10" s="12" t="s">
        <v>11</v>
      </c>
      <c r="C10">
        <v>2020</v>
      </c>
      <c r="D10" t="s">
        <v>45</v>
      </c>
      <c r="E10" t="s">
        <v>143</v>
      </c>
      <c r="F10" t="s">
        <v>149</v>
      </c>
      <c r="G10" s="11"/>
      <c r="H10">
        <v>2</v>
      </c>
      <c r="I10" t="s">
        <v>154</v>
      </c>
    </row>
    <row r="11" spans="2:9">
      <c r="B11" s="12" t="s">
        <v>11</v>
      </c>
      <c r="C11">
        <v>2020</v>
      </c>
      <c r="D11" t="s">
        <v>47</v>
      </c>
      <c r="E11" t="s">
        <v>143</v>
      </c>
      <c r="F11" t="s">
        <v>147</v>
      </c>
      <c r="G11" s="19"/>
      <c r="H11">
        <v>1</v>
      </c>
      <c r="I11" t="s">
        <v>154</v>
      </c>
    </row>
    <row r="12" spans="2:9">
      <c r="B12" s="12" t="s">
        <v>11</v>
      </c>
      <c r="C12">
        <v>2021</v>
      </c>
      <c r="D12" t="s">
        <v>12</v>
      </c>
      <c r="E12" t="s">
        <v>143</v>
      </c>
      <c r="F12" t="s">
        <v>147</v>
      </c>
      <c r="G12" s="11"/>
      <c r="H12">
        <v>6</v>
      </c>
      <c r="I12" t="s">
        <v>155</v>
      </c>
    </row>
    <row r="13" spans="2:9">
      <c r="B13" s="12" t="s">
        <v>11</v>
      </c>
      <c r="C13">
        <v>2021</v>
      </c>
      <c r="D13" t="s">
        <v>27</v>
      </c>
      <c r="E13" t="s">
        <v>143</v>
      </c>
      <c r="F13" t="s">
        <v>156</v>
      </c>
      <c r="G13" s="19"/>
      <c r="H13">
        <v>3</v>
      </c>
      <c r="I13" t="s">
        <v>157</v>
      </c>
    </row>
    <row r="14" spans="2:9">
      <c r="B14" s="12" t="s">
        <v>11</v>
      </c>
      <c r="C14">
        <v>2021</v>
      </c>
      <c r="D14" t="s">
        <v>27</v>
      </c>
      <c r="E14" t="s">
        <v>143</v>
      </c>
      <c r="F14" t="s">
        <v>158</v>
      </c>
      <c r="G14" s="11"/>
      <c r="H14">
        <v>1</v>
      </c>
      <c r="I14" t="s">
        <v>159</v>
      </c>
    </row>
    <row r="15" spans="2:9">
      <c r="B15" s="12" t="s">
        <v>11</v>
      </c>
      <c r="C15">
        <v>2021</v>
      </c>
      <c r="D15" t="s">
        <v>28</v>
      </c>
      <c r="E15" t="s">
        <v>143</v>
      </c>
      <c r="F15" t="s">
        <v>149</v>
      </c>
      <c r="G15" s="19"/>
      <c r="H15">
        <v>12</v>
      </c>
      <c r="I15" t="s">
        <v>160</v>
      </c>
    </row>
    <row r="16" spans="2:9">
      <c r="B16" s="12" t="s">
        <v>11</v>
      </c>
      <c r="C16">
        <v>2021</v>
      </c>
      <c r="D16" t="s">
        <v>28</v>
      </c>
      <c r="E16" t="s">
        <v>143</v>
      </c>
      <c r="F16" t="s">
        <v>149</v>
      </c>
      <c r="G16" s="11"/>
      <c r="H16">
        <v>5</v>
      </c>
      <c r="I16" t="s">
        <v>161</v>
      </c>
    </row>
    <row r="17" spans="2:9">
      <c r="B17" s="12" t="s">
        <v>11</v>
      </c>
      <c r="C17">
        <v>2021</v>
      </c>
      <c r="D17" t="s">
        <v>34</v>
      </c>
      <c r="E17" t="s">
        <v>143</v>
      </c>
      <c r="F17" t="s">
        <v>144</v>
      </c>
      <c r="G17" s="19"/>
      <c r="H17">
        <v>3</v>
      </c>
      <c r="I17" t="s">
        <v>162</v>
      </c>
    </row>
    <row r="18" spans="2:9">
      <c r="B18" s="12" t="s">
        <v>11</v>
      </c>
      <c r="C18">
        <v>2021</v>
      </c>
      <c r="D18" t="s">
        <v>38</v>
      </c>
      <c r="E18" t="s">
        <v>143</v>
      </c>
      <c r="F18" t="s">
        <v>149</v>
      </c>
      <c r="G18" s="11"/>
      <c r="H18">
        <v>1</v>
      </c>
      <c r="I18" t="s">
        <v>163</v>
      </c>
    </row>
    <row r="19" spans="2:9">
      <c r="B19" s="12" t="s">
        <v>11</v>
      </c>
      <c r="C19">
        <v>2021</v>
      </c>
      <c r="D19" t="s">
        <v>38</v>
      </c>
      <c r="E19" t="s">
        <v>143</v>
      </c>
      <c r="F19" t="s">
        <v>144</v>
      </c>
      <c r="G19" s="19"/>
      <c r="H19">
        <v>1</v>
      </c>
      <c r="I19" t="s">
        <v>164</v>
      </c>
    </row>
    <row r="20" spans="2:9">
      <c r="B20" s="12" t="s">
        <v>11</v>
      </c>
      <c r="C20">
        <v>2021</v>
      </c>
      <c r="D20" t="s">
        <v>47</v>
      </c>
      <c r="E20" t="s">
        <v>143</v>
      </c>
      <c r="F20" t="s">
        <v>149</v>
      </c>
      <c r="G20" s="11"/>
      <c r="H20">
        <v>7</v>
      </c>
      <c r="I20" t="s">
        <v>165</v>
      </c>
    </row>
    <row r="21" spans="2:9">
      <c r="B21" s="12" t="s">
        <v>11</v>
      </c>
      <c r="C21">
        <v>2021</v>
      </c>
      <c r="D21" t="s">
        <v>49</v>
      </c>
      <c r="E21" t="s">
        <v>143</v>
      </c>
      <c r="F21" t="s">
        <v>149</v>
      </c>
      <c r="G21" s="19"/>
      <c r="H21">
        <v>6</v>
      </c>
      <c r="I21" t="s">
        <v>166</v>
      </c>
    </row>
    <row r="22" spans="2:9">
      <c r="B22" s="12" t="s">
        <v>11</v>
      </c>
      <c r="C22">
        <v>2021</v>
      </c>
      <c r="D22" t="s">
        <v>49</v>
      </c>
      <c r="E22" t="s">
        <v>143</v>
      </c>
      <c r="F22" t="s">
        <v>158</v>
      </c>
      <c r="G22" s="11"/>
      <c r="H22">
        <v>1</v>
      </c>
      <c r="I22" t="s">
        <v>167</v>
      </c>
    </row>
    <row r="23" spans="2:9">
      <c r="B23" s="12" t="s">
        <v>11</v>
      </c>
      <c r="C23">
        <v>2022</v>
      </c>
      <c r="D23" t="s">
        <v>12</v>
      </c>
      <c r="E23" t="s">
        <v>143</v>
      </c>
      <c r="F23" t="s">
        <v>147</v>
      </c>
      <c r="H23">
        <v>1</v>
      </c>
      <c r="I23" t="s">
        <v>168</v>
      </c>
    </row>
    <row r="24" spans="2:9">
      <c r="B24" s="12" t="s">
        <v>11</v>
      </c>
      <c r="C24">
        <v>2022</v>
      </c>
      <c r="D24" t="s">
        <v>12</v>
      </c>
      <c r="E24" t="s">
        <v>143</v>
      </c>
      <c r="F24" t="s">
        <v>158</v>
      </c>
      <c r="H24">
        <v>2</v>
      </c>
      <c r="I24" t="s">
        <v>169</v>
      </c>
    </row>
    <row r="25" spans="2:9">
      <c r="B25" s="12" t="s">
        <v>11</v>
      </c>
      <c r="C25">
        <v>2022</v>
      </c>
      <c r="D25" t="s">
        <v>21</v>
      </c>
      <c r="E25" t="s">
        <v>143</v>
      </c>
      <c r="F25" t="s">
        <v>149</v>
      </c>
      <c r="H25">
        <v>11</v>
      </c>
    </row>
    <row r="26" spans="2:9">
      <c r="B26" s="12" t="s">
        <v>11</v>
      </c>
      <c r="C26">
        <v>2022</v>
      </c>
      <c r="D26" t="s">
        <v>27</v>
      </c>
      <c r="E26" t="s">
        <v>143</v>
      </c>
      <c r="F26" t="s">
        <v>149</v>
      </c>
      <c r="H26">
        <v>6</v>
      </c>
    </row>
    <row r="27" spans="2:9">
      <c r="B27" s="12" t="s">
        <v>11</v>
      </c>
      <c r="C27">
        <v>2022</v>
      </c>
      <c r="D27" t="s">
        <v>38</v>
      </c>
      <c r="E27" t="s">
        <v>143</v>
      </c>
      <c r="F27" t="s">
        <v>149</v>
      </c>
      <c r="H27">
        <v>2</v>
      </c>
      <c r="I27" t="s">
        <v>170</v>
      </c>
    </row>
    <row r="28" spans="2:9">
      <c r="B28" s="12" t="s">
        <v>11</v>
      </c>
      <c r="C28">
        <v>2022</v>
      </c>
      <c r="D28" t="s">
        <v>43</v>
      </c>
      <c r="E28" t="s">
        <v>143</v>
      </c>
      <c r="F28" t="s">
        <v>156</v>
      </c>
      <c r="H28">
        <v>7</v>
      </c>
      <c r="I28" t="s">
        <v>171</v>
      </c>
    </row>
    <row r="29" spans="2:9">
      <c r="B29" s="12" t="s">
        <v>11</v>
      </c>
      <c r="C29">
        <v>2022</v>
      </c>
      <c r="D29" t="s">
        <v>45</v>
      </c>
      <c r="E29" t="s">
        <v>143</v>
      </c>
      <c r="F29" t="s">
        <v>156</v>
      </c>
      <c r="H29">
        <v>6</v>
      </c>
      <c r="I29" t="s">
        <v>172</v>
      </c>
    </row>
    <row r="30" spans="2:9">
      <c r="B30" s="12" t="s">
        <v>11</v>
      </c>
      <c r="C30">
        <v>2022</v>
      </c>
      <c r="D30" t="s">
        <v>47</v>
      </c>
      <c r="E30" t="s">
        <v>143</v>
      </c>
      <c r="F30" t="s">
        <v>149</v>
      </c>
      <c r="H30">
        <v>8</v>
      </c>
      <c r="I30" t="s">
        <v>173</v>
      </c>
    </row>
    <row r="31" spans="2:9">
      <c r="B31" s="12" t="s">
        <v>11</v>
      </c>
      <c r="C31">
        <v>2022</v>
      </c>
      <c r="D31" t="s">
        <v>47</v>
      </c>
      <c r="E31" t="s">
        <v>143</v>
      </c>
      <c r="F31" t="s">
        <v>144</v>
      </c>
      <c r="H31">
        <v>2</v>
      </c>
      <c r="I31" t="s">
        <v>174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29D93-E733-43C7-8085-FB06DAFBE58D}">
  <dimension ref="A1:H1974"/>
  <sheetViews>
    <sheetView tabSelected="1" zoomScale="80" zoomScaleNormal="80" workbookViewId="0">
      <selection activeCell="F1830" sqref="F1830"/>
    </sheetView>
  </sheetViews>
  <sheetFormatPr baseColWidth="10" defaultColWidth="11.44140625" defaultRowHeight="14.4"/>
  <cols>
    <col min="1" max="1" width="9.5546875" bestFit="1" customWidth="1"/>
    <col min="2" max="2" width="8.88671875" bestFit="1" customWidth="1"/>
    <col min="3" max="3" width="7.44140625" bestFit="1" customWidth="1"/>
    <col min="4" max="4" width="28.6640625" bestFit="1" customWidth="1"/>
    <col min="5" max="5" width="24.109375" bestFit="1" customWidth="1"/>
    <col min="6" max="6" width="19.33203125" bestFit="1" customWidth="1"/>
    <col min="7" max="7" width="17.88671875" bestFit="1" customWidth="1"/>
    <col min="8" max="8" width="78.33203125" bestFit="1" customWidth="1"/>
  </cols>
  <sheetData>
    <row r="1" spans="1:8">
      <c r="A1" t="s">
        <v>0</v>
      </c>
      <c r="B1" t="s">
        <v>1</v>
      </c>
      <c r="C1" t="s">
        <v>2</v>
      </c>
      <c r="D1" t="s">
        <v>175</v>
      </c>
      <c r="E1" t="s">
        <v>176</v>
      </c>
      <c r="F1" t="s">
        <v>177</v>
      </c>
      <c r="G1" t="s">
        <v>178</v>
      </c>
      <c r="H1" t="s">
        <v>179</v>
      </c>
    </row>
    <row r="2" spans="1:8" hidden="1">
      <c r="A2" t="s">
        <v>11</v>
      </c>
      <c r="B2">
        <v>2022</v>
      </c>
      <c r="C2" t="s">
        <v>12</v>
      </c>
      <c r="D2" t="s">
        <v>180</v>
      </c>
      <c r="F2" t="s">
        <v>181</v>
      </c>
      <c r="G2">
        <v>6</v>
      </c>
      <c r="H2" t="s">
        <v>182</v>
      </c>
    </row>
    <row r="3" spans="1:8" hidden="1">
      <c r="A3" t="s">
        <v>11</v>
      </c>
      <c r="B3">
        <v>2022</v>
      </c>
      <c r="C3" t="s">
        <v>12</v>
      </c>
      <c r="D3" t="s">
        <v>180</v>
      </c>
      <c r="F3" t="s">
        <v>181</v>
      </c>
      <c r="G3">
        <v>2</v>
      </c>
      <c r="H3" t="s">
        <v>183</v>
      </c>
    </row>
    <row r="4" spans="1:8" hidden="1">
      <c r="A4" t="s">
        <v>11</v>
      </c>
      <c r="B4">
        <v>2022</v>
      </c>
      <c r="C4" t="s">
        <v>12</v>
      </c>
      <c r="D4" t="s">
        <v>184</v>
      </c>
      <c r="F4" t="s">
        <v>181</v>
      </c>
      <c r="G4">
        <v>2</v>
      </c>
      <c r="H4" t="s">
        <v>185</v>
      </c>
    </row>
    <row r="5" spans="1:8" hidden="1">
      <c r="A5" t="s">
        <v>11</v>
      </c>
      <c r="B5">
        <v>2022</v>
      </c>
      <c r="C5" t="s">
        <v>12</v>
      </c>
      <c r="D5" t="s">
        <v>180</v>
      </c>
      <c r="F5" t="s">
        <v>181</v>
      </c>
      <c r="G5">
        <v>1</v>
      </c>
      <c r="H5" t="s">
        <v>186</v>
      </c>
    </row>
    <row r="6" spans="1:8" hidden="1">
      <c r="A6" t="s">
        <v>11</v>
      </c>
      <c r="B6">
        <v>2022</v>
      </c>
      <c r="C6" t="s">
        <v>12</v>
      </c>
      <c r="D6" t="s">
        <v>180</v>
      </c>
      <c r="F6" t="s">
        <v>181</v>
      </c>
      <c r="G6">
        <v>1</v>
      </c>
      <c r="H6" t="s">
        <v>187</v>
      </c>
    </row>
    <row r="7" spans="1:8" hidden="1">
      <c r="A7" t="s">
        <v>11</v>
      </c>
      <c r="B7">
        <v>2022</v>
      </c>
      <c r="C7" t="s">
        <v>12</v>
      </c>
      <c r="D7" t="s">
        <v>188</v>
      </c>
      <c r="F7" t="s">
        <v>181</v>
      </c>
      <c r="G7">
        <v>4</v>
      </c>
      <c r="H7" t="s">
        <v>189</v>
      </c>
    </row>
    <row r="8" spans="1:8" hidden="1">
      <c r="A8" t="s">
        <v>11</v>
      </c>
      <c r="B8">
        <v>2022</v>
      </c>
      <c r="C8" t="s">
        <v>12</v>
      </c>
      <c r="D8" t="s">
        <v>180</v>
      </c>
      <c r="F8" t="s">
        <v>181</v>
      </c>
      <c r="G8">
        <v>1</v>
      </c>
      <c r="H8" t="s">
        <v>190</v>
      </c>
    </row>
    <row r="9" spans="1:8" hidden="1">
      <c r="A9" t="s">
        <v>11</v>
      </c>
      <c r="B9">
        <v>2022</v>
      </c>
      <c r="C9" t="s">
        <v>12</v>
      </c>
      <c r="D9" t="s">
        <v>191</v>
      </c>
      <c r="F9" t="s">
        <v>181</v>
      </c>
      <c r="G9">
        <v>2</v>
      </c>
      <c r="H9" t="s">
        <v>189</v>
      </c>
    </row>
    <row r="10" spans="1:8" hidden="1">
      <c r="A10" t="s">
        <v>11</v>
      </c>
      <c r="B10">
        <v>2022</v>
      </c>
      <c r="C10" t="s">
        <v>12</v>
      </c>
      <c r="D10" t="s">
        <v>180</v>
      </c>
      <c r="F10" t="s">
        <v>181</v>
      </c>
      <c r="G10">
        <v>2</v>
      </c>
      <c r="H10" t="s">
        <v>192</v>
      </c>
    </row>
    <row r="11" spans="1:8" hidden="1">
      <c r="A11" t="s">
        <v>11</v>
      </c>
      <c r="B11">
        <v>2022</v>
      </c>
      <c r="C11" t="s">
        <v>12</v>
      </c>
      <c r="D11" t="s">
        <v>193</v>
      </c>
      <c r="F11" t="s">
        <v>181</v>
      </c>
      <c r="G11">
        <v>2</v>
      </c>
      <c r="H11" t="s">
        <v>194</v>
      </c>
    </row>
    <row r="12" spans="1:8" hidden="1">
      <c r="A12" t="s">
        <v>11</v>
      </c>
      <c r="B12">
        <v>2022</v>
      </c>
      <c r="C12" t="s">
        <v>12</v>
      </c>
      <c r="D12" t="s">
        <v>180</v>
      </c>
      <c r="F12" t="s">
        <v>181</v>
      </c>
      <c r="G12">
        <v>1</v>
      </c>
      <c r="H12" t="s">
        <v>195</v>
      </c>
    </row>
    <row r="13" spans="1:8" hidden="1">
      <c r="A13" t="s">
        <v>11</v>
      </c>
      <c r="B13">
        <v>2022</v>
      </c>
      <c r="C13" t="s">
        <v>12</v>
      </c>
      <c r="D13" t="s">
        <v>180</v>
      </c>
      <c r="F13" t="s">
        <v>181</v>
      </c>
      <c r="G13">
        <v>1</v>
      </c>
      <c r="H13" t="s">
        <v>196</v>
      </c>
    </row>
    <row r="14" spans="1:8" hidden="1">
      <c r="A14" t="s">
        <v>11</v>
      </c>
      <c r="B14">
        <v>2022</v>
      </c>
      <c r="C14" t="s">
        <v>12</v>
      </c>
      <c r="D14" t="s">
        <v>197</v>
      </c>
      <c r="F14" t="s">
        <v>181</v>
      </c>
      <c r="G14">
        <v>0.75</v>
      </c>
      <c r="H14" t="s">
        <v>198</v>
      </c>
    </row>
    <row r="15" spans="1:8" hidden="1">
      <c r="A15" t="s">
        <v>11</v>
      </c>
      <c r="B15">
        <v>2022</v>
      </c>
      <c r="C15" t="s">
        <v>12</v>
      </c>
      <c r="D15" t="s">
        <v>199</v>
      </c>
      <c r="F15" t="s">
        <v>181</v>
      </c>
      <c r="G15">
        <v>0.75</v>
      </c>
      <c r="H15" t="s">
        <v>198</v>
      </c>
    </row>
    <row r="16" spans="1:8" hidden="1">
      <c r="A16" t="s">
        <v>11</v>
      </c>
      <c r="B16">
        <v>2022</v>
      </c>
      <c r="C16" t="s">
        <v>12</v>
      </c>
      <c r="D16" t="s">
        <v>200</v>
      </c>
      <c r="F16" t="s">
        <v>181</v>
      </c>
      <c r="G16">
        <v>1</v>
      </c>
      <c r="H16" t="s">
        <v>201</v>
      </c>
    </row>
    <row r="17" spans="1:8" hidden="1">
      <c r="A17" t="s">
        <v>11</v>
      </c>
      <c r="B17">
        <v>2022</v>
      </c>
      <c r="C17" t="s">
        <v>12</v>
      </c>
      <c r="D17" t="s">
        <v>197</v>
      </c>
      <c r="F17" t="s">
        <v>181</v>
      </c>
      <c r="G17">
        <v>0.25</v>
      </c>
      <c r="H17" t="s">
        <v>202</v>
      </c>
    </row>
    <row r="18" spans="1:8" hidden="1">
      <c r="A18" t="s">
        <v>11</v>
      </c>
      <c r="B18">
        <v>2022</v>
      </c>
      <c r="C18" t="s">
        <v>12</v>
      </c>
      <c r="D18" t="s">
        <v>199</v>
      </c>
      <c r="F18" t="s">
        <v>181</v>
      </c>
      <c r="G18">
        <v>0.25</v>
      </c>
      <c r="H18" t="s">
        <v>202</v>
      </c>
    </row>
    <row r="19" spans="1:8" hidden="1">
      <c r="A19" t="s">
        <v>11</v>
      </c>
      <c r="B19">
        <v>2022</v>
      </c>
      <c r="C19" t="s">
        <v>12</v>
      </c>
      <c r="D19" t="s">
        <v>203</v>
      </c>
      <c r="F19" t="s">
        <v>181</v>
      </c>
      <c r="G19">
        <v>1</v>
      </c>
      <c r="H19" t="s">
        <v>204</v>
      </c>
    </row>
    <row r="20" spans="1:8" hidden="1">
      <c r="A20" t="s">
        <v>11</v>
      </c>
      <c r="B20">
        <v>2022</v>
      </c>
      <c r="C20" t="s">
        <v>12</v>
      </c>
      <c r="D20" t="s">
        <v>203</v>
      </c>
      <c r="F20" t="s">
        <v>181</v>
      </c>
      <c r="G20">
        <v>0.7</v>
      </c>
      <c r="H20" t="s">
        <v>205</v>
      </c>
    </row>
    <row r="21" spans="1:8" hidden="1">
      <c r="A21" t="s">
        <v>11</v>
      </c>
      <c r="B21">
        <v>2022</v>
      </c>
      <c r="C21" t="s">
        <v>12</v>
      </c>
      <c r="D21" t="s">
        <v>191</v>
      </c>
      <c r="F21" t="s">
        <v>181</v>
      </c>
      <c r="G21">
        <v>1.5</v>
      </c>
      <c r="H21" t="s">
        <v>206</v>
      </c>
    </row>
    <row r="22" spans="1:8" hidden="1">
      <c r="A22" t="s">
        <v>11</v>
      </c>
      <c r="B22">
        <v>2022</v>
      </c>
      <c r="C22" t="s">
        <v>12</v>
      </c>
      <c r="D22" t="s">
        <v>191</v>
      </c>
      <c r="F22" t="s">
        <v>181</v>
      </c>
      <c r="G22">
        <v>0.55000000000000004</v>
      </c>
      <c r="H22" t="s">
        <v>207</v>
      </c>
    </row>
    <row r="23" spans="1:8" hidden="1">
      <c r="A23" t="s">
        <v>11</v>
      </c>
      <c r="B23">
        <v>2022</v>
      </c>
      <c r="C23" t="s">
        <v>12</v>
      </c>
      <c r="D23" t="s">
        <v>191</v>
      </c>
      <c r="F23" t="s">
        <v>208</v>
      </c>
      <c r="G23">
        <v>2</v>
      </c>
      <c r="H23" t="s">
        <v>209</v>
      </c>
    </row>
    <row r="24" spans="1:8" hidden="1">
      <c r="A24" t="s">
        <v>11</v>
      </c>
      <c r="B24">
        <v>2022</v>
      </c>
      <c r="C24" t="s">
        <v>12</v>
      </c>
      <c r="D24" t="s">
        <v>197</v>
      </c>
      <c r="F24" t="s">
        <v>208</v>
      </c>
      <c r="G24">
        <v>0.5</v>
      </c>
      <c r="H24" t="s">
        <v>210</v>
      </c>
    </row>
    <row r="25" spans="1:8" hidden="1">
      <c r="A25" t="s">
        <v>11</v>
      </c>
      <c r="B25">
        <v>2022</v>
      </c>
      <c r="C25" t="s">
        <v>12</v>
      </c>
      <c r="D25" t="s">
        <v>180</v>
      </c>
      <c r="F25" t="s">
        <v>208</v>
      </c>
      <c r="G25">
        <v>2</v>
      </c>
      <c r="H25" t="s">
        <v>211</v>
      </c>
    </row>
    <row r="26" spans="1:8" hidden="1">
      <c r="A26" t="s">
        <v>11</v>
      </c>
      <c r="B26">
        <v>2022</v>
      </c>
      <c r="C26" t="s">
        <v>12</v>
      </c>
      <c r="D26" t="s">
        <v>188</v>
      </c>
      <c r="F26" t="s">
        <v>208</v>
      </c>
      <c r="G26">
        <v>6.05</v>
      </c>
      <c r="H26" t="s">
        <v>212</v>
      </c>
    </row>
    <row r="27" spans="1:8" hidden="1">
      <c r="A27" t="s">
        <v>11</v>
      </c>
      <c r="B27">
        <v>2022</v>
      </c>
      <c r="C27" t="s">
        <v>12</v>
      </c>
      <c r="D27" t="s">
        <v>191</v>
      </c>
      <c r="F27" t="s">
        <v>208</v>
      </c>
      <c r="G27">
        <v>0.5</v>
      </c>
      <c r="H27" t="s">
        <v>213</v>
      </c>
    </row>
    <row r="28" spans="1:8" hidden="1">
      <c r="A28" t="s">
        <v>11</v>
      </c>
      <c r="B28">
        <v>2022</v>
      </c>
      <c r="C28" t="s">
        <v>21</v>
      </c>
      <c r="D28" t="s">
        <v>180</v>
      </c>
      <c r="F28" t="s">
        <v>181</v>
      </c>
      <c r="G28">
        <v>4.5</v>
      </c>
      <c r="H28" t="s">
        <v>214</v>
      </c>
    </row>
    <row r="29" spans="1:8" hidden="1">
      <c r="A29" t="s">
        <v>11</v>
      </c>
      <c r="B29">
        <v>2022</v>
      </c>
      <c r="C29" t="s">
        <v>21</v>
      </c>
      <c r="D29" t="s">
        <v>180</v>
      </c>
      <c r="F29" t="s">
        <v>181</v>
      </c>
      <c r="G29">
        <v>1.5</v>
      </c>
      <c r="H29" t="s">
        <v>215</v>
      </c>
    </row>
    <row r="30" spans="1:8" hidden="1">
      <c r="A30" t="s">
        <v>11</v>
      </c>
      <c r="B30">
        <v>2022</v>
      </c>
      <c r="C30" t="s">
        <v>21</v>
      </c>
      <c r="D30" t="s">
        <v>184</v>
      </c>
      <c r="F30" t="s">
        <v>181</v>
      </c>
      <c r="G30">
        <v>1.5</v>
      </c>
      <c r="H30" t="s">
        <v>216</v>
      </c>
    </row>
    <row r="31" spans="1:8" hidden="1">
      <c r="A31" t="s">
        <v>11</v>
      </c>
      <c r="B31">
        <v>2022</v>
      </c>
      <c r="C31" t="s">
        <v>21</v>
      </c>
      <c r="D31" t="s">
        <v>180</v>
      </c>
      <c r="F31" t="s">
        <v>181</v>
      </c>
      <c r="G31">
        <v>0.75</v>
      </c>
      <c r="H31" t="s">
        <v>217</v>
      </c>
    </row>
    <row r="32" spans="1:8" hidden="1">
      <c r="A32" t="s">
        <v>11</v>
      </c>
      <c r="B32">
        <v>2022</v>
      </c>
      <c r="C32" t="s">
        <v>21</v>
      </c>
      <c r="D32" t="s">
        <v>180</v>
      </c>
      <c r="F32" t="s">
        <v>181</v>
      </c>
      <c r="G32">
        <v>0.75</v>
      </c>
      <c r="H32" t="s">
        <v>218</v>
      </c>
    </row>
    <row r="33" spans="1:8" hidden="1">
      <c r="A33" t="s">
        <v>11</v>
      </c>
      <c r="B33">
        <v>2022</v>
      </c>
      <c r="C33" t="s">
        <v>21</v>
      </c>
      <c r="D33" t="s">
        <v>188</v>
      </c>
      <c r="F33" t="s">
        <v>181</v>
      </c>
      <c r="G33">
        <v>3</v>
      </c>
      <c r="H33" t="s">
        <v>219</v>
      </c>
    </row>
    <row r="34" spans="1:8" hidden="1">
      <c r="A34" t="s">
        <v>11</v>
      </c>
      <c r="B34">
        <v>2022</v>
      </c>
      <c r="C34" t="s">
        <v>21</v>
      </c>
      <c r="D34" t="s">
        <v>191</v>
      </c>
      <c r="F34" t="s">
        <v>181</v>
      </c>
      <c r="G34">
        <v>1.5</v>
      </c>
      <c r="H34" t="s">
        <v>220</v>
      </c>
    </row>
    <row r="35" spans="1:8" hidden="1">
      <c r="A35" t="s">
        <v>11</v>
      </c>
      <c r="B35">
        <v>2022</v>
      </c>
      <c r="C35" t="s">
        <v>21</v>
      </c>
      <c r="D35" t="s">
        <v>180</v>
      </c>
      <c r="F35" t="s">
        <v>181</v>
      </c>
      <c r="G35">
        <v>1.5</v>
      </c>
      <c r="H35" t="s">
        <v>221</v>
      </c>
    </row>
    <row r="36" spans="1:8" hidden="1">
      <c r="A36" t="s">
        <v>11</v>
      </c>
      <c r="B36">
        <v>2022</v>
      </c>
      <c r="C36" t="s">
        <v>21</v>
      </c>
      <c r="D36" t="s">
        <v>199</v>
      </c>
      <c r="F36" t="s">
        <v>181</v>
      </c>
      <c r="G36">
        <v>0.25</v>
      </c>
      <c r="H36" t="s">
        <v>202</v>
      </c>
    </row>
    <row r="37" spans="1:8" hidden="1">
      <c r="A37" t="s">
        <v>11</v>
      </c>
      <c r="B37">
        <v>2022</v>
      </c>
      <c r="C37" t="s">
        <v>21</v>
      </c>
      <c r="D37" t="s">
        <v>197</v>
      </c>
      <c r="F37" t="s">
        <v>181</v>
      </c>
      <c r="G37">
        <v>0.25</v>
      </c>
      <c r="H37" t="s">
        <v>202</v>
      </c>
    </row>
    <row r="38" spans="1:8" hidden="1">
      <c r="A38" t="s">
        <v>11</v>
      </c>
      <c r="B38">
        <v>2022</v>
      </c>
      <c r="C38" t="s">
        <v>21</v>
      </c>
      <c r="D38" t="s">
        <v>200</v>
      </c>
      <c r="F38" t="s">
        <v>181</v>
      </c>
      <c r="G38">
        <v>1</v>
      </c>
      <c r="H38" t="s">
        <v>222</v>
      </c>
    </row>
    <row r="39" spans="1:8" hidden="1">
      <c r="A39" t="s">
        <v>11</v>
      </c>
      <c r="B39">
        <v>2022</v>
      </c>
      <c r="C39" t="s">
        <v>21</v>
      </c>
      <c r="D39" t="s">
        <v>180</v>
      </c>
      <c r="F39" t="s">
        <v>181</v>
      </c>
      <c r="G39">
        <v>1</v>
      </c>
      <c r="H39" t="s">
        <v>223</v>
      </c>
    </row>
    <row r="40" spans="1:8" hidden="1">
      <c r="A40" t="s">
        <v>11</v>
      </c>
      <c r="B40">
        <v>2022</v>
      </c>
      <c r="C40" t="s">
        <v>21</v>
      </c>
      <c r="D40" t="s">
        <v>180</v>
      </c>
      <c r="F40" t="s">
        <v>181</v>
      </c>
      <c r="G40">
        <v>1</v>
      </c>
      <c r="H40" t="s">
        <v>224</v>
      </c>
    </row>
    <row r="41" spans="1:8" hidden="1">
      <c r="A41" t="s">
        <v>11</v>
      </c>
      <c r="B41">
        <v>2022</v>
      </c>
      <c r="C41" t="s">
        <v>21</v>
      </c>
      <c r="D41" t="s">
        <v>180</v>
      </c>
      <c r="F41" t="s">
        <v>181</v>
      </c>
      <c r="G41">
        <v>3</v>
      </c>
      <c r="H41" t="s">
        <v>225</v>
      </c>
    </row>
    <row r="42" spans="1:8" hidden="1">
      <c r="A42" t="s">
        <v>11</v>
      </c>
      <c r="B42">
        <v>2022</v>
      </c>
      <c r="C42" t="s">
        <v>21</v>
      </c>
      <c r="D42" t="s">
        <v>203</v>
      </c>
      <c r="F42" t="s">
        <v>181</v>
      </c>
      <c r="G42">
        <v>3</v>
      </c>
      <c r="H42" t="s">
        <v>226</v>
      </c>
    </row>
    <row r="43" spans="1:8" hidden="1">
      <c r="A43" t="s">
        <v>11</v>
      </c>
      <c r="B43">
        <v>2022</v>
      </c>
      <c r="C43" t="s">
        <v>21</v>
      </c>
      <c r="D43" t="s">
        <v>191</v>
      </c>
      <c r="F43" t="s">
        <v>181</v>
      </c>
      <c r="G43">
        <v>4</v>
      </c>
      <c r="H43" t="s">
        <v>227</v>
      </c>
    </row>
    <row r="44" spans="1:8" hidden="1">
      <c r="A44" t="s">
        <v>11</v>
      </c>
      <c r="B44">
        <v>2022</v>
      </c>
      <c r="C44" t="s">
        <v>21</v>
      </c>
      <c r="D44" t="s">
        <v>199</v>
      </c>
      <c r="F44" t="s">
        <v>181</v>
      </c>
      <c r="G44">
        <v>6</v>
      </c>
      <c r="H44" t="s">
        <v>228</v>
      </c>
    </row>
    <row r="45" spans="1:8" hidden="1">
      <c r="A45" t="s">
        <v>11</v>
      </c>
      <c r="B45">
        <v>2022</v>
      </c>
      <c r="C45" t="s">
        <v>21</v>
      </c>
      <c r="D45" t="s">
        <v>199</v>
      </c>
      <c r="F45" t="s">
        <v>181</v>
      </c>
      <c r="G45">
        <v>4</v>
      </c>
      <c r="H45" t="s">
        <v>229</v>
      </c>
    </row>
    <row r="46" spans="1:8" hidden="1">
      <c r="A46" t="s">
        <v>11</v>
      </c>
      <c r="B46">
        <v>2022</v>
      </c>
      <c r="C46" t="s">
        <v>21</v>
      </c>
      <c r="D46" t="s">
        <v>197</v>
      </c>
      <c r="F46" t="s">
        <v>181</v>
      </c>
      <c r="G46">
        <v>4</v>
      </c>
      <c r="H46" t="s">
        <v>229</v>
      </c>
    </row>
    <row r="47" spans="1:8" hidden="1">
      <c r="A47" t="s">
        <v>11</v>
      </c>
      <c r="B47">
        <v>2022</v>
      </c>
      <c r="C47" t="s">
        <v>21</v>
      </c>
      <c r="D47" t="s">
        <v>180</v>
      </c>
      <c r="F47" t="s">
        <v>181</v>
      </c>
      <c r="G47">
        <v>4</v>
      </c>
      <c r="H47" t="s">
        <v>230</v>
      </c>
    </row>
    <row r="48" spans="1:8" hidden="1">
      <c r="A48" t="s">
        <v>11</v>
      </c>
      <c r="B48">
        <v>2022</v>
      </c>
      <c r="C48" t="s">
        <v>21</v>
      </c>
      <c r="D48" t="s">
        <v>188</v>
      </c>
      <c r="F48" t="s">
        <v>181</v>
      </c>
      <c r="G48">
        <v>8</v>
      </c>
      <c r="H48" t="s">
        <v>231</v>
      </c>
    </row>
    <row r="49" spans="1:8" hidden="1">
      <c r="A49" t="s">
        <v>11</v>
      </c>
      <c r="B49">
        <v>2022</v>
      </c>
      <c r="C49" t="s">
        <v>21</v>
      </c>
      <c r="D49" t="s">
        <v>191</v>
      </c>
      <c r="F49" t="s">
        <v>181</v>
      </c>
      <c r="G49">
        <v>2</v>
      </c>
      <c r="H49" t="s">
        <v>231</v>
      </c>
    </row>
    <row r="50" spans="1:8" hidden="1">
      <c r="A50" t="s">
        <v>11</v>
      </c>
      <c r="B50">
        <v>2022</v>
      </c>
      <c r="C50" t="s">
        <v>27</v>
      </c>
      <c r="D50" t="s">
        <v>180</v>
      </c>
      <c r="F50" t="s">
        <v>181</v>
      </c>
      <c r="G50">
        <v>6</v>
      </c>
      <c r="H50" t="s">
        <v>232</v>
      </c>
    </row>
    <row r="51" spans="1:8" hidden="1">
      <c r="A51" t="s">
        <v>11</v>
      </c>
      <c r="B51">
        <v>2022</v>
      </c>
      <c r="C51" t="s">
        <v>27</v>
      </c>
      <c r="D51" t="s">
        <v>180</v>
      </c>
      <c r="F51" t="s">
        <v>181</v>
      </c>
      <c r="G51">
        <v>2</v>
      </c>
      <c r="H51" t="s">
        <v>233</v>
      </c>
    </row>
    <row r="52" spans="1:8" hidden="1">
      <c r="A52" t="s">
        <v>11</v>
      </c>
      <c r="B52">
        <v>2022</v>
      </c>
      <c r="C52" t="s">
        <v>27</v>
      </c>
      <c r="D52" t="s">
        <v>184</v>
      </c>
      <c r="F52" t="s">
        <v>181</v>
      </c>
      <c r="G52">
        <v>2</v>
      </c>
      <c r="H52" t="s">
        <v>234</v>
      </c>
    </row>
    <row r="53" spans="1:8" hidden="1">
      <c r="A53" t="s">
        <v>11</v>
      </c>
      <c r="B53">
        <v>2022</v>
      </c>
      <c r="C53" t="s">
        <v>27</v>
      </c>
      <c r="D53" t="s">
        <v>180</v>
      </c>
      <c r="F53" t="s">
        <v>181</v>
      </c>
      <c r="G53">
        <v>1</v>
      </c>
      <c r="H53" t="s">
        <v>235</v>
      </c>
    </row>
    <row r="54" spans="1:8" hidden="1">
      <c r="A54" t="s">
        <v>11</v>
      </c>
      <c r="B54">
        <v>2022</v>
      </c>
      <c r="C54" t="s">
        <v>27</v>
      </c>
      <c r="D54" t="s">
        <v>180</v>
      </c>
      <c r="F54" t="s">
        <v>181</v>
      </c>
      <c r="G54">
        <v>1</v>
      </c>
      <c r="H54" t="s">
        <v>236</v>
      </c>
    </row>
    <row r="55" spans="1:8" hidden="1">
      <c r="A55" t="s">
        <v>11</v>
      </c>
      <c r="B55">
        <v>2022</v>
      </c>
      <c r="C55" t="s">
        <v>27</v>
      </c>
      <c r="D55" t="s">
        <v>188</v>
      </c>
      <c r="F55" t="s">
        <v>181</v>
      </c>
      <c r="G55">
        <v>4</v>
      </c>
      <c r="H55" t="s">
        <v>237</v>
      </c>
    </row>
    <row r="56" spans="1:8" hidden="1">
      <c r="A56" t="s">
        <v>11</v>
      </c>
      <c r="B56">
        <v>2022</v>
      </c>
      <c r="C56" t="s">
        <v>27</v>
      </c>
      <c r="D56" t="s">
        <v>180</v>
      </c>
      <c r="F56" t="s">
        <v>181</v>
      </c>
      <c r="G56">
        <v>1</v>
      </c>
      <c r="H56" t="s">
        <v>238</v>
      </c>
    </row>
    <row r="57" spans="1:8" hidden="1">
      <c r="A57" t="s">
        <v>11</v>
      </c>
      <c r="B57">
        <v>2022</v>
      </c>
      <c r="C57" t="s">
        <v>27</v>
      </c>
      <c r="D57" t="s">
        <v>180</v>
      </c>
      <c r="F57" t="s">
        <v>181</v>
      </c>
      <c r="G57">
        <v>2</v>
      </c>
      <c r="H57" t="s">
        <v>239</v>
      </c>
    </row>
    <row r="58" spans="1:8" hidden="1">
      <c r="A58" t="s">
        <v>11</v>
      </c>
      <c r="B58">
        <v>2022</v>
      </c>
      <c r="C58" t="s">
        <v>27</v>
      </c>
      <c r="D58" t="s">
        <v>191</v>
      </c>
      <c r="F58" t="s">
        <v>181</v>
      </c>
      <c r="G58">
        <v>2</v>
      </c>
      <c r="H58" t="s">
        <v>240</v>
      </c>
    </row>
    <row r="59" spans="1:8" hidden="1">
      <c r="A59" t="s">
        <v>11</v>
      </c>
      <c r="B59">
        <v>2022</v>
      </c>
      <c r="C59" t="s">
        <v>27</v>
      </c>
      <c r="D59" t="s">
        <v>200</v>
      </c>
      <c r="F59" t="s">
        <v>181</v>
      </c>
      <c r="G59">
        <v>1</v>
      </c>
      <c r="H59" t="s">
        <v>201</v>
      </c>
    </row>
    <row r="60" spans="1:8" hidden="1">
      <c r="A60" t="s">
        <v>11</v>
      </c>
      <c r="B60">
        <v>2022</v>
      </c>
      <c r="C60" t="s">
        <v>27</v>
      </c>
      <c r="D60" t="s">
        <v>197</v>
      </c>
      <c r="F60" t="s">
        <v>181</v>
      </c>
      <c r="G60">
        <v>0.25</v>
      </c>
      <c r="H60" t="s">
        <v>202</v>
      </c>
    </row>
    <row r="61" spans="1:8" hidden="1">
      <c r="A61" t="s">
        <v>11</v>
      </c>
      <c r="B61">
        <v>2022</v>
      </c>
      <c r="C61" t="s">
        <v>27</v>
      </c>
      <c r="D61" t="s">
        <v>199</v>
      </c>
      <c r="F61" t="s">
        <v>181</v>
      </c>
      <c r="G61">
        <v>0.25</v>
      </c>
      <c r="H61" t="s">
        <v>202</v>
      </c>
    </row>
    <row r="62" spans="1:8" hidden="1">
      <c r="A62" t="s">
        <v>11</v>
      </c>
      <c r="B62">
        <v>2022</v>
      </c>
      <c r="C62" t="s">
        <v>27</v>
      </c>
      <c r="D62" t="s">
        <v>203</v>
      </c>
      <c r="F62" t="s">
        <v>181</v>
      </c>
      <c r="G62">
        <v>1</v>
      </c>
      <c r="H62" t="s">
        <v>241</v>
      </c>
    </row>
    <row r="63" spans="1:8" hidden="1">
      <c r="A63" t="s">
        <v>11</v>
      </c>
      <c r="B63">
        <v>2022</v>
      </c>
      <c r="C63" t="s">
        <v>27</v>
      </c>
      <c r="D63" t="s">
        <v>199</v>
      </c>
      <c r="F63" t="s">
        <v>181</v>
      </c>
      <c r="G63">
        <v>0.75</v>
      </c>
      <c r="H63" t="s">
        <v>198</v>
      </c>
    </row>
    <row r="64" spans="1:8" hidden="1">
      <c r="A64" t="s">
        <v>11</v>
      </c>
      <c r="B64">
        <v>2022</v>
      </c>
      <c r="C64" t="s">
        <v>27</v>
      </c>
      <c r="D64" t="s">
        <v>197</v>
      </c>
      <c r="F64" t="s">
        <v>181</v>
      </c>
      <c r="G64">
        <v>0.75</v>
      </c>
      <c r="H64" t="s">
        <v>198</v>
      </c>
    </row>
    <row r="65" spans="1:8" hidden="1">
      <c r="A65" t="s">
        <v>11</v>
      </c>
      <c r="B65">
        <v>2022</v>
      </c>
      <c r="C65" t="s">
        <v>27</v>
      </c>
      <c r="D65" t="s">
        <v>180</v>
      </c>
      <c r="F65" t="s">
        <v>181</v>
      </c>
      <c r="G65">
        <v>1</v>
      </c>
      <c r="H65" t="s">
        <v>242</v>
      </c>
    </row>
    <row r="66" spans="1:8" hidden="1">
      <c r="A66" t="s">
        <v>11</v>
      </c>
      <c r="B66">
        <v>2022</v>
      </c>
      <c r="C66" t="s">
        <v>27</v>
      </c>
      <c r="D66" t="s">
        <v>180</v>
      </c>
      <c r="F66" t="s">
        <v>181</v>
      </c>
      <c r="G66">
        <v>1</v>
      </c>
      <c r="H66" t="s">
        <v>243</v>
      </c>
    </row>
    <row r="67" spans="1:8" hidden="1">
      <c r="A67" t="s">
        <v>11</v>
      </c>
      <c r="B67">
        <v>2022</v>
      </c>
      <c r="C67" t="s">
        <v>27</v>
      </c>
      <c r="D67" t="s">
        <v>191</v>
      </c>
      <c r="F67" t="s">
        <v>181</v>
      </c>
      <c r="G67">
        <v>2</v>
      </c>
      <c r="H67" t="s">
        <v>244</v>
      </c>
    </row>
    <row r="68" spans="1:8" hidden="1">
      <c r="A68" t="s">
        <v>11</v>
      </c>
      <c r="B68">
        <v>2022</v>
      </c>
      <c r="C68" t="s">
        <v>27</v>
      </c>
      <c r="D68" t="s">
        <v>191</v>
      </c>
      <c r="F68" t="s">
        <v>181</v>
      </c>
      <c r="G68">
        <v>1.5</v>
      </c>
      <c r="H68" t="s">
        <v>245</v>
      </c>
    </row>
    <row r="69" spans="1:8" hidden="1">
      <c r="A69" t="s">
        <v>11</v>
      </c>
      <c r="B69">
        <v>2022</v>
      </c>
      <c r="C69" t="s">
        <v>27</v>
      </c>
      <c r="D69" t="s">
        <v>188</v>
      </c>
      <c r="F69" t="s">
        <v>181</v>
      </c>
      <c r="G69">
        <v>1.5</v>
      </c>
      <c r="H69" t="s">
        <v>244</v>
      </c>
    </row>
    <row r="70" spans="1:8" hidden="1">
      <c r="A70" t="s">
        <v>11</v>
      </c>
      <c r="B70">
        <v>2022</v>
      </c>
      <c r="C70" t="s">
        <v>27</v>
      </c>
      <c r="D70" t="s">
        <v>199</v>
      </c>
      <c r="F70" t="s">
        <v>181</v>
      </c>
      <c r="G70">
        <v>0.75</v>
      </c>
      <c r="H70" t="s">
        <v>246</v>
      </c>
    </row>
    <row r="71" spans="1:8" hidden="1">
      <c r="A71" t="s">
        <v>11</v>
      </c>
      <c r="B71">
        <v>2022</v>
      </c>
      <c r="C71" t="s">
        <v>27</v>
      </c>
      <c r="D71" t="s">
        <v>180</v>
      </c>
      <c r="F71" t="s">
        <v>181</v>
      </c>
      <c r="G71">
        <v>0.25</v>
      </c>
      <c r="H71" t="s">
        <v>247</v>
      </c>
    </row>
    <row r="72" spans="1:8" hidden="1">
      <c r="A72" t="s">
        <v>11</v>
      </c>
      <c r="B72">
        <v>2022</v>
      </c>
      <c r="C72" t="s">
        <v>27</v>
      </c>
      <c r="D72" t="s">
        <v>199</v>
      </c>
      <c r="F72" t="s">
        <v>181</v>
      </c>
      <c r="G72">
        <v>0.25</v>
      </c>
      <c r="H72" t="s">
        <v>248</v>
      </c>
    </row>
    <row r="73" spans="1:8" hidden="1">
      <c r="A73" t="s">
        <v>11</v>
      </c>
      <c r="B73">
        <v>2022</v>
      </c>
      <c r="C73" t="s">
        <v>27</v>
      </c>
      <c r="D73" t="s">
        <v>197</v>
      </c>
      <c r="F73" t="s">
        <v>181</v>
      </c>
      <c r="G73">
        <v>0.25</v>
      </c>
      <c r="H73" t="s">
        <v>248</v>
      </c>
    </row>
    <row r="74" spans="1:8" hidden="1">
      <c r="A74" t="s">
        <v>11</v>
      </c>
      <c r="B74">
        <v>2022</v>
      </c>
      <c r="C74" t="s">
        <v>27</v>
      </c>
      <c r="D74" t="s">
        <v>188</v>
      </c>
      <c r="F74" t="s">
        <v>181</v>
      </c>
      <c r="G74">
        <v>0.5</v>
      </c>
      <c r="H74" t="s">
        <v>249</v>
      </c>
    </row>
    <row r="75" spans="1:8" hidden="1">
      <c r="A75" t="s">
        <v>11</v>
      </c>
      <c r="B75">
        <v>2022</v>
      </c>
      <c r="C75" t="s">
        <v>27</v>
      </c>
      <c r="D75" t="s">
        <v>180</v>
      </c>
      <c r="F75" t="s">
        <v>181</v>
      </c>
      <c r="G75">
        <v>2</v>
      </c>
      <c r="H75" t="s">
        <v>250</v>
      </c>
    </row>
    <row r="76" spans="1:8" hidden="1">
      <c r="A76" t="s">
        <v>11</v>
      </c>
      <c r="B76">
        <v>2022</v>
      </c>
      <c r="C76" t="s">
        <v>27</v>
      </c>
      <c r="D76" t="s">
        <v>199</v>
      </c>
      <c r="F76" t="s">
        <v>181</v>
      </c>
      <c r="G76">
        <v>0.5</v>
      </c>
      <c r="H76" t="s">
        <v>251</v>
      </c>
    </row>
    <row r="77" spans="1:8" hidden="1">
      <c r="A77" t="s">
        <v>11</v>
      </c>
      <c r="B77">
        <v>2022</v>
      </c>
      <c r="C77" t="s">
        <v>27</v>
      </c>
      <c r="D77" t="s">
        <v>197</v>
      </c>
      <c r="F77" t="s">
        <v>181</v>
      </c>
      <c r="G77">
        <v>0.25</v>
      </c>
      <c r="H77" t="s">
        <v>251</v>
      </c>
    </row>
    <row r="78" spans="1:8" hidden="1">
      <c r="A78" t="s">
        <v>11</v>
      </c>
      <c r="B78">
        <v>2022</v>
      </c>
      <c r="C78" t="s">
        <v>27</v>
      </c>
      <c r="D78" t="s">
        <v>199</v>
      </c>
      <c r="F78" t="s">
        <v>181</v>
      </c>
      <c r="G78">
        <v>0.24</v>
      </c>
      <c r="H78" t="s">
        <v>252</v>
      </c>
    </row>
    <row r="79" spans="1:8" hidden="1">
      <c r="A79" t="s">
        <v>11</v>
      </c>
      <c r="B79">
        <v>2022</v>
      </c>
      <c r="C79" t="s">
        <v>27</v>
      </c>
      <c r="D79" t="s">
        <v>188</v>
      </c>
      <c r="F79" t="s">
        <v>181</v>
      </c>
      <c r="G79">
        <v>4</v>
      </c>
      <c r="H79" t="s">
        <v>253</v>
      </c>
    </row>
    <row r="80" spans="1:8" hidden="1">
      <c r="A80" t="s">
        <v>11</v>
      </c>
      <c r="B80">
        <v>2022</v>
      </c>
      <c r="C80" t="s">
        <v>27</v>
      </c>
      <c r="D80" t="s">
        <v>193</v>
      </c>
      <c r="F80" t="s">
        <v>181</v>
      </c>
      <c r="G80">
        <v>6.5</v>
      </c>
      <c r="H80" t="s">
        <v>254</v>
      </c>
    </row>
    <row r="81" spans="1:8" hidden="1">
      <c r="A81" t="s">
        <v>11</v>
      </c>
      <c r="B81">
        <v>2022</v>
      </c>
      <c r="C81" t="s">
        <v>27</v>
      </c>
      <c r="D81" t="s">
        <v>193</v>
      </c>
      <c r="F81" t="s">
        <v>181</v>
      </c>
      <c r="G81">
        <v>5</v>
      </c>
      <c r="H81" t="s">
        <v>255</v>
      </c>
    </row>
    <row r="82" spans="1:8" hidden="1">
      <c r="A82" t="s">
        <v>11</v>
      </c>
      <c r="B82">
        <v>2022</v>
      </c>
      <c r="C82" t="s">
        <v>27</v>
      </c>
      <c r="D82" t="s">
        <v>199</v>
      </c>
      <c r="F82" t="s">
        <v>208</v>
      </c>
      <c r="G82">
        <v>0.5</v>
      </c>
      <c r="H82" t="s">
        <v>256</v>
      </c>
    </row>
    <row r="83" spans="1:8" hidden="1">
      <c r="A83" t="s">
        <v>11</v>
      </c>
      <c r="B83">
        <v>2022</v>
      </c>
      <c r="C83" t="s">
        <v>27</v>
      </c>
      <c r="D83" t="s">
        <v>199</v>
      </c>
      <c r="F83" t="s">
        <v>208</v>
      </c>
      <c r="G83">
        <v>1.5</v>
      </c>
      <c r="H83" t="s">
        <v>257</v>
      </c>
    </row>
    <row r="84" spans="1:8" hidden="1">
      <c r="A84" t="s">
        <v>11</v>
      </c>
      <c r="B84">
        <v>2022</v>
      </c>
      <c r="C84" t="s">
        <v>27</v>
      </c>
      <c r="D84" t="s">
        <v>188</v>
      </c>
      <c r="F84" t="s">
        <v>208</v>
      </c>
      <c r="G84">
        <v>18.399999999999999</v>
      </c>
      <c r="H84" t="s">
        <v>258</v>
      </c>
    </row>
    <row r="85" spans="1:8" hidden="1">
      <c r="A85" t="s">
        <v>11</v>
      </c>
      <c r="B85">
        <v>2022</v>
      </c>
      <c r="C85" t="s">
        <v>28</v>
      </c>
      <c r="D85" t="s">
        <v>180</v>
      </c>
      <c r="F85" t="s">
        <v>181</v>
      </c>
      <c r="G85">
        <v>6</v>
      </c>
      <c r="H85" t="s">
        <v>232</v>
      </c>
    </row>
    <row r="86" spans="1:8" hidden="1">
      <c r="A86" t="s">
        <v>11</v>
      </c>
      <c r="B86">
        <v>2022</v>
      </c>
      <c r="C86" t="s">
        <v>28</v>
      </c>
      <c r="D86" t="s">
        <v>180</v>
      </c>
      <c r="F86" t="s">
        <v>181</v>
      </c>
      <c r="G86">
        <v>2</v>
      </c>
      <c r="H86" t="s">
        <v>233</v>
      </c>
    </row>
    <row r="87" spans="1:8" hidden="1">
      <c r="A87" t="s">
        <v>11</v>
      </c>
      <c r="B87">
        <v>2022</v>
      </c>
      <c r="C87" t="s">
        <v>28</v>
      </c>
      <c r="D87" t="s">
        <v>180</v>
      </c>
      <c r="F87" t="s">
        <v>181</v>
      </c>
      <c r="G87">
        <v>2</v>
      </c>
      <c r="H87" t="s">
        <v>234</v>
      </c>
    </row>
    <row r="88" spans="1:8" hidden="1">
      <c r="A88" t="s">
        <v>11</v>
      </c>
      <c r="B88">
        <v>2022</v>
      </c>
      <c r="C88" t="s">
        <v>28</v>
      </c>
      <c r="D88" t="s">
        <v>259</v>
      </c>
      <c r="F88" t="s">
        <v>181</v>
      </c>
      <c r="G88">
        <v>1</v>
      </c>
      <c r="H88" t="s">
        <v>235</v>
      </c>
    </row>
    <row r="89" spans="1:8" hidden="1">
      <c r="A89" t="s">
        <v>11</v>
      </c>
      <c r="B89">
        <v>2022</v>
      </c>
      <c r="C89" t="s">
        <v>28</v>
      </c>
      <c r="D89" t="s">
        <v>180</v>
      </c>
      <c r="F89" t="s">
        <v>181</v>
      </c>
      <c r="G89">
        <v>1</v>
      </c>
      <c r="H89" t="s">
        <v>236</v>
      </c>
    </row>
    <row r="90" spans="1:8" hidden="1">
      <c r="A90" t="s">
        <v>11</v>
      </c>
      <c r="B90">
        <v>2022</v>
      </c>
      <c r="C90" t="s">
        <v>28</v>
      </c>
      <c r="D90" t="s">
        <v>188</v>
      </c>
      <c r="F90" t="s">
        <v>181</v>
      </c>
      <c r="G90">
        <v>4</v>
      </c>
      <c r="H90" t="s">
        <v>237</v>
      </c>
    </row>
    <row r="91" spans="1:8" hidden="1">
      <c r="A91" t="s">
        <v>11</v>
      </c>
      <c r="B91">
        <v>2022</v>
      </c>
      <c r="C91" t="s">
        <v>28</v>
      </c>
      <c r="D91" t="s">
        <v>180</v>
      </c>
      <c r="F91" t="s">
        <v>181</v>
      </c>
      <c r="G91">
        <v>1</v>
      </c>
      <c r="H91" t="s">
        <v>238</v>
      </c>
    </row>
    <row r="92" spans="1:8" hidden="1">
      <c r="A92" t="s">
        <v>11</v>
      </c>
      <c r="B92">
        <v>2022</v>
      </c>
      <c r="C92" t="s">
        <v>28</v>
      </c>
      <c r="D92" t="s">
        <v>180</v>
      </c>
      <c r="F92" t="s">
        <v>181</v>
      </c>
      <c r="G92">
        <v>2</v>
      </c>
      <c r="H92" t="s">
        <v>239</v>
      </c>
    </row>
    <row r="93" spans="1:8" hidden="1">
      <c r="A93" t="s">
        <v>11</v>
      </c>
      <c r="B93">
        <v>2022</v>
      </c>
      <c r="C93" t="s">
        <v>28</v>
      </c>
      <c r="D93" t="s">
        <v>191</v>
      </c>
      <c r="F93" t="s">
        <v>181</v>
      </c>
      <c r="G93">
        <v>2</v>
      </c>
      <c r="H93" t="s">
        <v>240</v>
      </c>
    </row>
    <row r="94" spans="1:8" hidden="1">
      <c r="A94" t="s">
        <v>11</v>
      </c>
      <c r="B94">
        <v>2022</v>
      </c>
      <c r="C94" t="s">
        <v>28</v>
      </c>
      <c r="D94" t="s">
        <v>200</v>
      </c>
      <c r="F94" t="s">
        <v>181</v>
      </c>
      <c r="G94">
        <v>1</v>
      </c>
      <c r="H94" t="s">
        <v>201</v>
      </c>
    </row>
    <row r="95" spans="1:8" hidden="1">
      <c r="A95" t="s">
        <v>11</v>
      </c>
      <c r="B95">
        <v>2022</v>
      </c>
      <c r="C95" t="s">
        <v>28</v>
      </c>
      <c r="D95" t="s">
        <v>197</v>
      </c>
      <c r="F95" t="s">
        <v>181</v>
      </c>
      <c r="G95">
        <v>0.25</v>
      </c>
      <c r="H95" t="s">
        <v>202</v>
      </c>
    </row>
    <row r="96" spans="1:8" hidden="1">
      <c r="A96" t="s">
        <v>11</v>
      </c>
      <c r="B96">
        <v>2022</v>
      </c>
      <c r="C96" t="s">
        <v>28</v>
      </c>
      <c r="D96" t="s">
        <v>199</v>
      </c>
      <c r="F96" t="s">
        <v>181</v>
      </c>
      <c r="G96">
        <v>0.25</v>
      </c>
      <c r="H96" t="s">
        <v>202</v>
      </c>
    </row>
    <row r="97" spans="1:8" hidden="1">
      <c r="A97" t="s">
        <v>11</v>
      </c>
      <c r="B97">
        <v>2022</v>
      </c>
      <c r="C97" t="s">
        <v>28</v>
      </c>
      <c r="D97" t="s">
        <v>203</v>
      </c>
      <c r="F97" t="s">
        <v>181</v>
      </c>
      <c r="G97">
        <v>1</v>
      </c>
      <c r="H97" t="s">
        <v>241</v>
      </c>
    </row>
    <row r="98" spans="1:8" hidden="1">
      <c r="A98" t="s">
        <v>11</v>
      </c>
      <c r="B98">
        <v>2022</v>
      </c>
      <c r="C98" t="s">
        <v>28</v>
      </c>
      <c r="D98" t="s">
        <v>199</v>
      </c>
      <c r="F98" t="s">
        <v>181</v>
      </c>
      <c r="G98">
        <v>0.75</v>
      </c>
      <c r="H98" t="s">
        <v>198</v>
      </c>
    </row>
    <row r="99" spans="1:8" hidden="1">
      <c r="A99" t="s">
        <v>11</v>
      </c>
      <c r="B99">
        <v>2022</v>
      </c>
      <c r="C99" t="s">
        <v>28</v>
      </c>
      <c r="D99" t="s">
        <v>197</v>
      </c>
      <c r="F99" t="s">
        <v>181</v>
      </c>
      <c r="G99">
        <v>0.75</v>
      </c>
      <c r="H99" t="s">
        <v>198</v>
      </c>
    </row>
    <row r="100" spans="1:8" hidden="1">
      <c r="A100" t="s">
        <v>11</v>
      </c>
      <c r="B100">
        <v>2022</v>
      </c>
      <c r="C100" t="s">
        <v>28</v>
      </c>
      <c r="D100" t="s">
        <v>180</v>
      </c>
      <c r="F100" t="s">
        <v>181</v>
      </c>
      <c r="G100">
        <v>1</v>
      </c>
      <c r="H100" t="s">
        <v>242</v>
      </c>
    </row>
    <row r="101" spans="1:8" hidden="1">
      <c r="A101" t="s">
        <v>11</v>
      </c>
      <c r="B101">
        <v>2022</v>
      </c>
      <c r="C101" t="s">
        <v>28</v>
      </c>
      <c r="D101" t="s">
        <v>180</v>
      </c>
      <c r="F101" t="s">
        <v>181</v>
      </c>
      <c r="G101">
        <v>1</v>
      </c>
      <c r="H101" t="s">
        <v>243</v>
      </c>
    </row>
    <row r="102" spans="1:8" hidden="1">
      <c r="A102" t="s">
        <v>11</v>
      </c>
      <c r="B102">
        <v>2022</v>
      </c>
      <c r="C102" t="s">
        <v>28</v>
      </c>
      <c r="D102" t="s">
        <v>191</v>
      </c>
      <c r="F102" t="s">
        <v>181</v>
      </c>
      <c r="G102">
        <v>1</v>
      </c>
      <c r="H102" t="s">
        <v>260</v>
      </c>
    </row>
    <row r="103" spans="1:8" hidden="1">
      <c r="A103" t="s">
        <v>11</v>
      </c>
      <c r="B103">
        <v>2022</v>
      </c>
      <c r="C103" t="s">
        <v>28</v>
      </c>
      <c r="D103" t="s">
        <v>188</v>
      </c>
      <c r="F103" t="s">
        <v>181</v>
      </c>
      <c r="G103">
        <v>0.5</v>
      </c>
      <c r="H103" t="s">
        <v>261</v>
      </c>
    </row>
    <row r="104" spans="1:8" hidden="1">
      <c r="A104" t="s">
        <v>11</v>
      </c>
      <c r="B104">
        <v>2022</v>
      </c>
      <c r="C104" t="s">
        <v>28</v>
      </c>
      <c r="D104" t="s">
        <v>191</v>
      </c>
      <c r="F104" t="s">
        <v>181</v>
      </c>
      <c r="G104">
        <v>1</v>
      </c>
      <c r="H104" t="s">
        <v>262</v>
      </c>
    </row>
    <row r="105" spans="1:8" hidden="1">
      <c r="A105" t="s">
        <v>11</v>
      </c>
      <c r="B105">
        <v>2022</v>
      </c>
      <c r="C105" t="s">
        <v>28</v>
      </c>
      <c r="D105" t="s">
        <v>180</v>
      </c>
      <c r="F105" t="s">
        <v>181</v>
      </c>
      <c r="G105">
        <v>1</v>
      </c>
      <c r="H105" t="s">
        <v>263</v>
      </c>
    </row>
    <row r="106" spans="1:8" hidden="1">
      <c r="A106" t="s">
        <v>11</v>
      </c>
      <c r="B106">
        <v>2022</v>
      </c>
      <c r="C106" t="s">
        <v>28</v>
      </c>
      <c r="D106" t="s">
        <v>199</v>
      </c>
      <c r="F106" t="s">
        <v>181</v>
      </c>
      <c r="G106">
        <v>0.25</v>
      </c>
      <c r="H106" t="s">
        <v>264</v>
      </c>
    </row>
    <row r="107" spans="1:8" hidden="1">
      <c r="A107" t="s">
        <v>11</v>
      </c>
      <c r="B107">
        <v>2022</v>
      </c>
      <c r="C107" t="s">
        <v>28</v>
      </c>
      <c r="D107" t="s">
        <v>193</v>
      </c>
      <c r="F107" t="s">
        <v>181</v>
      </c>
      <c r="G107">
        <v>0.6</v>
      </c>
      <c r="H107" t="s">
        <v>265</v>
      </c>
    </row>
    <row r="108" spans="1:8" hidden="1">
      <c r="A108" t="s">
        <v>11</v>
      </c>
      <c r="B108">
        <v>2022</v>
      </c>
      <c r="C108" t="s">
        <v>28</v>
      </c>
      <c r="D108" t="s">
        <v>199</v>
      </c>
      <c r="F108" t="s">
        <v>208</v>
      </c>
      <c r="G108">
        <v>2</v>
      </c>
      <c r="H108" t="s">
        <v>266</v>
      </c>
    </row>
    <row r="109" spans="1:8" hidden="1">
      <c r="A109" t="s">
        <v>11</v>
      </c>
      <c r="B109">
        <v>2022</v>
      </c>
      <c r="C109" t="s">
        <v>28</v>
      </c>
      <c r="D109" t="s">
        <v>180</v>
      </c>
      <c r="F109" t="s">
        <v>208</v>
      </c>
      <c r="G109">
        <v>2</v>
      </c>
      <c r="H109" t="s">
        <v>267</v>
      </c>
    </row>
    <row r="110" spans="1:8" hidden="1">
      <c r="A110" t="s">
        <v>11</v>
      </c>
      <c r="B110">
        <v>2022</v>
      </c>
      <c r="C110" t="s">
        <v>28</v>
      </c>
      <c r="D110" t="s">
        <v>199</v>
      </c>
      <c r="F110" t="s">
        <v>208</v>
      </c>
      <c r="G110">
        <v>5</v>
      </c>
      <c r="H110" t="s">
        <v>268</v>
      </c>
    </row>
    <row r="111" spans="1:8" hidden="1">
      <c r="A111" t="s">
        <v>11</v>
      </c>
      <c r="B111">
        <v>2022</v>
      </c>
      <c r="C111" t="s">
        <v>28</v>
      </c>
      <c r="D111" t="s">
        <v>188</v>
      </c>
      <c r="F111" t="s">
        <v>208</v>
      </c>
      <c r="G111">
        <v>1.5</v>
      </c>
      <c r="H111" t="s">
        <v>269</v>
      </c>
    </row>
    <row r="112" spans="1:8" hidden="1">
      <c r="A112" t="s">
        <v>11</v>
      </c>
      <c r="B112">
        <v>2022</v>
      </c>
      <c r="C112" t="s">
        <v>28</v>
      </c>
      <c r="D112" t="s">
        <v>199</v>
      </c>
      <c r="F112" t="s">
        <v>208</v>
      </c>
      <c r="G112">
        <v>6</v>
      </c>
      <c r="H112" t="s">
        <v>270</v>
      </c>
    </row>
    <row r="113" spans="1:8" hidden="1">
      <c r="A113" t="s">
        <v>11</v>
      </c>
      <c r="B113">
        <v>2022</v>
      </c>
      <c r="C113" t="s">
        <v>28</v>
      </c>
      <c r="D113" t="s">
        <v>188</v>
      </c>
      <c r="F113" t="s">
        <v>208</v>
      </c>
      <c r="G113">
        <v>0.5</v>
      </c>
      <c r="H113" t="s">
        <v>271</v>
      </c>
    </row>
    <row r="114" spans="1:8" hidden="1">
      <c r="A114" t="s">
        <v>11</v>
      </c>
      <c r="B114">
        <v>2022</v>
      </c>
      <c r="C114" t="s">
        <v>28</v>
      </c>
      <c r="D114" t="s">
        <v>188</v>
      </c>
      <c r="F114" t="s">
        <v>208</v>
      </c>
      <c r="G114">
        <v>3</v>
      </c>
      <c r="H114" t="s">
        <v>272</v>
      </c>
    </row>
    <row r="115" spans="1:8" hidden="1">
      <c r="A115" t="s">
        <v>11</v>
      </c>
      <c r="B115">
        <v>2022</v>
      </c>
      <c r="C115" t="s">
        <v>31</v>
      </c>
      <c r="D115" t="s">
        <v>180</v>
      </c>
      <c r="F115" t="s">
        <v>181</v>
      </c>
      <c r="G115">
        <v>6</v>
      </c>
      <c r="H115" t="s">
        <v>273</v>
      </c>
    </row>
    <row r="116" spans="1:8" hidden="1">
      <c r="A116" t="s">
        <v>11</v>
      </c>
      <c r="B116">
        <v>2022</v>
      </c>
      <c r="C116" t="s">
        <v>31</v>
      </c>
      <c r="D116" t="s">
        <v>180</v>
      </c>
      <c r="F116" t="s">
        <v>181</v>
      </c>
      <c r="G116">
        <v>2</v>
      </c>
      <c r="H116" t="s">
        <v>233</v>
      </c>
    </row>
    <row r="117" spans="1:8" hidden="1">
      <c r="A117" t="s">
        <v>11</v>
      </c>
      <c r="B117">
        <v>2022</v>
      </c>
      <c r="C117" t="s">
        <v>31</v>
      </c>
      <c r="D117" t="s">
        <v>184</v>
      </c>
      <c r="F117" t="s">
        <v>181</v>
      </c>
      <c r="G117">
        <v>2</v>
      </c>
      <c r="H117" t="s">
        <v>234</v>
      </c>
    </row>
    <row r="118" spans="1:8" hidden="1">
      <c r="A118" t="s">
        <v>11</v>
      </c>
      <c r="B118">
        <v>2022</v>
      </c>
      <c r="C118" t="s">
        <v>31</v>
      </c>
      <c r="D118" t="s">
        <v>180</v>
      </c>
      <c r="F118" t="s">
        <v>181</v>
      </c>
      <c r="G118">
        <v>1</v>
      </c>
      <c r="H118" t="s">
        <v>235</v>
      </c>
    </row>
    <row r="119" spans="1:8" hidden="1">
      <c r="A119" t="s">
        <v>11</v>
      </c>
      <c r="B119">
        <v>2022</v>
      </c>
      <c r="C119" t="s">
        <v>31</v>
      </c>
      <c r="D119" t="s">
        <v>180</v>
      </c>
      <c r="F119" t="s">
        <v>181</v>
      </c>
      <c r="G119">
        <v>1</v>
      </c>
      <c r="H119" t="s">
        <v>236</v>
      </c>
    </row>
    <row r="120" spans="1:8" hidden="1">
      <c r="A120" t="s">
        <v>11</v>
      </c>
      <c r="B120">
        <v>2022</v>
      </c>
      <c r="C120" t="s">
        <v>31</v>
      </c>
      <c r="D120" t="s">
        <v>188</v>
      </c>
      <c r="F120" t="s">
        <v>181</v>
      </c>
      <c r="G120">
        <v>4</v>
      </c>
      <c r="H120" t="s">
        <v>237</v>
      </c>
    </row>
    <row r="121" spans="1:8" hidden="1">
      <c r="A121" t="s">
        <v>11</v>
      </c>
      <c r="B121">
        <v>2022</v>
      </c>
      <c r="C121" t="s">
        <v>31</v>
      </c>
      <c r="D121" t="s">
        <v>180</v>
      </c>
      <c r="F121" t="s">
        <v>181</v>
      </c>
      <c r="G121">
        <v>1</v>
      </c>
      <c r="H121" t="s">
        <v>238</v>
      </c>
    </row>
    <row r="122" spans="1:8" hidden="1">
      <c r="A122" t="s">
        <v>11</v>
      </c>
      <c r="B122">
        <v>2022</v>
      </c>
      <c r="C122" t="s">
        <v>31</v>
      </c>
      <c r="D122" t="s">
        <v>180</v>
      </c>
      <c r="F122" t="s">
        <v>181</v>
      </c>
      <c r="G122">
        <v>2</v>
      </c>
      <c r="H122" t="s">
        <v>239</v>
      </c>
    </row>
    <row r="123" spans="1:8" hidden="1">
      <c r="A123" t="s">
        <v>11</v>
      </c>
      <c r="B123">
        <v>2022</v>
      </c>
      <c r="C123" t="s">
        <v>31</v>
      </c>
      <c r="D123" t="s">
        <v>191</v>
      </c>
      <c r="F123" t="s">
        <v>181</v>
      </c>
      <c r="G123">
        <v>2</v>
      </c>
      <c r="H123" t="s">
        <v>240</v>
      </c>
    </row>
    <row r="124" spans="1:8" hidden="1">
      <c r="A124" t="s">
        <v>11</v>
      </c>
      <c r="B124">
        <v>2022</v>
      </c>
      <c r="C124" t="s">
        <v>31</v>
      </c>
      <c r="D124" t="s">
        <v>200</v>
      </c>
      <c r="F124" t="s">
        <v>181</v>
      </c>
      <c r="G124">
        <v>1</v>
      </c>
      <c r="H124" t="s">
        <v>201</v>
      </c>
    </row>
    <row r="125" spans="1:8" hidden="1">
      <c r="A125" t="s">
        <v>11</v>
      </c>
      <c r="B125">
        <v>2022</v>
      </c>
      <c r="C125" t="s">
        <v>31</v>
      </c>
      <c r="D125" t="s">
        <v>197</v>
      </c>
      <c r="F125" t="s">
        <v>181</v>
      </c>
      <c r="G125">
        <v>0.25</v>
      </c>
      <c r="H125" t="s">
        <v>202</v>
      </c>
    </row>
    <row r="126" spans="1:8" hidden="1">
      <c r="A126" t="s">
        <v>11</v>
      </c>
      <c r="B126">
        <v>2022</v>
      </c>
      <c r="C126" t="s">
        <v>31</v>
      </c>
      <c r="D126" t="s">
        <v>199</v>
      </c>
      <c r="F126" t="s">
        <v>181</v>
      </c>
      <c r="G126">
        <v>0.25</v>
      </c>
      <c r="H126" t="s">
        <v>202</v>
      </c>
    </row>
    <row r="127" spans="1:8" hidden="1">
      <c r="A127" t="s">
        <v>11</v>
      </c>
      <c r="B127">
        <v>2022</v>
      </c>
      <c r="C127" t="s">
        <v>31</v>
      </c>
      <c r="D127" t="s">
        <v>203</v>
      </c>
      <c r="F127" t="s">
        <v>181</v>
      </c>
      <c r="G127">
        <v>1</v>
      </c>
      <c r="H127" t="s">
        <v>241</v>
      </c>
    </row>
    <row r="128" spans="1:8" hidden="1">
      <c r="A128" t="s">
        <v>11</v>
      </c>
      <c r="B128">
        <v>2022</v>
      </c>
      <c r="C128" t="s">
        <v>31</v>
      </c>
      <c r="D128" t="s">
        <v>199</v>
      </c>
      <c r="F128" t="s">
        <v>181</v>
      </c>
      <c r="G128">
        <v>0.75</v>
      </c>
      <c r="H128" t="s">
        <v>198</v>
      </c>
    </row>
    <row r="129" spans="1:8" hidden="1">
      <c r="A129" t="s">
        <v>11</v>
      </c>
      <c r="B129">
        <v>2022</v>
      </c>
      <c r="C129" t="s">
        <v>31</v>
      </c>
      <c r="D129" t="s">
        <v>197</v>
      </c>
      <c r="F129" t="s">
        <v>181</v>
      </c>
      <c r="G129">
        <v>0.75</v>
      </c>
      <c r="H129" t="s">
        <v>198</v>
      </c>
    </row>
    <row r="130" spans="1:8" hidden="1">
      <c r="A130" t="s">
        <v>11</v>
      </c>
      <c r="B130">
        <v>2022</v>
      </c>
      <c r="C130" t="s">
        <v>31</v>
      </c>
      <c r="D130" t="s">
        <v>180</v>
      </c>
      <c r="F130" t="s">
        <v>181</v>
      </c>
      <c r="G130">
        <v>1</v>
      </c>
      <c r="H130" t="s">
        <v>242</v>
      </c>
    </row>
    <row r="131" spans="1:8" hidden="1">
      <c r="A131" t="s">
        <v>11</v>
      </c>
      <c r="B131">
        <v>2022</v>
      </c>
      <c r="C131" t="s">
        <v>31</v>
      </c>
      <c r="D131" t="s">
        <v>180</v>
      </c>
      <c r="F131" t="s">
        <v>181</v>
      </c>
      <c r="G131">
        <v>1</v>
      </c>
      <c r="H131" t="s">
        <v>243</v>
      </c>
    </row>
    <row r="132" spans="1:8" hidden="1">
      <c r="A132" t="s">
        <v>11</v>
      </c>
      <c r="B132">
        <v>2022</v>
      </c>
      <c r="C132" t="s">
        <v>31</v>
      </c>
      <c r="D132" t="s">
        <v>199</v>
      </c>
      <c r="F132" t="s">
        <v>181</v>
      </c>
      <c r="G132">
        <v>1</v>
      </c>
      <c r="H132" t="s">
        <v>274</v>
      </c>
    </row>
    <row r="133" spans="1:8" hidden="1">
      <c r="A133" t="s">
        <v>11</v>
      </c>
      <c r="B133">
        <v>2022</v>
      </c>
      <c r="C133" t="s">
        <v>31</v>
      </c>
      <c r="D133" t="s">
        <v>199</v>
      </c>
      <c r="F133" t="s">
        <v>181</v>
      </c>
      <c r="G133">
        <v>10.4</v>
      </c>
      <c r="H133" t="s">
        <v>275</v>
      </c>
    </row>
    <row r="134" spans="1:8" hidden="1">
      <c r="A134" t="s">
        <v>11</v>
      </c>
      <c r="B134">
        <v>2022</v>
      </c>
      <c r="C134" t="s">
        <v>31</v>
      </c>
      <c r="D134" t="s">
        <v>180</v>
      </c>
      <c r="F134" t="s">
        <v>181</v>
      </c>
      <c r="G134">
        <v>3</v>
      </c>
      <c r="H134" t="s">
        <v>276</v>
      </c>
    </row>
    <row r="135" spans="1:8" hidden="1">
      <c r="A135" t="s">
        <v>11</v>
      </c>
      <c r="B135">
        <v>2022</v>
      </c>
      <c r="C135" t="s">
        <v>31</v>
      </c>
      <c r="D135" t="s">
        <v>203</v>
      </c>
      <c r="F135" t="s">
        <v>181</v>
      </c>
      <c r="G135">
        <v>1</v>
      </c>
      <c r="H135" t="s">
        <v>277</v>
      </c>
    </row>
    <row r="136" spans="1:8" hidden="1">
      <c r="A136" t="s">
        <v>11</v>
      </c>
      <c r="B136">
        <v>2022</v>
      </c>
      <c r="C136" t="s">
        <v>31</v>
      </c>
      <c r="D136" t="s">
        <v>180</v>
      </c>
      <c r="F136" t="s">
        <v>181</v>
      </c>
      <c r="G136">
        <v>3</v>
      </c>
      <c r="H136" t="s">
        <v>278</v>
      </c>
    </row>
    <row r="137" spans="1:8" hidden="1">
      <c r="A137" t="s">
        <v>11</v>
      </c>
      <c r="B137">
        <v>2022</v>
      </c>
      <c r="C137" t="s">
        <v>31</v>
      </c>
      <c r="D137" t="s">
        <v>193</v>
      </c>
      <c r="F137" t="s">
        <v>181</v>
      </c>
      <c r="G137">
        <v>1</v>
      </c>
      <c r="H137" t="s">
        <v>216</v>
      </c>
    </row>
    <row r="138" spans="1:8" hidden="1">
      <c r="A138" t="s">
        <v>11</v>
      </c>
      <c r="B138">
        <v>2022</v>
      </c>
      <c r="C138" t="s">
        <v>31</v>
      </c>
      <c r="D138" t="s">
        <v>180</v>
      </c>
      <c r="F138" t="s">
        <v>181</v>
      </c>
      <c r="G138">
        <v>6.95</v>
      </c>
      <c r="H138" t="s">
        <v>279</v>
      </c>
    </row>
    <row r="139" spans="1:8" hidden="1">
      <c r="A139" t="s">
        <v>11</v>
      </c>
      <c r="B139">
        <v>2022</v>
      </c>
      <c r="C139" t="s">
        <v>31</v>
      </c>
      <c r="D139" t="s">
        <v>188</v>
      </c>
      <c r="F139" t="s">
        <v>181</v>
      </c>
      <c r="G139">
        <v>10</v>
      </c>
      <c r="H139" t="s">
        <v>280</v>
      </c>
    </row>
    <row r="140" spans="1:8" hidden="1">
      <c r="A140" t="s">
        <v>11</v>
      </c>
      <c r="B140">
        <v>2022</v>
      </c>
      <c r="C140" t="s">
        <v>31</v>
      </c>
      <c r="D140" t="s">
        <v>259</v>
      </c>
      <c r="F140" t="s">
        <v>181</v>
      </c>
      <c r="G140">
        <v>4.5999999999999996</v>
      </c>
      <c r="H140" t="s">
        <v>281</v>
      </c>
    </row>
    <row r="141" spans="1:8" hidden="1">
      <c r="A141" t="s">
        <v>11</v>
      </c>
      <c r="B141">
        <v>2022</v>
      </c>
      <c r="C141" t="s">
        <v>31</v>
      </c>
      <c r="D141" t="s">
        <v>259</v>
      </c>
      <c r="F141" t="s">
        <v>181</v>
      </c>
      <c r="G141">
        <v>2.6</v>
      </c>
      <c r="H141" t="s">
        <v>282</v>
      </c>
    </row>
    <row r="142" spans="1:8" hidden="1">
      <c r="A142" t="s">
        <v>11</v>
      </c>
      <c r="B142">
        <v>2022</v>
      </c>
      <c r="C142" t="s">
        <v>33</v>
      </c>
      <c r="D142" t="s">
        <v>180</v>
      </c>
      <c r="F142" t="s">
        <v>181</v>
      </c>
      <c r="G142">
        <v>6</v>
      </c>
      <c r="H142" t="s">
        <v>273</v>
      </c>
    </row>
    <row r="143" spans="1:8" hidden="1">
      <c r="A143" t="s">
        <v>11</v>
      </c>
      <c r="B143">
        <v>2022</v>
      </c>
      <c r="C143" t="s">
        <v>33</v>
      </c>
      <c r="D143" t="s">
        <v>180</v>
      </c>
      <c r="F143" t="s">
        <v>181</v>
      </c>
      <c r="G143">
        <v>2</v>
      </c>
      <c r="H143" t="s">
        <v>233</v>
      </c>
    </row>
    <row r="144" spans="1:8" hidden="1">
      <c r="A144" t="s">
        <v>11</v>
      </c>
      <c r="B144">
        <v>2022</v>
      </c>
      <c r="C144" t="s">
        <v>33</v>
      </c>
      <c r="D144" t="s">
        <v>184</v>
      </c>
      <c r="F144" t="s">
        <v>181</v>
      </c>
      <c r="G144">
        <v>2</v>
      </c>
      <c r="H144" t="s">
        <v>185</v>
      </c>
    </row>
    <row r="145" spans="1:8" hidden="1">
      <c r="A145" t="s">
        <v>11</v>
      </c>
      <c r="B145">
        <v>2022</v>
      </c>
      <c r="C145" t="s">
        <v>33</v>
      </c>
      <c r="D145" t="s">
        <v>180</v>
      </c>
      <c r="F145" t="s">
        <v>181</v>
      </c>
      <c r="G145">
        <v>1</v>
      </c>
      <c r="H145" t="s">
        <v>235</v>
      </c>
    </row>
    <row r="146" spans="1:8" hidden="1">
      <c r="A146" t="s">
        <v>11</v>
      </c>
      <c r="B146">
        <v>2022</v>
      </c>
      <c r="C146" t="s">
        <v>33</v>
      </c>
      <c r="D146" t="s">
        <v>180</v>
      </c>
      <c r="F146" t="s">
        <v>181</v>
      </c>
      <c r="G146">
        <v>1</v>
      </c>
      <c r="H146" t="s">
        <v>236</v>
      </c>
    </row>
    <row r="147" spans="1:8" hidden="1">
      <c r="A147" t="s">
        <v>11</v>
      </c>
      <c r="B147">
        <v>2022</v>
      </c>
      <c r="C147" t="s">
        <v>33</v>
      </c>
      <c r="D147" t="s">
        <v>188</v>
      </c>
      <c r="F147" t="s">
        <v>181</v>
      </c>
      <c r="G147">
        <v>4</v>
      </c>
      <c r="H147" t="s">
        <v>237</v>
      </c>
    </row>
    <row r="148" spans="1:8" hidden="1">
      <c r="A148" t="s">
        <v>11</v>
      </c>
      <c r="B148">
        <v>2022</v>
      </c>
      <c r="C148" t="s">
        <v>33</v>
      </c>
      <c r="D148" t="s">
        <v>180</v>
      </c>
      <c r="F148" t="s">
        <v>181</v>
      </c>
      <c r="G148">
        <v>1</v>
      </c>
      <c r="H148" t="s">
        <v>283</v>
      </c>
    </row>
    <row r="149" spans="1:8" hidden="1">
      <c r="A149" t="s">
        <v>11</v>
      </c>
      <c r="B149">
        <v>2022</v>
      </c>
      <c r="C149" t="s">
        <v>33</v>
      </c>
      <c r="D149" t="s">
        <v>180</v>
      </c>
      <c r="F149" t="s">
        <v>181</v>
      </c>
      <c r="G149">
        <v>2</v>
      </c>
      <c r="H149" t="s">
        <v>284</v>
      </c>
    </row>
    <row r="150" spans="1:8" hidden="1">
      <c r="A150" t="s">
        <v>11</v>
      </c>
      <c r="B150">
        <v>2022</v>
      </c>
      <c r="C150" t="s">
        <v>33</v>
      </c>
      <c r="D150" t="s">
        <v>191</v>
      </c>
      <c r="F150" t="s">
        <v>181</v>
      </c>
      <c r="G150">
        <v>2</v>
      </c>
      <c r="H150" t="s">
        <v>240</v>
      </c>
    </row>
    <row r="151" spans="1:8" hidden="1">
      <c r="A151" t="s">
        <v>11</v>
      </c>
      <c r="B151">
        <v>2022</v>
      </c>
      <c r="C151" t="s">
        <v>33</v>
      </c>
      <c r="D151" t="s">
        <v>200</v>
      </c>
      <c r="F151" t="s">
        <v>181</v>
      </c>
      <c r="G151">
        <v>1</v>
      </c>
      <c r="H151" t="s">
        <v>201</v>
      </c>
    </row>
    <row r="152" spans="1:8" hidden="1">
      <c r="A152" t="s">
        <v>11</v>
      </c>
      <c r="B152">
        <v>2022</v>
      </c>
      <c r="C152" t="s">
        <v>33</v>
      </c>
      <c r="D152" t="s">
        <v>197</v>
      </c>
      <c r="F152" t="s">
        <v>181</v>
      </c>
      <c r="G152">
        <v>0.25</v>
      </c>
      <c r="H152" t="s">
        <v>202</v>
      </c>
    </row>
    <row r="153" spans="1:8" hidden="1">
      <c r="A153" t="s">
        <v>11</v>
      </c>
      <c r="B153">
        <v>2022</v>
      </c>
      <c r="C153" t="s">
        <v>33</v>
      </c>
      <c r="D153" t="s">
        <v>199</v>
      </c>
      <c r="F153" t="s">
        <v>181</v>
      </c>
      <c r="G153">
        <v>0.25</v>
      </c>
      <c r="H153" t="s">
        <v>202</v>
      </c>
    </row>
    <row r="154" spans="1:8" hidden="1">
      <c r="A154" t="s">
        <v>11</v>
      </c>
      <c r="B154">
        <v>2022</v>
      </c>
      <c r="C154" t="s">
        <v>33</v>
      </c>
      <c r="D154" t="s">
        <v>203</v>
      </c>
      <c r="F154" t="s">
        <v>181</v>
      </c>
      <c r="G154">
        <v>1</v>
      </c>
      <c r="H154" t="s">
        <v>241</v>
      </c>
    </row>
    <row r="155" spans="1:8" hidden="1">
      <c r="A155" t="s">
        <v>11</v>
      </c>
      <c r="B155">
        <v>2022</v>
      </c>
      <c r="C155" t="s">
        <v>33</v>
      </c>
      <c r="D155" t="s">
        <v>197</v>
      </c>
      <c r="F155" t="s">
        <v>181</v>
      </c>
      <c r="G155">
        <v>0.75</v>
      </c>
      <c r="H155" t="s">
        <v>198</v>
      </c>
    </row>
    <row r="156" spans="1:8" hidden="1">
      <c r="A156" t="s">
        <v>11</v>
      </c>
      <c r="B156">
        <v>2022</v>
      </c>
      <c r="C156" t="s">
        <v>33</v>
      </c>
      <c r="D156" t="s">
        <v>199</v>
      </c>
      <c r="F156" t="s">
        <v>181</v>
      </c>
      <c r="G156">
        <v>0.75</v>
      </c>
      <c r="H156" t="s">
        <v>198</v>
      </c>
    </row>
    <row r="157" spans="1:8" hidden="1">
      <c r="A157" t="s">
        <v>11</v>
      </c>
      <c r="B157">
        <v>2022</v>
      </c>
      <c r="C157" t="s">
        <v>33</v>
      </c>
      <c r="D157" t="s">
        <v>180</v>
      </c>
      <c r="F157" t="s">
        <v>181</v>
      </c>
      <c r="G157">
        <v>1</v>
      </c>
      <c r="H157" t="s">
        <v>242</v>
      </c>
    </row>
    <row r="158" spans="1:8" hidden="1">
      <c r="A158" t="s">
        <v>11</v>
      </c>
      <c r="B158">
        <v>2022</v>
      </c>
      <c r="C158" t="s">
        <v>33</v>
      </c>
      <c r="D158" t="s">
        <v>180</v>
      </c>
      <c r="F158" t="s">
        <v>181</v>
      </c>
      <c r="G158">
        <v>1</v>
      </c>
      <c r="H158" t="s">
        <v>243</v>
      </c>
    </row>
    <row r="159" spans="1:8" hidden="1">
      <c r="A159" t="s">
        <v>11</v>
      </c>
      <c r="B159">
        <v>2022</v>
      </c>
      <c r="C159" t="s">
        <v>33</v>
      </c>
      <c r="D159" t="s">
        <v>199</v>
      </c>
      <c r="F159" t="s">
        <v>181</v>
      </c>
      <c r="G159">
        <v>1</v>
      </c>
      <c r="H159" t="s">
        <v>274</v>
      </c>
    </row>
    <row r="160" spans="1:8" hidden="1">
      <c r="A160" t="s">
        <v>11</v>
      </c>
      <c r="B160">
        <v>2022</v>
      </c>
      <c r="C160" t="s">
        <v>33</v>
      </c>
      <c r="D160" t="s">
        <v>180</v>
      </c>
      <c r="F160" t="s">
        <v>181</v>
      </c>
      <c r="G160">
        <v>4</v>
      </c>
      <c r="H160" t="s">
        <v>285</v>
      </c>
    </row>
    <row r="161" spans="1:8" hidden="1">
      <c r="A161" t="s">
        <v>11</v>
      </c>
      <c r="B161">
        <v>2022</v>
      </c>
      <c r="C161" t="s">
        <v>33</v>
      </c>
      <c r="D161" t="s">
        <v>193</v>
      </c>
      <c r="F161" t="s">
        <v>181</v>
      </c>
      <c r="G161">
        <v>4</v>
      </c>
      <c r="H161" t="s">
        <v>286</v>
      </c>
    </row>
    <row r="162" spans="1:8" hidden="1">
      <c r="A162" t="s">
        <v>11</v>
      </c>
      <c r="B162">
        <v>2022</v>
      </c>
      <c r="C162" t="s">
        <v>33</v>
      </c>
      <c r="D162" t="s">
        <v>180</v>
      </c>
      <c r="F162" t="s">
        <v>181</v>
      </c>
      <c r="G162">
        <v>2.5</v>
      </c>
      <c r="H162" t="s">
        <v>287</v>
      </c>
    </row>
    <row r="163" spans="1:8" hidden="1">
      <c r="A163" t="s">
        <v>11</v>
      </c>
      <c r="B163">
        <v>2022</v>
      </c>
      <c r="C163" t="s">
        <v>33</v>
      </c>
      <c r="D163" t="s">
        <v>191</v>
      </c>
      <c r="F163" t="s">
        <v>181</v>
      </c>
      <c r="G163">
        <v>3.5</v>
      </c>
      <c r="H163" t="s">
        <v>288</v>
      </c>
    </row>
    <row r="164" spans="1:8" hidden="1">
      <c r="A164" t="s">
        <v>11</v>
      </c>
      <c r="B164">
        <v>2022</v>
      </c>
      <c r="C164" t="s">
        <v>33</v>
      </c>
      <c r="D164" t="s">
        <v>188</v>
      </c>
      <c r="F164" t="s">
        <v>208</v>
      </c>
      <c r="G164">
        <v>8.9499999999999993</v>
      </c>
      <c r="H164" t="s">
        <v>289</v>
      </c>
    </row>
    <row r="165" spans="1:8" hidden="1">
      <c r="A165" t="s">
        <v>11</v>
      </c>
      <c r="B165">
        <v>2022</v>
      </c>
      <c r="C165" t="s">
        <v>33</v>
      </c>
      <c r="D165" t="s">
        <v>188</v>
      </c>
      <c r="F165" t="s">
        <v>208</v>
      </c>
      <c r="G165">
        <v>0.5</v>
      </c>
      <c r="H165" t="s">
        <v>290</v>
      </c>
    </row>
    <row r="166" spans="1:8" hidden="1">
      <c r="A166" t="s">
        <v>11</v>
      </c>
      <c r="B166">
        <v>2022</v>
      </c>
      <c r="C166" t="s">
        <v>34</v>
      </c>
      <c r="D166" t="s">
        <v>180</v>
      </c>
      <c r="F166" t="s">
        <v>181</v>
      </c>
      <c r="G166">
        <v>6</v>
      </c>
      <c r="H166" t="s">
        <v>273</v>
      </c>
    </row>
    <row r="167" spans="1:8" hidden="1">
      <c r="A167" t="s">
        <v>11</v>
      </c>
      <c r="B167">
        <v>2022</v>
      </c>
      <c r="C167" t="s">
        <v>34</v>
      </c>
      <c r="D167" t="s">
        <v>180</v>
      </c>
      <c r="F167" t="s">
        <v>181</v>
      </c>
      <c r="G167">
        <v>2</v>
      </c>
      <c r="H167" t="s">
        <v>233</v>
      </c>
    </row>
    <row r="168" spans="1:8" hidden="1">
      <c r="A168" t="s">
        <v>11</v>
      </c>
      <c r="B168">
        <v>2022</v>
      </c>
      <c r="C168" t="s">
        <v>34</v>
      </c>
      <c r="D168" t="s">
        <v>184</v>
      </c>
      <c r="F168" t="s">
        <v>181</v>
      </c>
      <c r="G168">
        <v>2</v>
      </c>
      <c r="H168" t="s">
        <v>185</v>
      </c>
    </row>
    <row r="169" spans="1:8" hidden="1">
      <c r="A169" t="s">
        <v>11</v>
      </c>
      <c r="B169">
        <v>2022</v>
      </c>
      <c r="C169" t="s">
        <v>34</v>
      </c>
      <c r="D169" t="s">
        <v>180</v>
      </c>
      <c r="F169" t="s">
        <v>181</v>
      </c>
      <c r="G169">
        <v>1</v>
      </c>
      <c r="H169" t="s">
        <v>235</v>
      </c>
    </row>
    <row r="170" spans="1:8" hidden="1">
      <c r="A170" t="s">
        <v>11</v>
      </c>
      <c r="B170">
        <v>2022</v>
      </c>
      <c r="C170" t="s">
        <v>34</v>
      </c>
      <c r="D170" t="s">
        <v>180</v>
      </c>
      <c r="F170" t="s">
        <v>181</v>
      </c>
      <c r="G170">
        <v>1</v>
      </c>
      <c r="H170" t="s">
        <v>236</v>
      </c>
    </row>
    <row r="171" spans="1:8" hidden="1">
      <c r="A171" t="s">
        <v>11</v>
      </c>
      <c r="B171">
        <v>2022</v>
      </c>
      <c r="C171" t="s">
        <v>34</v>
      </c>
      <c r="D171" t="s">
        <v>188</v>
      </c>
      <c r="F171" t="s">
        <v>181</v>
      </c>
      <c r="G171">
        <v>4</v>
      </c>
      <c r="H171" t="s">
        <v>237</v>
      </c>
    </row>
    <row r="172" spans="1:8" hidden="1">
      <c r="A172" t="s">
        <v>11</v>
      </c>
      <c r="B172">
        <v>2022</v>
      </c>
      <c r="C172" t="s">
        <v>34</v>
      </c>
      <c r="D172" t="s">
        <v>180</v>
      </c>
      <c r="F172" t="s">
        <v>181</v>
      </c>
      <c r="G172">
        <v>1</v>
      </c>
      <c r="H172" t="s">
        <v>283</v>
      </c>
    </row>
    <row r="173" spans="1:8" hidden="1">
      <c r="A173" t="s">
        <v>11</v>
      </c>
      <c r="B173">
        <v>2022</v>
      </c>
      <c r="C173" t="s">
        <v>34</v>
      </c>
      <c r="D173" t="s">
        <v>180</v>
      </c>
      <c r="F173" t="s">
        <v>181</v>
      </c>
      <c r="G173">
        <v>2</v>
      </c>
      <c r="H173" t="s">
        <v>284</v>
      </c>
    </row>
    <row r="174" spans="1:8" hidden="1">
      <c r="A174" t="s">
        <v>11</v>
      </c>
      <c r="B174">
        <v>2022</v>
      </c>
      <c r="C174" t="s">
        <v>34</v>
      </c>
      <c r="D174" t="s">
        <v>191</v>
      </c>
      <c r="F174" t="s">
        <v>181</v>
      </c>
      <c r="G174">
        <v>2</v>
      </c>
      <c r="H174" t="s">
        <v>240</v>
      </c>
    </row>
    <row r="175" spans="1:8" hidden="1">
      <c r="A175" t="s">
        <v>11</v>
      </c>
      <c r="B175">
        <v>2022</v>
      </c>
      <c r="C175" t="s">
        <v>34</v>
      </c>
      <c r="D175" t="s">
        <v>200</v>
      </c>
      <c r="F175" t="s">
        <v>181</v>
      </c>
      <c r="G175">
        <v>1</v>
      </c>
      <c r="H175" t="s">
        <v>201</v>
      </c>
    </row>
    <row r="176" spans="1:8" hidden="1">
      <c r="A176" t="s">
        <v>11</v>
      </c>
      <c r="B176">
        <v>2022</v>
      </c>
      <c r="C176" t="s">
        <v>34</v>
      </c>
      <c r="D176" t="s">
        <v>197</v>
      </c>
      <c r="F176" t="s">
        <v>181</v>
      </c>
      <c r="G176">
        <v>0.25</v>
      </c>
      <c r="H176" t="s">
        <v>202</v>
      </c>
    </row>
    <row r="177" spans="1:8" hidden="1">
      <c r="A177" t="s">
        <v>11</v>
      </c>
      <c r="B177">
        <v>2022</v>
      </c>
      <c r="C177" t="s">
        <v>34</v>
      </c>
      <c r="D177" t="s">
        <v>199</v>
      </c>
      <c r="F177" t="s">
        <v>181</v>
      </c>
      <c r="G177">
        <v>0.25</v>
      </c>
      <c r="H177" t="s">
        <v>202</v>
      </c>
    </row>
    <row r="178" spans="1:8" hidden="1">
      <c r="A178" t="s">
        <v>11</v>
      </c>
      <c r="B178">
        <v>2022</v>
      </c>
      <c r="C178" t="s">
        <v>34</v>
      </c>
      <c r="D178" t="s">
        <v>203</v>
      </c>
      <c r="F178" t="s">
        <v>181</v>
      </c>
      <c r="G178">
        <v>1</v>
      </c>
      <c r="H178" t="s">
        <v>241</v>
      </c>
    </row>
    <row r="179" spans="1:8" hidden="1">
      <c r="A179" t="s">
        <v>11</v>
      </c>
      <c r="B179">
        <v>2022</v>
      </c>
      <c r="C179" t="s">
        <v>34</v>
      </c>
      <c r="D179" t="s">
        <v>199</v>
      </c>
      <c r="F179" t="s">
        <v>181</v>
      </c>
      <c r="G179">
        <v>0.75</v>
      </c>
      <c r="H179" t="s">
        <v>198</v>
      </c>
    </row>
    <row r="180" spans="1:8" hidden="1">
      <c r="A180" t="s">
        <v>11</v>
      </c>
      <c r="B180">
        <v>2022</v>
      </c>
      <c r="C180" t="s">
        <v>34</v>
      </c>
      <c r="D180" t="s">
        <v>197</v>
      </c>
      <c r="F180" t="s">
        <v>181</v>
      </c>
      <c r="G180">
        <v>0.75</v>
      </c>
      <c r="H180" t="s">
        <v>198</v>
      </c>
    </row>
    <row r="181" spans="1:8" hidden="1">
      <c r="A181" t="s">
        <v>11</v>
      </c>
      <c r="B181">
        <v>2022</v>
      </c>
      <c r="C181" t="s">
        <v>34</v>
      </c>
      <c r="D181" t="s">
        <v>180</v>
      </c>
      <c r="F181" t="s">
        <v>181</v>
      </c>
      <c r="G181">
        <v>1</v>
      </c>
      <c r="H181" t="s">
        <v>242</v>
      </c>
    </row>
    <row r="182" spans="1:8" hidden="1">
      <c r="A182" t="s">
        <v>11</v>
      </c>
      <c r="B182">
        <v>2022</v>
      </c>
      <c r="C182" t="s">
        <v>34</v>
      </c>
      <c r="D182" t="s">
        <v>180</v>
      </c>
      <c r="F182" t="s">
        <v>181</v>
      </c>
      <c r="G182">
        <v>1</v>
      </c>
      <c r="H182" t="s">
        <v>243</v>
      </c>
    </row>
    <row r="183" spans="1:8" hidden="1">
      <c r="A183" t="s">
        <v>11</v>
      </c>
      <c r="B183">
        <v>2022</v>
      </c>
      <c r="C183" t="s">
        <v>34</v>
      </c>
      <c r="D183" t="s">
        <v>199</v>
      </c>
      <c r="F183" t="s">
        <v>181</v>
      </c>
      <c r="G183">
        <v>1</v>
      </c>
      <c r="H183" t="s">
        <v>274</v>
      </c>
    </row>
    <row r="184" spans="1:8" hidden="1">
      <c r="A184" t="s">
        <v>11</v>
      </c>
      <c r="B184">
        <v>2022</v>
      </c>
      <c r="C184" t="s">
        <v>34</v>
      </c>
      <c r="D184" t="s">
        <v>180</v>
      </c>
      <c r="F184" t="s">
        <v>181</v>
      </c>
      <c r="G184">
        <v>4</v>
      </c>
      <c r="H184" t="s">
        <v>285</v>
      </c>
    </row>
    <row r="185" spans="1:8" hidden="1">
      <c r="A185" t="s">
        <v>11</v>
      </c>
      <c r="B185">
        <v>2022</v>
      </c>
      <c r="C185" t="s">
        <v>34</v>
      </c>
      <c r="D185" t="s">
        <v>180</v>
      </c>
      <c r="F185" t="s">
        <v>181</v>
      </c>
      <c r="G185">
        <v>1</v>
      </c>
      <c r="H185" t="s">
        <v>291</v>
      </c>
    </row>
    <row r="186" spans="1:8" hidden="1">
      <c r="A186" t="s">
        <v>11</v>
      </c>
      <c r="B186">
        <v>2022</v>
      </c>
      <c r="C186" t="s">
        <v>34</v>
      </c>
      <c r="D186" t="s">
        <v>180</v>
      </c>
      <c r="F186" t="s">
        <v>181</v>
      </c>
      <c r="G186">
        <v>1</v>
      </c>
      <c r="H186" t="s">
        <v>292</v>
      </c>
    </row>
    <row r="187" spans="1:8" hidden="1">
      <c r="A187" t="s">
        <v>11</v>
      </c>
      <c r="B187">
        <v>2022</v>
      </c>
      <c r="C187" t="s">
        <v>34</v>
      </c>
      <c r="D187" t="s">
        <v>180</v>
      </c>
      <c r="F187" t="s">
        <v>181</v>
      </c>
      <c r="G187">
        <v>1.6</v>
      </c>
      <c r="H187" t="s">
        <v>293</v>
      </c>
    </row>
    <row r="188" spans="1:8" hidden="1">
      <c r="A188" t="s">
        <v>11</v>
      </c>
      <c r="B188">
        <v>2022</v>
      </c>
      <c r="C188" t="s">
        <v>34</v>
      </c>
      <c r="D188" t="s">
        <v>180</v>
      </c>
      <c r="F188" t="s">
        <v>181</v>
      </c>
      <c r="G188">
        <v>2</v>
      </c>
      <c r="H188" t="s">
        <v>294</v>
      </c>
    </row>
    <row r="189" spans="1:8" hidden="1">
      <c r="A189" t="s">
        <v>11</v>
      </c>
      <c r="B189">
        <v>2022</v>
      </c>
      <c r="C189" t="s">
        <v>34</v>
      </c>
      <c r="D189" t="s">
        <v>180</v>
      </c>
      <c r="F189" t="s">
        <v>181</v>
      </c>
      <c r="G189">
        <v>1</v>
      </c>
      <c r="H189" t="s">
        <v>295</v>
      </c>
    </row>
    <row r="190" spans="1:8" hidden="1">
      <c r="A190" t="s">
        <v>11</v>
      </c>
      <c r="B190">
        <v>2022</v>
      </c>
      <c r="C190" t="s">
        <v>34</v>
      </c>
      <c r="D190" t="s">
        <v>180</v>
      </c>
      <c r="F190" t="s">
        <v>181</v>
      </c>
      <c r="G190">
        <v>1</v>
      </c>
      <c r="H190" t="s">
        <v>296</v>
      </c>
    </row>
    <row r="191" spans="1:8" hidden="1">
      <c r="A191" t="s">
        <v>11</v>
      </c>
      <c r="B191">
        <v>2022</v>
      </c>
      <c r="C191" t="s">
        <v>34</v>
      </c>
      <c r="D191" t="s">
        <v>191</v>
      </c>
      <c r="F191" t="s">
        <v>181</v>
      </c>
      <c r="G191">
        <v>1</v>
      </c>
      <c r="H191" t="s">
        <v>297</v>
      </c>
    </row>
    <row r="192" spans="1:8" hidden="1">
      <c r="A192" t="s">
        <v>11</v>
      </c>
      <c r="B192">
        <v>2022</v>
      </c>
      <c r="C192" t="s">
        <v>34</v>
      </c>
      <c r="D192" t="s">
        <v>188</v>
      </c>
      <c r="F192" t="s">
        <v>181</v>
      </c>
      <c r="G192">
        <v>1</v>
      </c>
      <c r="H192" t="s">
        <v>298</v>
      </c>
    </row>
    <row r="193" spans="1:8" hidden="1">
      <c r="A193" t="s">
        <v>11</v>
      </c>
      <c r="B193">
        <v>2022</v>
      </c>
      <c r="C193" t="s">
        <v>34</v>
      </c>
      <c r="D193" t="s">
        <v>193</v>
      </c>
      <c r="F193" t="s">
        <v>181</v>
      </c>
      <c r="G193">
        <v>7.5</v>
      </c>
      <c r="H193" t="s">
        <v>299</v>
      </c>
    </row>
    <row r="194" spans="1:8" hidden="1">
      <c r="A194" t="s">
        <v>11</v>
      </c>
      <c r="B194">
        <v>2022</v>
      </c>
      <c r="C194" t="s">
        <v>34</v>
      </c>
      <c r="D194" t="s">
        <v>193</v>
      </c>
      <c r="F194" t="s">
        <v>181</v>
      </c>
      <c r="G194">
        <v>7</v>
      </c>
      <c r="H194" t="s">
        <v>300</v>
      </c>
    </row>
    <row r="195" spans="1:8" hidden="1">
      <c r="A195" t="s">
        <v>11</v>
      </c>
      <c r="B195">
        <v>2022</v>
      </c>
      <c r="C195" t="s">
        <v>34</v>
      </c>
      <c r="D195" t="s">
        <v>197</v>
      </c>
      <c r="F195" t="s">
        <v>208</v>
      </c>
      <c r="G195">
        <v>1.6</v>
      </c>
      <c r="H195" t="s">
        <v>301</v>
      </c>
    </row>
    <row r="196" spans="1:8" hidden="1">
      <c r="A196" t="s">
        <v>11</v>
      </c>
      <c r="B196">
        <v>2022</v>
      </c>
      <c r="C196" t="s">
        <v>34</v>
      </c>
      <c r="D196" t="s">
        <v>191</v>
      </c>
      <c r="F196" t="s">
        <v>208</v>
      </c>
      <c r="G196">
        <v>0.9</v>
      </c>
      <c r="H196" t="s">
        <v>302</v>
      </c>
    </row>
    <row r="197" spans="1:8" hidden="1">
      <c r="A197" t="s">
        <v>11</v>
      </c>
      <c r="B197">
        <v>2022</v>
      </c>
      <c r="C197" t="s">
        <v>34</v>
      </c>
      <c r="D197" t="s">
        <v>188</v>
      </c>
      <c r="F197" t="s">
        <v>208</v>
      </c>
      <c r="G197">
        <v>2.35</v>
      </c>
      <c r="H197" t="s">
        <v>303</v>
      </c>
    </row>
    <row r="198" spans="1:8" hidden="1">
      <c r="A198" t="s">
        <v>11</v>
      </c>
      <c r="B198">
        <v>2022</v>
      </c>
      <c r="C198" t="s">
        <v>34</v>
      </c>
      <c r="D198" t="s">
        <v>188</v>
      </c>
      <c r="F198" t="s">
        <v>208</v>
      </c>
      <c r="G198">
        <v>3.5</v>
      </c>
      <c r="H198" t="s">
        <v>303</v>
      </c>
    </row>
    <row r="199" spans="1:8" hidden="1">
      <c r="A199" t="s">
        <v>11</v>
      </c>
      <c r="B199">
        <v>2022</v>
      </c>
      <c r="C199" t="s">
        <v>34</v>
      </c>
      <c r="D199" t="s">
        <v>180</v>
      </c>
      <c r="F199" t="s">
        <v>208</v>
      </c>
      <c r="G199">
        <v>0.4</v>
      </c>
      <c r="H199" t="s">
        <v>304</v>
      </c>
    </row>
    <row r="200" spans="1:8" hidden="1">
      <c r="A200" t="s">
        <v>11</v>
      </c>
      <c r="B200">
        <v>2022</v>
      </c>
      <c r="C200" t="s">
        <v>34</v>
      </c>
      <c r="D200" t="s">
        <v>200</v>
      </c>
      <c r="F200" t="s">
        <v>208</v>
      </c>
      <c r="G200">
        <v>2.25</v>
      </c>
      <c r="H200" t="s">
        <v>305</v>
      </c>
    </row>
    <row r="201" spans="1:8" hidden="1">
      <c r="A201" t="s">
        <v>11</v>
      </c>
      <c r="B201">
        <v>2022</v>
      </c>
      <c r="C201" t="s">
        <v>38</v>
      </c>
      <c r="D201" t="s">
        <v>180</v>
      </c>
      <c r="F201" t="s">
        <v>181</v>
      </c>
      <c r="G201">
        <v>6</v>
      </c>
      <c r="H201" t="s">
        <v>273</v>
      </c>
    </row>
    <row r="202" spans="1:8" hidden="1">
      <c r="A202" t="s">
        <v>11</v>
      </c>
      <c r="B202">
        <v>2022</v>
      </c>
      <c r="C202" t="s">
        <v>38</v>
      </c>
      <c r="D202" t="s">
        <v>180</v>
      </c>
      <c r="F202" t="s">
        <v>181</v>
      </c>
      <c r="G202">
        <v>2</v>
      </c>
      <c r="H202" t="s">
        <v>233</v>
      </c>
    </row>
    <row r="203" spans="1:8" hidden="1">
      <c r="A203" t="s">
        <v>11</v>
      </c>
      <c r="B203">
        <v>2022</v>
      </c>
      <c r="C203" t="s">
        <v>38</v>
      </c>
      <c r="D203" t="s">
        <v>184</v>
      </c>
      <c r="F203" t="s">
        <v>181</v>
      </c>
      <c r="G203">
        <v>2</v>
      </c>
      <c r="H203" t="s">
        <v>185</v>
      </c>
    </row>
    <row r="204" spans="1:8" hidden="1">
      <c r="A204" t="s">
        <v>11</v>
      </c>
      <c r="B204">
        <v>2022</v>
      </c>
      <c r="C204" t="s">
        <v>38</v>
      </c>
      <c r="D204" t="s">
        <v>180</v>
      </c>
      <c r="F204" t="s">
        <v>181</v>
      </c>
      <c r="G204">
        <v>1</v>
      </c>
      <c r="H204" t="s">
        <v>235</v>
      </c>
    </row>
    <row r="205" spans="1:8" hidden="1">
      <c r="A205" t="s">
        <v>11</v>
      </c>
      <c r="B205">
        <v>2022</v>
      </c>
      <c r="C205" t="s">
        <v>38</v>
      </c>
      <c r="D205" t="s">
        <v>180</v>
      </c>
      <c r="F205" t="s">
        <v>181</v>
      </c>
      <c r="G205">
        <v>1</v>
      </c>
      <c r="H205" t="s">
        <v>236</v>
      </c>
    </row>
    <row r="206" spans="1:8" hidden="1">
      <c r="A206" t="s">
        <v>11</v>
      </c>
      <c r="B206">
        <v>2022</v>
      </c>
      <c r="C206" t="s">
        <v>38</v>
      </c>
      <c r="D206" t="s">
        <v>188</v>
      </c>
      <c r="F206" t="s">
        <v>181</v>
      </c>
      <c r="G206">
        <v>4</v>
      </c>
      <c r="H206" t="s">
        <v>237</v>
      </c>
    </row>
    <row r="207" spans="1:8" hidden="1">
      <c r="A207" t="s">
        <v>11</v>
      </c>
      <c r="B207">
        <v>2022</v>
      </c>
      <c r="C207" t="s">
        <v>38</v>
      </c>
      <c r="D207" t="s">
        <v>180</v>
      </c>
      <c r="F207" t="s">
        <v>181</v>
      </c>
      <c r="G207">
        <v>1</v>
      </c>
      <c r="H207" t="s">
        <v>283</v>
      </c>
    </row>
    <row r="208" spans="1:8" hidden="1">
      <c r="A208" t="s">
        <v>11</v>
      </c>
      <c r="B208">
        <v>2022</v>
      </c>
      <c r="C208" t="s">
        <v>38</v>
      </c>
      <c r="D208" t="s">
        <v>180</v>
      </c>
      <c r="F208" t="s">
        <v>181</v>
      </c>
      <c r="G208">
        <v>2</v>
      </c>
      <c r="H208" t="s">
        <v>284</v>
      </c>
    </row>
    <row r="209" spans="1:8" hidden="1">
      <c r="A209" t="s">
        <v>11</v>
      </c>
      <c r="B209">
        <v>2022</v>
      </c>
      <c r="C209" t="s">
        <v>38</v>
      </c>
      <c r="D209" t="s">
        <v>191</v>
      </c>
      <c r="F209" t="s">
        <v>181</v>
      </c>
      <c r="G209">
        <v>2</v>
      </c>
      <c r="H209" t="s">
        <v>240</v>
      </c>
    </row>
    <row r="210" spans="1:8" hidden="1">
      <c r="A210" t="s">
        <v>11</v>
      </c>
      <c r="B210">
        <v>2022</v>
      </c>
      <c r="C210" t="s">
        <v>38</v>
      </c>
      <c r="D210" t="s">
        <v>200</v>
      </c>
      <c r="F210" t="s">
        <v>181</v>
      </c>
      <c r="G210">
        <v>1</v>
      </c>
      <c r="H210" t="s">
        <v>201</v>
      </c>
    </row>
    <row r="211" spans="1:8" hidden="1">
      <c r="A211" t="s">
        <v>11</v>
      </c>
      <c r="B211">
        <v>2022</v>
      </c>
      <c r="C211" t="s">
        <v>38</v>
      </c>
      <c r="D211" t="s">
        <v>199</v>
      </c>
      <c r="F211" t="s">
        <v>181</v>
      </c>
      <c r="G211">
        <v>0.25</v>
      </c>
      <c r="H211" t="s">
        <v>202</v>
      </c>
    </row>
    <row r="212" spans="1:8" hidden="1">
      <c r="A212" t="s">
        <v>11</v>
      </c>
      <c r="B212">
        <v>2022</v>
      </c>
      <c r="C212" t="s">
        <v>38</v>
      </c>
      <c r="D212" t="s">
        <v>197</v>
      </c>
      <c r="F212" t="s">
        <v>181</v>
      </c>
      <c r="G212">
        <v>0.25</v>
      </c>
      <c r="H212" t="s">
        <v>202</v>
      </c>
    </row>
    <row r="213" spans="1:8" hidden="1">
      <c r="A213" t="s">
        <v>11</v>
      </c>
      <c r="B213">
        <v>2022</v>
      </c>
      <c r="C213" t="s">
        <v>38</v>
      </c>
      <c r="D213" t="s">
        <v>203</v>
      </c>
      <c r="F213" t="s">
        <v>181</v>
      </c>
      <c r="G213">
        <v>1</v>
      </c>
      <c r="H213" t="s">
        <v>241</v>
      </c>
    </row>
    <row r="214" spans="1:8" hidden="1">
      <c r="A214" t="s">
        <v>11</v>
      </c>
      <c r="B214">
        <v>2022</v>
      </c>
      <c r="C214" t="s">
        <v>38</v>
      </c>
      <c r="D214" t="s">
        <v>199</v>
      </c>
      <c r="F214" t="s">
        <v>181</v>
      </c>
      <c r="G214">
        <v>0.75</v>
      </c>
      <c r="H214" t="s">
        <v>198</v>
      </c>
    </row>
    <row r="215" spans="1:8" hidden="1">
      <c r="A215" t="s">
        <v>11</v>
      </c>
      <c r="B215">
        <v>2022</v>
      </c>
      <c r="C215" t="s">
        <v>38</v>
      </c>
      <c r="D215" t="s">
        <v>197</v>
      </c>
      <c r="F215" t="s">
        <v>181</v>
      </c>
      <c r="G215">
        <v>0.75</v>
      </c>
      <c r="H215" t="s">
        <v>198</v>
      </c>
    </row>
    <row r="216" spans="1:8" hidden="1">
      <c r="A216" t="s">
        <v>11</v>
      </c>
      <c r="B216">
        <v>2022</v>
      </c>
      <c r="C216" t="s">
        <v>38</v>
      </c>
      <c r="D216" t="s">
        <v>180</v>
      </c>
      <c r="F216" t="s">
        <v>181</v>
      </c>
      <c r="G216">
        <v>1</v>
      </c>
      <c r="H216" t="s">
        <v>242</v>
      </c>
    </row>
    <row r="217" spans="1:8" hidden="1">
      <c r="A217" t="s">
        <v>11</v>
      </c>
      <c r="B217">
        <v>2022</v>
      </c>
      <c r="C217" t="s">
        <v>38</v>
      </c>
      <c r="D217" t="s">
        <v>180</v>
      </c>
      <c r="F217" t="s">
        <v>181</v>
      </c>
      <c r="G217">
        <v>1</v>
      </c>
      <c r="H217" t="s">
        <v>243</v>
      </c>
    </row>
    <row r="218" spans="1:8" hidden="1">
      <c r="A218" t="s">
        <v>11</v>
      </c>
      <c r="B218">
        <v>2022</v>
      </c>
      <c r="C218" t="s">
        <v>38</v>
      </c>
      <c r="D218" t="s">
        <v>199</v>
      </c>
      <c r="F218" t="s">
        <v>181</v>
      </c>
      <c r="G218">
        <v>1</v>
      </c>
      <c r="H218" t="s">
        <v>274</v>
      </c>
    </row>
    <row r="219" spans="1:8" hidden="1">
      <c r="A219" t="s">
        <v>11</v>
      </c>
      <c r="B219">
        <v>2022</v>
      </c>
      <c r="C219" t="s">
        <v>38</v>
      </c>
      <c r="D219" t="s">
        <v>180</v>
      </c>
      <c r="F219" t="s">
        <v>181</v>
      </c>
      <c r="G219">
        <v>4</v>
      </c>
      <c r="H219" t="s">
        <v>285</v>
      </c>
    </row>
    <row r="220" spans="1:8" hidden="1">
      <c r="A220" t="s">
        <v>11</v>
      </c>
      <c r="B220">
        <v>2022</v>
      </c>
      <c r="C220" t="s">
        <v>38</v>
      </c>
      <c r="D220" t="s">
        <v>180</v>
      </c>
      <c r="F220" t="s">
        <v>181</v>
      </c>
      <c r="G220">
        <v>1</v>
      </c>
      <c r="H220" t="s">
        <v>291</v>
      </c>
    </row>
    <row r="221" spans="1:8" hidden="1">
      <c r="A221" t="s">
        <v>11</v>
      </c>
      <c r="B221">
        <v>2022</v>
      </c>
      <c r="C221" t="s">
        <v>38</v>
      </c>
      <c r="D221" t="s">
        <v>180</v>
      </c>
      <c r="F221" t="s">
        <v>181</v>
      </c>
      <c r="G221">
        <v>1</v>
      </c>
      <c r="H221" t="s">
        <v>292</v>
      </c>
    </row>
    <row r="222" spans="1:8" hidden="1">
      <c r="A222" t="s">
        <v>11</v>
      </c>
      <c r="B222">
        <v>2022</v>
      </c>
      <c r="C222" t="s">
        <v>38</v>
      </c>
      <c r="D222" t="s">
        <v>180</v>
      </c>
      <c r="F222" t="s">
        <v>181</v>
      </c>
      <c r="G222">
        <v>1.6</v>
      </c>
      <c r="H222" t="s">
        <v>293</v>
      </c>
    </row>
    <row r="223" spans="1:8" hidden="1">
      <c r="A223" t="s">
        <v>11</v>
      </c>
      <c r="B223">
        <v>2022</v>
      </c>
      <c r="C223" t="s">
        <v>38</v>
      </c>
      <c r="D223" t="s">
        <v>180</v>
      </c>
      <c r="F223" t="s">
        <v>181</v>
      </c>
      <c r="G223">
        <v>2</v>
      </c>
      <c r="H223" t="s">
        <v>294</v>
      </c>
    </row>
    <row r="224" spans="1:8" hidden="1">
      <c r="A224" t="s">
        <v>11</v>
      </c>
      <c r="B224">
        <v>2022</v>
      </c>
      <c r="C224" t="s">
        <v>38</v>
      </c>
      <c r="D224" t="s">
        <v>180</v>
      </c>
      <c r="F224" t="s">
        <v>181</v>
      </c>
      <c r="G224">
        <v>1</v>
      </c>
      <c r="H224" t="s">
        <v>295</v>
      </c>
    </row>
    <row r="225" spans="1:8" hidden="1">
      <c r="A225" t="s">
        <v>11</v>
      </c>
      <c r="B225">
        <v>2022</v>
      </c>
      <c r="C225" t="s">
        <v>38</v>
      </c>
      <c r="D225" t="s">
        <v>180</v>
      </c>
      <c r="F225" t="s">
        <v>181</v>
      </c>
      <c r="G225">
        <v>1</v>
      </c>
      <c r="H225" t="s">
        <v>296</v>
      </c>
    </row>
    <row r="226" spans="1:8" hidden="1">
      <c r="A226" t="s">
        <v>11</v>
      </c>
      <c r="B226">
        <v>2022</v>
      </c>
      <c r="C226" t="s">
        <v>38</v>
      </c>
      <c r="D226" t="s">
        <v>188</v>
      </c>
      <c r="F226" t="s">
        <v>181</v>
      </c>
      <c r="G226">
        <v>1</v>
      </c>
      <c r="H226" t="s">
        <v>298</v>
      </c>
    </row>
    <row r="227" spans="1:8" hidden="1">
      <c r="A227" t="s">
        <v>11</v>
      </c>
      <c r="B227">
        <v>2022</v>
      </c>
      <c r="C227" t="s">
        <v>38</v>
      </c>
      <c r="D227" t="s">
        <v>180</v>
      </c>
      <c r="F227" t="s">
        <v>181</v>
      </c>
      <c r="G227">
        <v>4</v>
      </c>
      <c r="H227" t="s">
        <v>306</v>
      </c>
    </row>
    <row r="228" spans="1:8" hidden="1">
      <c r="A228" t="s">
        <v>11</v>
      </c>
      <c r="B228">
        <v>2022</v>
      </c>
      <c r="C228" t="s">
        <v>38</v>
      </c>
      <c r="D228" t="s">
        <v>180</v>
      </c>
      <c r="F228" t="s">
        <v>181</v>
      </c>
      <c r="G228">
        <v>6</v>
      </c>
      <c r="H228" t="s">
        <v>307</v>
      </c>
    </row>
    <row r="229" spans="1:8" hidden="1">
      <c r="A229" t="s">
        <v>11</v>
      </c>
      <c r="B229">
        <v>2022</v>
      </c>
      <c r="C229" t="s">
        <v>38</v>
      </c>
      <c r="D229" t="s">
        <v>191</v>
      </c>
      <c r="F229" t="s">
        <v>181</v>
      </c>
      <c r="G229">
        <v>4</v>
      </c>
      <c r="H229" t="s">
        <v>308</v>
      </c>
    </row>
    <row r="230" spans="1:8" hidden="1">
      <c r="A230" t="s">
        <v>11</v>
      </c>
      <c r="B230">
        <v>2022</v>
      </c>
      <c r="C230" t="s">
        <v>38</v>
      </c>
      <c r="D230" t="s">
        <v>203</v>
      </c>
      <c r="F230" t="s">
        <v>181</v>
      </c>
      <c r="G230">
        <v>2</v>
      </c>
      <c r="H230" t="s">
        <v>309</v>
      </c>
    </row>
    <row r="231" spans="1:8" hidden="1">
      <c r="A231" t="s">
        <v>11</v>
      </c>
      <c r="B231">
        <v>2022</v>
      </c>
      <c r="C231" t="s">
        <v>38</v>
      </c>
      <c r="D231" t="s">
        <v>188</v>
      </c>
      <c r="F231" t="s">
        <v>208</v>
      </c>
      <c r="G231">
        <v>7.4</v>
      </c>
      <c r="H231" t="s">
        <v>310</v>
      </c>
    </row>
    <row r="232" spans="1:8" hidden="1">
      <c r="A232" t="s">
        <v>11</v>
      </c>
      <c r="B232">
        <v>2022</v>
      </c>
      <c r="C232" t="s">
        <v>38</v>
      </c>
      <c r="D232" t="s">
        <v>188</v>
      </c>
      <c r="F232" t="s">
        <v>208</v>
      </c>
      <c r="G232">
        <v>6.1</v>
      </c>
      <c r="H232" t="s">
        <v>311</v>
      </c>
    </row>
    <row r="233" spans="1:8" hidden="1">
      <c r="A233" t="s">
        <v>11</v>
      </c>
      <c r="B233">
        <v>2022</v>
      </c>
      <c r="C233" t="s">
        <v>38</v>
      </c>
      <c r="D233" t="s">
        <v>191</v>
      </c>
      <c r="F233" t="s">
        <v>208</v>
      </c>
      <c r="G233">
        <v>2</v>
      </c>
      <c r="H233" t="s">
        <v>312</v>
      </c>
    </row>
    <row r="234" spans="1:8" hidden="1">
      <c r="A234" t="s">
        <v>11</v>
      </c>
      <c r="B234">
        <v>2022</v>
      </c>
      <c r="C234" t="s">
        <v>38</v>
      </c>
      <c r="D234" t="s">
        <v>203</v>
      </c>
      <c r="F234" t="s">
        <v>208</v>
      </c>
      <c r="G234">
        <v>2.2999999999999998</v>
      </c>
      <c r="H234" t="s">
        <v>313</v>
      </c>
    </row>
    <row r="235" spans="1:8" hidden="1">
      <c r="A235" t="s">
        <v>11</v>
      </c>
      <c r="B235">
        <v>2022</v>
      </c>
      <c r="C235" t="s">
        <v>38</v>
      </c>
      <c r="D235" t="s">
        <v>197</v>
      </c>
      <c r="F235" t="s">
        <v>208</v>
      </c>
      <c r="G235">
        <v>5</v>
      </c>
      <c r="H235" t="s">
        <v>314</v>
      </c>
    </row>
    <row r="236" spans="1:8" hidden="1">
      <c r="A236" t="s">
        <v>11</v>
      </c>
      <c r="B236">
        <v>2022</v>
      </c>
      <c r="C236" t="s">
        <v>38</v>
      </c>
      <c r="D236" t="s">
        <v>191</v>
      </c>
      <c r="F236" t="s">
        <v>208</v>
      </c>
      <c r="G236">
        <v>3.75</v>
      </c>
      <c r="H236" t="s">
        <v>315</v>
      </c>
    </row>
    <row r="237" spans="1:8" hidden="1">
      <c r="A237" t="s">
        <v>11</v>
      </c>
      <c r="B237">
        <v>2022</v>
      </c>
      <c r="C237" t="s">
        <v>38</v>
      </c>
      <c r="D237" t="s">
        <v>180</v>
      </c>
      <c r="F237" t="s">
        <v>208</v>
      </c>
      <c r="G237">
        <v>1</v>
      </c>
      <c r="H237" t="s">
        <v>316</v>
      </c>
    </row>
    <row r="238" spans="1:8" hidden="1">
      <c r="A238" t="s">
        <v>11</v>
      </c>
      <c r="B238">
        <v>2022</v>
      </c>
      <c r="C238" t="s">
        <v>43</v>
      </c>
      <c r="D238" t="s">
        <v>180</v>
      </c>
      <c r="F238" t="s">
        <v>181</v>
      </c>
      <c r="G238">
        <v>6</v>
      </c>
      <c r="H238" t="s">
        <v>273</v>
      </c>
    </row>
    <row r="239" spans="1:8" hidden="1">
      <c r="A239" t="s">
        <v>11</v>
      </c>
      <c r="B239">
        <v>2022</v>
      </c>
      <c r="C239" t="s">
        <v>43</v>
      </c>
      <c r="D239" t="s">
        <v>180</v>
      </c>
      <c r="F239" t="s">
        <v>181</v>
      </c>
      <c r="G239">
        <v>2</v>
      </c>
      <c r="H239" t="s">
        <v>233</v>
      </c>
    </row>
    <row r="240" spans="1:8" hidden="1">
      <c r="A240" t="s">
        <v>11</v>
      </c>
      <c r="B240">
        <v>2022</v>
      </c>
      <c r="C240" t="s">
        <v>43</v>
      </c>
      <c r="D240" t="s">
        <v>184</v>
      </c>
      <c r="F240" t="s">
        <v>181</v>
      </c>
      <c r="G240">
        <v>2</v>
      </c>
      <c r="H240" t="s">
        <v>185</v>
      </c>
    </row>
    <row r="241" spans="1:8" hidden="1">
      <c r="A241" t="s">
        <v>11</v>
      </c>
      <c r="B241">
        <v>2022</v>
      </c>
      <c r="C241" t="s">
        <v>43</v>
      </c>
      <c r="D241" t="s">
        <v>180</v>
      </c>
      <c r="F241" t="s">
        <v>181</v>
      </c>
      <c r="G241">
        <v>1</v>
      </c>
      <c r="H241" t="s">
        <v>235</v>
      </c>
    </row>
    <row r="242" spans="1:8" hidden="1">
      <c r="A242" t="s">
        <v>11</v>
      </c>
      <c r="B242">
        <v>2022</v>
      </c>
      <c r="C242" t="s">
        <v>43</v>
      </c>
      <c r="D242" t="s">
        <v>180</v>
      </c>
      <c r="F242" t="s">
        <v>181</v>
      </c>
      <c r="G242">
        <v>1</v>
      </c>
      <c r="H242" t="s">
        <v>236</v>
      </c>
    </row>
    <row r="243" spans="1:8" hidden="1">
      <c r="A243" t="s">
        <v>11</v>
      </c>
      <c r="B243">
        <v>2022</v>
      </c>
      <c r="C243" t="s">
        <v>43</v>
      </c>
      <c r="D243" t="s">
        <v>188</v>
      </c>
      <c r="F243" t="s">
        <v>181</v>
      </c>
      <c r="G243">
        <v>4</v>
      </c>
      <c r="H243" t="s">
        <v>237</v>
      </c>
    </row>
    <row r="244" spans="1:8" hidden="1">
      <c r="A244" t="s">
        <v>11</v>
      </c>
      <c r="B244">
        <v>2022</v>
      </c>
      <c r="C244" t="s">
        <v>43</v>
      </c>
      <c r="D244" t="s">
        <v>180</v>
      </c>
      <c r="F244" t="s">
        <v>181</v>
      </c>
      <c r="G244">
        <v>1</v>
      </c>
      <c r="H244" t="s">
        <v>283</v>
      </c>
    </row>
    <row r="245" spans="1:8" hidden="1">
      <c r="A245" t="s">
        <v>11</v>
      </c>
      <c r="B245">
        <v>2022</v>
      </c>
      <c r="C245" t="s">
        <v>43</v>
      </c>
      <c r="D245" t="s">
        <v>180</v>
      </c>
      <c r="F245" t="s">
        <v>181</v>
      </c>
      <c r="G245">
        <v>2</v>
      </c>
      <c r="H245" t="s">
        <v>284</v>
      </c>
    </row>
    <row r="246" spans="1:8" hidden="1">
      <c r="A246" t="s">
        <v>11</v>
      </c>
      <c r="B246">
        <v>2022</v>
      </c>
      <c r="C246" t="s">
        <v>43</v>
      </c>
      <c r="D246" t="s">
        <v>191</v>
      </c>
      <c r="F246" t="s">
        <v>181</v>
      </c>
      <c r="G246">
        <v>2</v>
      </c>
      <c r="H246" t="s">
        <v>240</v>
      </c>
    </row>
    <row r="247" spans="1:8" hidden="1">
      <c r="A247" t="s">
        <v>11</v>
      </c>
      <c r="B247">
        <v>2022</v>
      </c>
      <c r="C247" t="s">
        <v>43</v>
      </c>
      <c r="D247" t="s">
        <v>200</v>
      </c>
      <c r="F247" t="s">
        <v>181</v>
      </c>
      <c r="G247">
        <v>1</v>
      </c>
      <c r="H247" t="s">
        <v>201</v>
      </c>
    </row>
    <row r="248" spans="1:8" hidden="1">
      <c r="A248" t="s">
        <v>11</v>
      </c>
      <c r="B248">
        <v>2022</v>
      </c>
      <c r="C248" t="s">
        <v>43</v>
      </c>
      <c r="D248" t="s">
        <v>197</v>
      </c>
      <c r="F248" t="s">
        <v>181</v>
      </c>
      <c r="G248">
        <v>0.25</v>
      </c>
      <c r="H248" t="s">
        <v>202</v>
      </c>
    </row>
    <row r="249" spans="1:8" hidden="1">
      <c r="A249" t="s">
        <v>11</v>
      </c>
      <c r="B249">
        <v>2022</v>
      </c>
      <c r="C249" t="s">
        <v>43</v>
      </c>
      <c r="D249" t="s">
        <v>317</v>
      </c>
      <c r="F249" t="s">
        <v>181</v>
      </c>
      <c r="G249">
        <v>0.25</v>
      </c>
      <c r="H249" t="s">
        <v>202</v>
      </c>
    </row>
    <row r="250" spans="1:8" hidden="1">
      <c r="A250" t="s">
        <v>11</v>
      </c>
      <c r="B250">
        <v>2022</v>
      </c>
      <c r="C250" t="s">
        <v>43</v>
      </c>
      <c r="D250" t="s">
        <v>203</v>
      </c>
      <c r="F250" t="s">
        <v>181</v>
      </c>
      <c r="G250">
        <v>1</v>
      </c>
      <c r="H250" t="s">
        <v>241</v>
      </c>
    </row>
    <row r="251" spans="1:8" hidden="1">
      <c r="A251" t="s">
        <v>11</v>
      </c>
      <c r="B251">
        <v>2022</v>
      </c>
      <c r="C251" t="s">
        <v>43</v>
      </c>
      <c r="D251" t="s">
        <v>197</v>
      </c>
      <c r="F251" t="s">
        <v>181</v>
      </c>
      <c r="G251">
        <v>0.75</v>
      </c>
      <c r="H251" t="s">
        <v>198</v>
      </c>
    </row>
    <row r="252" spans="1:8" hidden="1">
      <c r="A252" t="s">
        <v>11</v>
      </c>
      <c r="B252">
        <v>2022</v>
      </c>
      <c r="C252" t="s">
        <v>43</v>
      </c>
      <c r="D252" t="s">
        <v>199</v>
      </c>
      <c r="F252" t="s">
        <v>181</v>
      </c>
      <c r="G252">
        <v>0.75</v>
      </c>
      <c r="H252" t="s">
        <v>198</v>
      </c>
    </row>
    <row r="253" spans="1:8" hidden="1">
      <c r="A253" t="s">
        <v>11</v>
      </c>
      <c r="B253">
        <v>2022</v>
      </c>
      <c r="C253" t="s">
        <v>43</v>
      </c>
      <c r="D253" t="s">
        <v>259</v>
      </c>
      <c r="F253" t="s">
        <v>181</v>
      </c>
      <c r="G253">
        <v>1</v>
      </c>
      <c r="H253" t="s">
        <v>242</v>
      </c>
    </row>
    <row r="254" spans="1:8" hidden="1">
      <c r="A254" t="s">
        <v>11</v>
      </c>
      <c r="B254">
        <v>2022</v>
      </c>
      <c r="C254" t="s">
        <v>43</v>
      </c>
      <c r="D254" t="s">
        <v>180</v>
      </c>
      <c r="F254" t="s">
        <v>181</v>
      </c>
      <c r="G254">
        <v>1</v>
      </c>
      <c r="H254" t="s">
        <v>243</v>
      </c>
    </row>
    <row r="255" spans="1:8" hidden="1">
      <c r="A255" t="s">
        <v>11</v>
      </c>
      <c r="B255">
        <v>2022</v>
      </c>
      <c r="C255" t="s">
        <v>43</v>
      </c>
      <c r="D255" t="s">
        <v>259</v>
      </c>
      <c r="F255" t="s">
        <v>181</v>
      </c>
      <c r="G255">
        <v>1</v>
      </c>
      <c r="H255" t="s">
        <v>274</v>
      </c>
    </row>
    <row r="256" spans="1:8" hidden="1">
      <c r="A256" t="s">
        <v>11</v>
      </c>
      <c r="B256">
        <v>2022</v>
      </c>
      <c r="C256" t="s">
        <v>43</v>
      </c>
      <c r="D256" t="s">
        <v>259</v>
      </c>
      <c r="F256" t="s">
        <v>181</v>
      </c>
      <c r="G256">
        <v>4</v>
      </c>
      <c r="H256" t="s">
        <v>285</v>
      </c>
    </row>
    <row r="257" spans="1:8" hidden="1">
      <c r="A257" t="s">
        <v>11</v>
      </c>
      <c r="B257">
        <v>2022</v>
      </c>
      <c r="C257" t="s">
        <v>43</v>
      </c>
      <c r="D257" t="s">
        <v>259</v>
      </c>
      <c r="F257" t="s">
        <v>181</v>
      </c>
      <c r="G257">
        <v>1</v>
      </c>
      <c r="H257" t="s">
        <v>291</v>
      </c>
    </row>
    <row r="258" spans="1:8" hidden="1">
      <c r="A258" t="s">
        <v>11</v>
      </c>
      <c r="B258">
        <v>2022</v>
      </c>
      <c r="C258" t="s">
        <v>43</v>
      </c>
      <c r="D258" t="s">
        <v>259</v>
      </c>
      <c r="F258" t="s">
        <v>181</v>
      </c>
      <c r="G258">
        <v>1</v>
      </c>
      <c r="H258" t="s">
        <v>292</v>
      </c>
    </row>
    <row r="259" spans="1:8" hidden="1">
      <c r="A259" t="s">
        <v>11</v>
      </c>
      <c r="B259">
        <v>2022</v>
      </c>
      <c r="C259" t="s">
        <v>43</v>
      </c>
      <c r="D259" t="s">
        <v>259</v>
      </c>
      <c r="F259" t="s">
        <v>181</v>
      </c>
      <c r="G259">
        <v>1.6</v>
      </c>
      <c r="H259" t="s">
        <v>293</v>
      </c>
    </row>
    <row r="260" spans="1:8" hidden="1">
      <c r="A260" t="s">
        <v>11</v>
      </c>
      <c r="B260">
        <v>2022</v>
      </c>
      <c r="C260" t="s">
        <v>43</v>
      </c>
      <c r="D260" t="s">
        <v>259</v>
      </c>
      <c r="F260" t="s">
        <v>181</v>
      </c>
      <c r="G260">
        <v>2</v>
      </c>
      <c r="H260" t="s">
        <v>294</v>
      </c>
    </row>
    <row r="261" spans="1:8" hidden="1">
      <c r="A261" t="s">
        <v>11</v>
      </c>
      <c r="B261">
        <v>2022</v>
      </c>
      <c r="C261" t="s">
        <v>43</v>
      </c>
      <c r="D261" t="s">
        <v>259</v>
      </c>
      <c r="F261" t="s">
        <v>181</v>
      </c>
      <c r="G261">
        <v>1</v>
      </c>
      <c r="H261" t="s">
        <v>295</v>
      </c>
    </row>
    <row r="262" spans="1:8" hidden="1">
      <c r="A262" t="s">
        <v>11</v>
      </c>
      <c r="B262">
        <v>2022</v>
      </c>
      <c r="C262" t="s">
        <v>43</v>
      </c>
      <c r="D262" t="s">
        <v>180</v>
      </c>
      <c r="F262" t="s">
        <v>181</v>
      </c>
      <c r="G262">
        <v>1</v>
      </c>
      <c r="H262" t="s">
        <v>296</v>
      </c>
    </row>
    <row r="263" spans="1:8" hidden="1">
      <c r="A263" t="s">
        <v>11</v>
      </c>
      <c r="B263">
        <v>2022</v>
      </c>
      <c r="C263" t="s">
        <v>43</v>
      </c>
      <c r="D263" t="s">
        <v>188</v>
      </c>
      <c r="F263" t="s">
        <v>181</v>
      </c>
      <c r="G263">
        <v>1</v>
      </c>
      <c r="H263" t="s">
        <v>318</v>
      </c>
    </row>
    <row r="264" spans="1:8" hidden="1">
      <c r="A264" t="s">
        <v>11</v>
      </c>
      <c r="B264">
        <v>2022</v>
      </c>
      <c r="C264" t="s">
        <v>43</v>
      </c>
      <c r="D264" t="s">
        <v>180</v>
      </c>
      <c r="F264" t="s">
        <v>181</v>
      </c>
      <c r="G264">
        <v>0.5</v>
      </c>
      <c r="H264" t="s">
        <v>319</v>
      </c>
    </row>
    <row r="265" spans="1:8" hidden="1">
      <c r="A265" t="s">
        <v>11</v>
      </c>
      <c r="B265">
        <v>2022</v>
      </c>
      <c r="C265" t="s">
        <v>43</v>
      </c>
      <c r="D265" t="s">
        <v>317</v>
      </c>
      <c r="F265" t="s">
        <v>208</v>
      </c>
      <c r="G265">
        <v>1.5</v>
      </c>
      <c r="H265" t="s">
        <v>320</v>
      </c>
    </row>
    <row r="266" spans="1:8" hidden="1">
      <c r="A266" t="s">
        <v>11</v>
      </c>
      <c r="B266">
        <v>2022</v>
      </c>
      <c r="C266" t="s">
        <v>43</v>
      </c>
      <c r="D266" t="s">
        <v>193</v>
      </c>
      <c r="F266" t="s">
        <v>208</v>
      </c>
      <c r="G266">
        <v>0.5</v>
      </c>
      <c r="H266" t="s">
        <v>321</v>
      </c>
    </row>
    <row r="267" spans="1:8" hidden="1">
      <c r="A267" t="s">
        <v>11</v>
      </c>
      <c r="B267">
        <v>2022</v>
      </c>
      <c r="C267" t="s">
        <v>43</v>
      </c>
      <c r="D267" t="s">
        <v>259</v>
      </c>
      <c r="F267" t="s">
        <v>208</v>
      </c>
      <c r="G267">
        <v>6.6</v>
      </c>
      <c r="H267" t="s">
        <v>322</v>
      </c>
    </row>
    <row r="268" spans="1:8" hidden="1">
      <c r="A268" t="s">
        <v>11</v>
      </c>
      <c r="B268">
        <v>2022</v>
      </c>
      <c r="C268" t="s">
        <v>43</v>
      </c>
      <c r="D268" t="s">
        <v>259</v>
      </c>
      <c r="F268" t="s">
        <v>208</v>
      </c>
      <c r="G268">
        <v>1.2</v>
      </c>
      <c r="H268" t="s">
        <v>323</v>
      </c>
    </row>
    <row r="269" spans="1:8" hidden="1">
      <c r="A269" t="s">
        <v>11</v>
      </c>
      <c r="B269">
        <v>2022</v>
      </c>
      <c r="C269" t="s">
        <v>45</v>
      </c>
      <c r="D269" t="s">
        <v>180</v>
      </c>
      <c r="F269" t="s">
        <v>181</v>
      </c>
      <c r="G269">
        <v>4.5</v>
      </c>
      <c r="H269" t="s">
        <v>273</v>
      </c>
    </row>
    <row r="270" spans="1:8" hidden="1">
      <c r="A270" t="s">
        <v>11</v>
      </c>
      <c r="B270">
        <v>2022</v>
      </c>
      <c r="C270" t="s">
        <v>45</v>
      </c>
      <c r="D270" t="s">
        <v>180</v>
      </c>
      <c r="F270" t="s">
        <v>181</v>
      </c>
      <c r="G270">
        <v>1.5</v>
      </c>
      <c r="H270" t="s">
        <v>233</v>
      </c>
    </row>
    <row r="271" spans="1:8" hidden="1">
      <c r="A271" t="s">
        <v>11</v>
      </c>
      <c r="B271">
        <v>2022</v>
      </c>
      <c r="C271" t="s">
        <v>45</v>
      </c>
      <c r="D271" t="s">
        <v>184</v>
      </c>
      <c r="F271" t="s">
        <v>181</v>
      </c>
      <c r="G271">
        <v>1.5</v>
      </c>
      <c r="H271" t="s">
        <v>185</v>
      </c>
    </row>
    <row r="272" spans="1:8" hidden="1">
      <c r="A272" t="s">
        <v>11</v>
      </c>
      <c r="B272">
        <v>2022</v>
      </c>
      <c r="C272" t="s">
        <v>45</v>
      </c>
      <c r="D272" t="s">
        <v>180</v>
      </c>
      <c r="F272" t="s">
        <v>181</v>
      </c>
      <c r="G272">
        <v>1.75</v>
      </c>
      <c r="H272" t="s">
        <v>235</v>
      </c>
    </row>
    <row r="273" spans="1:8" hidden="1">
      <c r="A273" t="s">
        <v>11</v>
      </c>
      <c r="B273">
        <v>2022</v>
      </c>
      <c r="C273" t="s">
        <v>45</v>
      </c>
      <c r="D273" t="s">
        <v>180</v>
      </c>
      <c r="F273" t="s">
        <v>181</v>
      </c>
      <c r="G273">
        <v>1.75</v>
      </c>
      <c r="H273" t="s">
        <v>236</v>
      </c>
    </row>
    <row r="274" spans="1:8" hidden="1">
      <c r="A274" t="s">
        <v>11</v>
      </c>
      <c r="B274">
        <v>2022</v>
      </c>
      <c r="C274" t="s">
        <v>45</v>
      </c>
      <c r="D274" t="s">
        <v>188</v>
      </c>
      <c r="F274" t="s">
        <v>181</v>
      </c>
      <c r="G274">
        <v>3.5</v>
      </c>
      <c r="H274" t="s">
        <v>237</v>
      </c>
    </row>
    <row r="275" spans="1:8" hidden="1">
      <c r="A275" t="s">
        <v>11</v>
      </c>
      <c r="B275">
        <v>2022</v>
      </c>
      <c r="C275" t="s">
        <v>45</v>
      </c>
      <c r="D275" t="s">
        <v>180</v>
      </c>
      <c r="F275" t="s">
        <v>181</v>
      </c>
      <c r="G275">
        <v>0.75</v>
      </c>
      <c r="H275" t="s">
        <v>283</v>
      </c>
    </row>
    <row r="276" spans="1:8" hidden="1">
      <c r="A276" t="s">
        <v>11</v>
      </c>
      <c r="B276">
        <v>2022</v>
      </c>
      <c r="C276" t="s">
        <v>45</v>
      </c>
      <c r="D276" t="s">
        <v>180</v>
      </c>
      <c r="F276" t="s">
        <v>181</v>
      </c>
      <c r="G276">
        <v>1.5</v>
      </c>
      <c r="H276" t="s">
        <v>284</v>
      </c>
    </row>
    <row r="277" spans="1:8" hidden="1">
      <c r="A277" t="s">
        <v>11</v>
      </c>
      <c r="B277">
        <v>2022</v>
      </c>
      <c r="C277" t="s">
        <v>45</v>
      </c>
      <c r="D277" t="s">
        <v>191</v>
      </c>
      <c r="F277" t="s">
        <v>181</v>
      </c>
      <c r="G277">
        <v>1.5</v>
      </c>
      <c r="H277" t="s">
        <v>240</v>
      </c>
    </row>
    <row r="278" spans="1:8" hidden="1">
      <c r="A278" t="s">
        <v>11</v>
      </c>
      <c r="B278">
        <v>2022</v>
      </c>
      <c r="C278" t="s">
        <v>45</v>
      </c>
      <c r="D278" t="s">
        <v>200</v>
      </c>
      <c r="F278" t="s">
        <v>181</v>
      </c>
      <c r="G278">
        <v>1</v>
      </c>
      <c r="H278" t="s">
        <v>201</v>
      </c>
    </row>
    <row r="279" spans="1:8" hidden="1">
      <c r="A279" t="s">
        <v>11</v>
      </c>
      <c r="B279">
        <v>2022</v>
      </c>
      <c r="C279" t="s">
        <v>45</v>
      </c>
      <c r="D279" t="s">
        <v>197</v>
      </c>
      <c r="F279" t="s">
        <v>181</v>
      </c>
      <c r="G279">
        <v>0.25</v>
      </c>
      <c r="H279" t="s">
        <v>202</v>
      </c>
    </row>
    <row r="280" spans="1:8" hidden="1">
      <c r="A280" t="s">
        <v>11</v>
      </c>
      <c r="B280">
        <v>2022</v>
      </c>
      <c r="C280" t="s">
        <v>45</v>
      </c>
      <c r="D280" t="s">
        <v>199</v>
      </c>
      <c r="F280" t="s">
        <v>181</v>
      </c>
      <c r="G280">
        <v>0.25</v>
      </c>
      <c r="H280" t="s">
        <v>202</v>
      </c>
    </row>
    <row r="281" spans="1:8" hidden="1">
      <c r="A281" t="s">
        <v>11</v>
      </c>
      <c r="B281">
        <v>2022</v>
      </c>
      <c r="C281" t="s">
        <v>45</v>
      </c>
      <c r="D281" t="s">
        <v>203</v>
      </c>
      <c r="F281" t="s">
        <v>181</v>
      </c>
      <c r="G281">
        <v>1</v>
      </c>
      <c r="H281" t="s">
        <v>241</v>
      </c>
    </row>
    <row r="282" spans="1:8" hidden="1">
      <c r="A282" t="s">
        <v>11</v>
      </c>
      <c r="B282">
        <v>2022</v>
      </c>
      <c r="C282" t="s">
        <v>45</v>
      </c>
      <c r="D282" t="s">
        <v>199</v>
      </c>
      <c r="F282" t="s">
        <v>181</v>
      </c>
      <c r="G282">
        <v>0.75</v>
      </c>
      <c r="H282" t="s">
        <v>198</v>
      </c>
    </row>
    <row r="283" spans="1:8" hidden="1">
      <c r="A283" t="s">
        <v>11</v>
      </c>
      <c r="B283">
        <v>2022</v>
      </c>
      <c r="C283" t="s">
        <v>45</v>
      </c>
      <c r="D283" t="s">
        <v>197</v>
      </c>
      <c r="F283" t="s">
        <v>181</v>
      </c>
      <c r="G283">
        <v>0.75</v>
      </c>
      <c r="H283" t="s">
        <v>198</v>
      </c>
    </row>
    <row r="284" spans="1:8" hidden="1">
      <c r="A284" t="s">
        <v>11</v>
      </c>
      <c r="B284">
        <v>2022</v>
      </c>
      <c r="C284" t="s">
        <v>45</v>
      </c>
      <c r="D284" t="s">
        <v>180</v>
      </c>
      <c r="F284" t="s">
        <v>181</v>
      </c>
      <c r="G284">
        <v>1</v>
      </c>
      <c r="H284" t="s">
        <v>242</v>
      </c>
    </row>
    <row r="285" spans="1:8" hidden="1">
      <c r="A285" t="s">
        <v>11</v>
      </c>
      <c r="B285">
        <v>2022</v>
      </c>
      <c r="C285" t="s">
        <v>45</v>
      </c>
      <c r="D285" t="s">
        <v>180</v>
      </c>
      <c r="F285" t="s">
        <v>181</v>
      </c>
      <c r="G285">
        <v>1</v>
      </c>
      <c r="H285" t="s">
        <v>243</v>
      </c>
    </row>
    <row r="286" spans="1:8" hidden="1">
      <c r="A286" t="s">
        <v>11</v>
      </c>
      <c r="B286">
        <v>2022</v>
      </c>
      <c r="C286" t="s">
        <v>45</v>
      </c>
      <c r="D286" t="s">
        <v>180</v>
      </c>
      <c r="F286" t="s">
        <v>181</v>
      </c>
      <c r="G286">
        <v>1</v>
      </c>
      <c r="H286" t="s">
        <v>274</v>
      </c>
    </row>
    <row r="287" spans="1:8" hidden="1">
      <c r="A287" t="s">
        <v>11</v>
      </c>
      <c r="B287">
        <v>2022</v>
      </c>
      <c r="C287" t="s">
        <v>45</v>
      </c>
      <c r="D287" t="s">
        <v>180</v>
      </c>
      <c r="F287" t="s">
        <v>181</v>
      </c>
      <c r="G287">
        <v>4</v>
      </c>
      <c r="H287" t="s">
        <v>285</v>
      </c>
    </row>
    <row r="288" spans="1:8" hidden="1">
      <c r="A288" t="s">
        <v>11</v>
      </c>
      <c r="B288">
        <v>2022</v>
      </c>
      <c r="C288" t="s">
        <v>45</v>
      </c>
      <c r="D288" t="s">
        <v>180</v>
      </c>
      <c r="F288" t="s">
        <v>181</v>
      </c>
      <c r="G288">
        <v>1</v>
      </c>
      <c r="H288" t="s">
        <v>291</v>
      </c>
    </row>
    <row r="289" spans="1:8" hidden="1">
      <c r="A289" t="s">
        <v>11</v>
      </c>
      <c r="B289">
        <v>2022</v>
      </c>
      <c r="C289" t="s">
        <v>45</v>
      </c>
      <c r="D289" t="s">
        <v>324</v>
      </c>
      <c r="F289" t="s">
        <v>181</v>
      </c>
      <c r="G289">
        <v>1</v>
      </c>
      <c r="H289" t="s">
        <v>292</v>
      </c>
    </row>
    <row r="290" spans="1:8" hidden="1">
      <c r="A290" t="s">
        <v>11</v>
      </c>
      <c r="B290">
        <v>2022</v>
      </c>
      <c r="C290" t="s">
        <v>45</v>
      </c>
      <c r="D290" t="s">
        <v>180</v>
      </c>
      <c r="F290" t="s">
        <v>181</v>
      </c>
      <c r="G290">
        <v>1.6</v>
      </c>
      <c r="H290" t="s">
        <v>293</v>
      </c>
    </row>
    <row r="291" spans="1:8" hidden="1">
      <c r="A291" t="s">
        <v>11</v>
      </c>
      <c r="B291">
        <v>2022</v>
      </c>
      <c r="C291" t="s">
        <v>45</v>
      </c>
      <c r="D291" t="s">
        <v>180</v>
      </c>
      <c r="F291" t="s">
        <v>181</v>
      </c>
      <c r="G291">
        <v>2</v>
      </c>
      <c r="H291" t="s">
        <v>294</v>
      </c>
    </row>
    <row r="292" spans="1:8" hidden="1">
      <c r="A292" t="s">
        <v>11</v>
      </c>
      <c r="B292">
        <v>2022</v>
      </c>
      <c r="C292" t="s">
        <v>45</v>
      </c>
      <c r="D292" t="s">
        <v>180</v>
      </c>
      <c r="F292" t="s">
        <v>181</v>
      </c>
      <c r="G292">
        <v>1</v>
      </c>
      <c r="H292" t="s">
        <v>295</v>
      </c>
    </row>
    <row r="293" spans="1:8" hidden="1">
      <c r="A293" t="s">
        <v>11</v>
      </c>
      <c r="B293">
        <v>2022</v>
      </c>
      <c r="C293" t="s">
        <v>45</v>
      </c>
      <c r="D293" t="s">
        <v>180</v>
      </c>
      <c r="F293" t="s">
        <v>181</v>
      </c>
      <c r="G293">
        <v>1</v>
      </c>
      <c r="H293" t="s">
        <v>296</v>
      </c>
    </row>
    <row r="294" spans="1:8" hidden="1">
      <c r="A294" t="s">
        <v>11</v>
      </c>
      <c r="B294">
        <v>2022</v>
      </c>
      <c r="C294" t="s">
        <v>45</v>
      </c>
      <c r="D294" t="s">
        <v>180</v>
      </c>
      <c r="F294" t="s">
        <v>181</v>
      </c>
      <c r="G294">
        <v>1</v>
      </c>
      <c r="H294" t="s">
        <v>318</v>
      </c>
    </row>
    <row r="295" spans="1:8" hidden="1">
      <c r="A295" t="s">
        <v>11</v>
      </c>
      <c r="B295">
        <v>2022</v>
      </c>
      <c r="C295" t="s">
        <v>45</v>
      </c>
      <c r="D295" t="s">
        <v>180</v>
      </c>
      <c r="F295" t="s">
        <v>181</v>
      </c>
      <c r="G295">
        <v>66.5</v>
      </c>
      <c r="H295" t="s">
        <v>325</v>
      </c>
    </row>
    <row r="296" spans="1:8" hidden="1">
      <c r="A296" t="s">
        <v>11</v>
      </c>
      <c r="B296">
        <v>2022</v>
      </c>
      <c r="C296" t="s">
        <v>45</v>
      </c>
      <c r="D296" t="s">
        <v>188</v>
      </c>
      <c r="F296" t="s">
        <v>208</v>
      </c>
      <c r="G296">
        <v>1</v>
      </c>
      <c r="H296" t="s">
        <v>326</v>
      </c>
    </row>
    <row r="297" spans="1:8" hidden="1">
      <c r="A297" t="s">
        <v>11</v>
      </c>
      <c r="B297">
        <v>2022</v>
      </c>
      <c r="C297" t="s">
        <v>45</v>
      </c>
      <c r="D297" t="s">
        <v>188</v>
      </c>
      <c r="F297" t="s">
        <v>208</v>
      </c>
      <c r="G297">
        <v>0.95</v>
      </c>
      <c r="H297" t="s">
        <v>327</v>
      </c>
    </row>
    <row r="298" spans="1:8" hidden="1">
      <c r="A298" t="s">
        <v>11</v>
      </c>
      <c r="B298">
        <v>2022</v>
      </c>
      <c r="C298" t="s">
        <v>45</v>
      </c>
      <c r="D298" t="s">
        <v>203</v>
      </c>
      <c r="F298" t="s">
        <v>208</v>
      </c>
      <c r="G298">
        <v>0.6</v>
      </c>
      <c r="H298" t="s">
        <v>328</v>
      </c>
    </row>
    <row r="299" spans="1:8" hidden="1">
      <c r="A299" t="s">
        <v>11</v>
      </c>
      <c r="B299">
        <v>2022</v>
      </c>
      <c r="C299" t="s">
        <v>47</v>
      </c>
      <c r="D299" t="s">
        <v>180</v>
      </c>
      <c r="F299" t="s">
        <v>181</v>
      </c>
      <c r="G299">
        <v>126</v>
      </c>
      <c r="H299" t="s">
        <v>329</v>
      </c>
    </row>
    <row r="300" spans="1:8" hidden="1">
      <c r="A300" t="s">
        <v>11</v>
      </c>
      <c r="B300">
        <v>2022</v>
      </c>
      <c r="C300" t="s">
        <v>47</v>
      </c>
      <c r="D300" t="s">
        <v>180</v>
      </c>
      <c r="F300" t="s">
        <v>181</v>
      </c>
      <c r="G300">
        <v>2.5</v>
      </c>
      <c r="H300" t="s">
        <v>330</v>
      </c>
    </row>
    <row r="301" spans="1:8" hidden="1">
      <c r="A301" t="s">
        <v>11</v>
      </c>
      <c r="B301">
        <v>2022</v>
      </c>
      <c r="C301" t="s">
        <v>47</v>
      </c>
      <c r="D301" t="s">
        <v>184</v>
      </c>
      <c r="F301" t="s">
        <v>181</v>
      </c>
      <c r="G301">
        <v>0.6</v>
      </c>
      <c r="H301" t="s">
        <v>331</v>
      </c>
    </row>
    <row r="302" spans="1:8" hidden="1">
      <c r="A302" t="s">
        <v>11</v>
      </c>
      <c r="B302">
        <v>2022</v>
      </c>
      <c r="C302" t="s">
        <v>47</v>
      </c>
      <c r="D302" t="s">
        <v>180</v>
      </c>
      <c r="F302" t="s">
        <v>181</v>
      </c>
      <c r="G302">
        <v>0.5</v>
      </c>
      <c r="H302" t="s">
        <v>332</v>
      </c>
    </row>
    <row r="303" spans="1:8" hidden="1">
      <c r="A303" t="s">
        <v>11</v>
      </c>
      <c r="B303">
        <v>2022</v>
      </c>
      <c r="C303" t="s">
        <v>47</v>
      </c>
      <c r="D303" t="s">
        <v>259</v>
      </c>
      <c r="F303" t="s">
        <v>181</v>
      </c>
      <c r="G303">
        <v>1</v>
      </c>
      <c r="H303" t="s">
        <v>333</v>
      </c>
    </row>
    <row r="304" spans="1:8" hidden="1">
      <c r="A304" t="s">
        <v>11</v>
      </c>
      <c r="B304">
        <v>2022</v>
      </c>
      <c r="C304" t="s">
        <v>47</v>
      </c>
      <c r="D304" t="s">
        <v>180</v>
      </c>
      <c r="F304" t="s">
        <v>181</v>
      </c>
      <c r="G304">
        <v>1</v>
      </c>
      <c r="H304" t="s">
        <v>233</v>
      </c>
    </row>
    <row r="305" spans="1:8" hidden="1">
      <c r="A305" t="s">
        <v>11</v>
      </c>
      <c r="B305">
        <v>2022</v>
      </c>
      <c r="C305" t="s">
        <v>47</v>
      </c>
      <c r="D305" t="s">
        <v>188</v>
      </c>
      <c r="F305" t="s">
        <v>181</v>
      </c>
      <c r="G305">
        <v>3</v>
      </c>
      <c r="H305" t="s">
        <v>334</v>
      </c>
    </row>
    <row r="306" spans="1:8" hidden="1">
      <c r="A306" t="s">
        <v>11</v>
      </c>
      <c r="B306">
        <v>2022</v>
      </c>
      <c r="C306" t="s">
        <v>47</v>
      </c>
      <c r="D306" t="s">
        <v>191</v>
      </c>
      <c r="F306" t="s">
        <v>181</v>
      </c>
      <c r="G306">
        <v>1.5</v>
      </c>
      <c r="H306" t="s">
        <v>334</v>
      </c>
    </row>
    <row r="307" spans="1:8" hidden="1">
      <c r="A307" t="s">
        <v>11</v>
      </c>
      <c r="B307">
        <v>2022</v>
      </c>
      <c r="C307" t="s">
        <v>47</v>
      </c>
      <c r="D307" t="s">
        <v>180</v>
      </c>
      <c r="F307" t="s">
        <v>181</v>
      </c>
      <c r="G307">
        <v>1.5</v>
      </c>
      <c r="H307" t="s">
        <v>284</v>
      </c>
    </row>
    <row r="308" spans="1:8" hidden="1">
      <c r="A308" t="s">
        <v>11</v>
      </c>
      <c r="B308">
        <v>2022</v>
      </c>
      <c r="C308" t="s">
        <v>47</v>
      </c>
      <c r="D308" t="s">
        <v>200</v>
      </c>
      <c r="F308" t="s">
        <v>181</v>
      </c>
      <c r="G308">
        <v>1</v>
      </c>
      <c r="H308" t="s">
        <v>201</v>
      </c>
    </row>
    <row r="309" spans="1:8" hidden="1">
      <c r="A309" t="s">
        <v>11</v>
      </c>
      <c r="B309">
        <v>2022</v>
      </c>
      <c r="C309" t="s">
        <v>47</v>
      </c>
      <c r="D309" t="s">
        <v>199</v>
      </c>
      <c r="F309" t="s">
        <v>181</v>
      </c>
      <c r="G309">
        <v>0.25</v>
      </c>
      <c r="H309" t="s">
        <v>202</v>
      </c>
    </row>
    <row r="310" spans="1:8" hidden="1">
      <c r="A310" t="s">
        <v>11</v>
      </c>
      <c r="B310">
        <v>2022</v>
      </c>
      <c r="C310" t="s">
        <v>47</v>
      </c>
      <c r="D310" t="s">
        <v>197</v>
      </c>
      <c r="F310" t="s">
        <v>181</v>
      </c>
      <c r="G310">
        <v>0.25</v>
      </c>
      <c r="H310" t="s">
        <v>202</v>
      </c>
    </row>
    <row r="311" spans="1:8" hidden="1">
      <c r="A311" t="s">
        <v>11</v>
      </c>
      <c r="B311">
        <v>2022</v>
      </c>
      <c r="C311" t="s">
        <v>47</v>
      </c>
      <c r="D311" t="s">
        <v>259</v>
      </c>
      <c r="F311" t="s">
        <v>181</v>
      </c>
      <c r="G311">
        <v>1</v>
      </c>
      <c r="H311" t="s">
        <v>242</v>
      </c>
    </row>
    <row r="312" spans="1:8" hidden="1">
      <c r="A312" t="s">
        <v>11</v>
      </c>
      <c r="B312">
        <v>2022</v>
      </c>
      <c r="C312" t="s">
        <v>47</v>
      </c>
      <c r="D312" t="s">
        <v>180</v>
      </c>
      <c r="F312" t="s">
        <v>181</v>
      </c>
      <c r="G312">
        <v>1</v>
      </c>
      <c r="H312" t="s">
        <v>243</v>
      </c>
    </row>
    <row r="313" spans="1:8" hidden="1">
      <c r="A313" t="s">
        <v>11</v>
      </c>
      <c r="B313">
        <v>2022</v>
      </c>
      <c r="C313" t="s">
        <v>47</v>
      </c>
      <c r="D313" t="s">
        <v>180</v>
      </c>
      <c r="F313" t="s">
        <v>181</v>
      </c>
      <c r="G313">
        <v>0.5</v>
      </c>
      <c r="H313" t="s">
        <v>274</v>
      </c>
    </row>
    <row r="314" spans="1:8" hidden="1">
      <c r="A314" t="s">
        <v>11</v>
      </c>
      <c r="B314">
        <v>2022</v>
      </c>
      <c r="C314" t="s">
        <v>47</v>
      </c>
      <c r="D314" t="s">
        <v>259</v>
      </c>
      <c r="F314" t="s">
        <v>181</v>
      </c>
      <c r="G314">
        <v>1</v>
      </c>
      <c r="H314" t="s">
        <v>291</v>
      </c>
    </row>
    <row r="315" spans="1:8" hidden="1">
      <c r="A315" t="s">
        <v>11</v>
      </c>
      <c r="B315">
        <v>2022</v>
      </c>
      <c r="C315" t="s">
        <v>47</v>
      </c>
      <c r="D315" t="s">
        <v>259</v>
      </c>
      <c r="F315" t="s">
        <v>181</v>
      </c>
      <c r="G315">
        <v>1</v>
      </c>
      <c r="H315" t="s">
        <v>292</v>
      </c>
    </row>
    <row r="316" spans="1:8" hidden="1">
      <c r="A316" t="s">
        <v>11</v>
      </c>
      <c r="B316">
        <v>2022</v>
      </c>
      <c r="C316" t="s">
        <v>47</v>
      </c>
      <c r="D316" t="s">
        <v>259</v>
      </c>
      <c r="F316" t="s">
        <v>181</v>
      </c>
      <c r="G316">
        <v>1.6</v>
      </c>
      <c r="H316" t="s">
        <v>293</v>
      </c>
    </row>
    <row r="317" spans="1:8" hidden="1">
      <c r="A317" t="s">
        <v>11</v>
      </c>
      <c r="B317">
        <v>2022</v>
      </c>
      <c r="C317" t="s">
        <v>47</v>
      </c>
      <c r="D317" t="s">
        <v>259</v>
      </c>
      <c r="F317" t="s">
        <v>181</v>
      </c>
      <c r="G317">
        <v>2</v>
      </c>
      <c r="H317" t="s">
        <v>294</v>
      </c>
    </row>
    <row r="318" spans="1:8" hidden="1">
      <c r="A318" t="s">
        <v>11</v>
      </c>
      <c r="B318">
        <v>2022</v>
      </c>
      <c r="C318" t="s">
        <v>47</v>
      </c>
      <c r="D318" t="s">
        <v>259</v>
      </c>
      <c r="F318" t="s">
        <v>181</v>
      </c>
      <c r="G318">
        <v>1</v>
      </c>
      <c r="H318" t="s">
        <v>295</v>
      </c>
    </row>
    <row r="319" spans="1:8" hidden="1">
      <c r="A319" t="s">
        <v>11</v>
      </c>
      <c r="B319">
        <v>2022</v>
      </c>
      <c r="C319" t="s">
        <v>47</v>
      </c>
      <c r="D319" t="s">
        <v>259</v>
      </c>
      <c r="F319" t="s">
        <v>181</v>
      </c>
      <c r="G319">
        <v>1</v>
      </c>
      <c r="H319" t="s">
        <v>296</v>
      </c>
    </row>
    <row r="320" spans="1:8" hidden="1">
      <c r="A320" t="s">
        <v>11</v>
      </c>
      <c r="B320">
        <v>2022</v>
      </c>
      <c r="C320" t="s">
        <v>47</v>
      </c>
      <c r="D320" t="s">
        <v>180</v>
      </c>
      <c r="F320" t="s">
        <v>208</v>
      </c>
      <c r="G320">
        <v>2</v>
      </c>
      <c r="H320" t="s">
        <v>335</v>
      </c>
    </row>
    <row r="321" spans="1:8" hidden="1">
      <c r="A321" t="s">
        <v>11</v>
      </c>
      <c r="B321">
        <v>2022</v>
      </c>
      <c r="C321" t="s">
        <v>47</v>
      </c>
      <c r="D321" t="s">
        <v>203</v>
      </c>
      <c r="F321" t="s">
        <v>208</v>
      </c>
      <c r="G321">
        <v>3</v>
      </c>
      <c r="H321" t="s">
        <v>336</v>
      </c>
    </row>
    <row r="322" spans="1:8" hidden="1">
      <c r="A322" t="s">
        <v>11</v>
      </c>
      <c r="B322">
        <v>2022</v>
      </c>
      <c r="C322" t="s">
        <v>47</v>
      </c>
      <c r="D322" t="s">
        <v>203</v>
      </c>
      <c r="F322" t="s">
        <v>208</v>
      </c>
      <c r="G322">
        <v>0.6</v>
      </c>
      <c r="H322" t="s">
        <v>337</v>
      </c>
    </row>
    <row r="323" spans="1:8" hidden="1">
      <c r="A323" t="s">
        <v>11</v>
      </c>
      <c r="B323">
        <v>2022</v>
      </c>
      <c r="C323" t="s">
        <v>47</v>
      </c>
      <c r="D323" t="s">
        <v>188</v>
      </c>
      <c r="F323" t="s">
        <v>208</v>
      </c>
      <c r="G323">
        <v>0.9</v>
      </c>
      <c r="H323" t="s">
        <v>338</v>
      </c>
    </row>
    <row r="324" spans="1:8" hidden="1">
      <c r="A324" t="s">
        <v>11</v>
      </c>
      <c r="B324">
        <v>2022</v>
      </c>
      <c r="C324" t="s">
        <v>47</v>
      </c>
      <c r="D324" t="s">
        <v>188</v>
      </c>
      <c r="F324" t="s">
        <v>208</v>
      </c>
      <c r="G324">
        <v>2.85</v>
      </c>
      <c r="H324" t="s">
        <v>338</v>
      </c>
    </row>
    <row r="325" spans="1:8" hidden="1">
      <c r="A325" t="s">
        <v>11</v>
      </c>
      <c r="B325">
        <v>2022</v>
      </c>
      <c r="C325" t="s">
        <v>47</v>
      </c>
      <c r="D325" t="s">
        <v>188</v>
      </c>
      <c r="F325" t="s">
        <v>208</v>
      </c>
      <c r="G325">
        <v>3.35</v>
      </c>
      <c r="H325" t="s">
        <v>338</v>
      </c>
    </row>
    <row r="326" spans="1:8" hidden="1">
      <c r="A326" t="s">
        <v>11</v>
      </c>
      <c r="B326">
        <v>2021</v>
      </c>
      <c r="C326" t="s">
        <v>12</v>
      </c>
      <c r="D326" t="s">
        <v>180</v>
      </c>
      <c r="F326" t="s">
        <v>181</v>
      </c>
      <c r="G326">
        <v>4.5</v>
      </c>
      <c r="H326" t="s">
        <v>273</v>
      </c>
    </row>
    <row r="327" spans="1:8" hidden="1">
      <c r="A327" t="s">
        <v>11</v>
      </c>
      <c r="B327">
        <v>2021</v>
      </c>
      <c r="C327" t="s">
        <v>12</v>
      </c>
      <c r="D327" t="s">
        <v>180</v>
      </c>
      <c r="F327" t="s">
        <v>181</v>
      </c>
      <c r="G327">
        <v>1.5</v>
      </c>
      <c r="H327" t="s">
        <v>339</v>
      </c>
    </row>
    <row r="328" spans="1:8" hidden="1">
      <c r="A328" t="s">
        <v>11</v>
      </c>
      <c r="B328">
        <v>2021</v>
      </c>
      <c r="C328" t="s">
        <v>12</v>
      </c>
      <c r="D328" t="s">
        <v>180</v>
      </c>
      <c r="F328" t="s">
        <v>181</v>
      </c>
      <c r="G328">
        <v>0.7</v>
      </c>
      <c r="H328" t="s">
        <v>216</v>
      </c>
    </row>
    <row r="329" spans="1:8" hidden="1">
      <c r="A329" t="s">
        <v>11</v>
      </c>
      <c r="B329">
        <v>2021</v>
      </c>
      <c r="C329" t="s">
        <v>12</v>
      </c>
      <c r="D329" t="s">
        <v>199</v>
      </c>
      <c r="F329" t="s">
        <v>181</v>
      </c>
      <c r="G329">
        <v>3.5</v>
      </c>
      <c r="H329" t="s">
        <v>340</v>
      </c>
    </row>
    <row r="330" spans="1:8" hidden="1">
      <c r="A330" t="s">
        <v>11</v>
      </c>
      <c r="B330">
        <v>2021</v>
      </c>
      <c r="C330" t="s">
        <v>12</v>
      </c>
      <c r="D330" t="s">
        <v>188</v>
      </c>
      <c r="F330" t="s">
        <v>181</v>
      </c>
      <c r="G330">
        <v>3</v>
      </c>
      <c r="H330" t="s">
        <v>341</v>
      </c>
    </row>
    <row r="331" spans="1:8" hidden="1">
      <c r="A331" t="s">
        <v>11</v>
      </c>
      <c r="B331">
        <v>2021</v>
      </c>
      <c r="C331" t="s">
        <v>12</v>
      </c>
      <c r="D331" t="s">
        <v>180</v>
      </c>
      <c r="F331" t="s">
        <v>181</v>
      </c>
      <c r="G331">
        <v>0.25</v>
      </c>
      <c r="H331" t="s">
        <v>342</v>
      </c>
    </row>
    <row r="332" spans="1:8" hidden="1">
      <c r="A332" t="s">
        <v>11</v>
      </c>
      <c r="B332">
        <v>2021</v>
      </c>
      <c r="C332" t="s">
        <v>12</v>
      </c>
      <c r="D332" t="s">
        <v>197</v>
      </c>
      <c r="F332" t="s">
        <v>181</v>
      </c>
      <c r="G332">
        <v>1</v>
      </c>
      <c r="H332" t="s">
        <v>343</v>
      </c>
    </row>
    <row r="333" spans="1:8" hidden="1">
      <c r="A333" t="s">
        <v>11</v>
      </c>
      <c r="B333">
        <v>2021</v>
      </c>
      <c r="C333" t="s">
        <v>12</v>
      </c>
      <c r="D333" t="s">
        <v>199</v>
      </c>
      <c r="F333" t="s">
        <v>181</v>
      </c>
      <c r="G333">
        <v>1</v>
      </c>
      <c r="H333" t="s">
        <v>343</v>
      </c>
    </row>
    <row r="334" spans="1:8" hidden="1">
      <c r="A334" t="s">
        <v>11</v>
      </c>
      <c r="B334">
        <v>2021</v>
      </c>
      <c r="C334" t="s">
        <v>12</v>
      </c>
      <c r="D334" t="s">
        <v>180</v>
      </c>
      <c r="F334" t="s">
        <v>181</v>
      </c>
      <c r="G334">
        <v>0</v>
      </c>
    </row>
    <row r="335" spans="1:8" hidden="1">
      <c r="A335" t="s">
        <v>11</v>
      </c>
      <c r="B335">
        <v>2021</v>
      </c>
      <c r="C335" t="s">
        <v>12</v>
      </c>
      <c r="D335" t="s">
        <v>197</v>
      </c>
      <c r="F335" t="s">
        <v>181</v>
      </c>
      <c r="G335">
        <v>3</v>
      </c>
      <c r="H335" t="s">
        <v>344</v>
      </c>
    </row>
    <row r="336" spans="1:8" hidden="1">
      <c r="A336" t="s">
        <v>11</v>
      </c>
      <c r="B336">
        <v>2021</v>
      </c>
      <c r="C336" t="s">
        <v>12</v>
      </c>
      <c r="D336" t="s">
        <v>180</v>
      </c>
      <c r="F336" t="s">
        <v>181</v>
      </c>
      <c r="G336">
        <v>0.7</v>
      </c>
      <c r="H336" t="s">
        <v>345</v>
      </c>
    </row>
    <row r="337" spans="1:8" hidden="1">
      <c r="A337" t="s">
        <v>11</v>
      </c>
      <c r="B337">
        <v>2021</v>
      </c>
      <c r="C337" t="s">
        <v>12</v>
      </c>
      <c r="D337" t="s">
        <v>203</v>
      </c>
      <c r="F337" t="s">
        <v>181</v>
      </c>
      <c r="G337">
        <v>6.5</v>
      </c>
      <c r="H337" t="s">
        <v>346</v>
      </c>
    </row>
    <row r="338" spans="1:8" hidden="1">
      <c r="A338" t="s">
        <v>11</v>
      </c>
      <c r="B338">
        <v>2021</v>
      </c>
      <c r="C338" t="s">
        <v>12</v>
      </c>
      <c r="D338" t="s">
        <v>184</v>
      </c>
      <c r="F338" t="s">
        <v>181</v>
      </c>
      <c r="G338">
        <v>1.5</v>
      </c>
      <c r="H338" t="s">
        <v>347</v>
      </c>
    </row>
    <row r="339" spans="1:8" hidden="1">
      <c r="A339" t="s">
        <v>11</v>
      </c>
      <c r="B339">
        <v>2021</v>
      </c>
      <c r="C339" t="s">
        <v>12</v>
      </c>
      <c r="D339" t="s">
        <v>200</v>
      </c>
      <c r="F339" t="s">
        <v>181</v>
      </c>
      <c r="G339">
        <v>1.5</v>
      </c>
      <c r="H339" t="s">
        <v>348</v>
      </c>
    </row>
    <row r="340" spans="1:8" hidden="1">
      <c r="A340" t="s">
        <v>11</v>
      </c>
      <c r="B340">
        <v>2021</v>
      </c>
      <c r="C340" t="s">
        <v>12</v>
      </c>
      <c r="D340" t="s">
        <v>191</v>
      </c>
      <c r="F340" t="s">
        <v>208</v>
      </c>
      <c r="G340">
        <v>3.3</v>
      </c>
      <c r="H340" t="s">
        <v>349</v>
      </c>
    </row>
    <row r="341" spans="1:8" hidden="1">
      <c r="A341" t="s">
        <v>11</v>
      </c>
      <c r="B341">
        <v>2021</v>
      </c>
      <c r="C341" t="s">
        <v>12</v>
      </c>
      <c r="D341" t="s">
        <v>199</v>
      </c>
      <c r="F341" t="s">
        <v>208</v>
      </c>
      <c r="G341">
        <v>3.9</v>
      </c>
      <c r="H341" t="s">
        <v>350</v>
      </c>
    </row>
    <row r="342" spans="1:8" hidden="1">
      <c r="A342" t="s">
        <v>11</v>
      </c>
      <c r="B342">
        <v>2021</v>
      </c>
      <c r="C342" t="s">
        <v>12</v>
      </c>
      <c r="D342" t="s">
        <v>188</v>
      </c>
      <c r="F342" t="s">
        <v>208</v>
      </c>
      <c r="G342">
        <v>1.25</v>
      </c>
      <c r="H342" t="s">
        <v>351</v>
      </c>
    </row>
    <row r="343" spans="1:8" hidden="1">
      <c r="A343" t="s">
        <v>11</v>
      </c>
      <c r="B343">
        <v>2021</v>
      </c>
      <c r="C343" t="s">
        <v>21</v>
      </c>
      <c r="D343" t="s">
        <v>259</v>
      </c>
      <c r="F343" t="s">
        <v>181</v>
      </c>
      <c r="G343">
        <v>1.5</v>
      </c>
      <c r="H343" t="s">
        <v>352</v>
      </c>
    </row>
    <row r="344" spans="1:8" hidden="1">
      <c r="A344" t="s">
        <v>11</v>
      </c>
      <c r="B344">
        <v>2021</v>
      </c>
      <c r="C344" t="s">
        <v>21</v>
      </c>
      <c r="D344" t="s">
        <v>180</v>
      </c>
      <c r="F344" t="s">
        <v>181</v>
      </c>
      <c r="G344">
        <v>1</v>
      </c>
      <c r="H344" t="s">
        <v>216</v>
      </c>
    </row>
    <row r="345" spans="1:8" hidden="1">
      <c r="A345" t="s">
        <v>11</v>
      </c>
      <c r="B345">
        <v>2021</v>
      </c>
      <c r="C345" t="s">
        <v>21</v>
      </c>
      <c r="D345" t="s">
        <v>203</v>
      </c>
      <c r="F345" t="s">
        <v>181</v>
      </c>
      <c r="G345">
        <v>0.75</v>
      </c>
      <c r="H345" t="s">
        <v>353</v>
      </c>
    </row>
    <row r="346" spans="1:8" hidden="1">
      <c r="A346" t="s">
        <v>11</v>
      </c>
      <c r="B346">
        <v>2021</v>
      </c>
      <c r="C346" t="s">
        <v>21</v>
      </c>
      <c r="D346" t="s">
        <v>184</v>
      </c>
      <c r="F346" t="s">
        <v>181</v>
      </c>
      <c r="G346">
        <v>2</v>
      </c>
      <c r="H346" t="s">
        <v>216</v>
      </c>
    </row>
    <row r="347" spans="1:8" hidden="1">
      <c r="A347" t="s">
        <v>11</v>
      </c>
      <c r="B347">
        <v>2021</v>
      </c>
      <c r="C347" t="s">
        <v>21</v>
      </c>
      <c r="D347" t="s">
        <v>200</v>
      </c>
      <c r="F347" t="s">
        <v>181</v>
      </c>
      <c r="G347">
        <v>1</v>
      </c>
      <c r="H347" t="s">
        <v>354</v>
      </c>
    </row>
    <row r="348" spans="1:8" hidden="1">
      <c r="A348" t="s">
        <v>11</v>
      </c>
      <c r="B348">
        <v>2021</v>
      </c>
      <c r="C348" t="s">
        <v>21</v>
      </c>
      <c r="D348" t="s">
        <v>180</v>
      </c>
      <c r="F348" t="s">
        <v>181</v>
      </c>
      <c r="G348">
        <v>6</v>
      </c>
      <c r="H348" t="s">
        <v>355</v>
      </c>
    </row>
    <row r="349" spans="1:8" hidden="1">
      <c r="A349" t="s">
        <v>11</v>
      </c>
      <c r="B349">
        <v>2021</v>
      </c>
      <c r="C349" t="s">
        <v>21</v>
      </c>
      <c r="D349" t="s">
        <v>191</v>
      </c>
      <c r="F349" t="s">
        <v>181</v>
      </c>
      <c r="G349">
        <v>2</v>
      </c>
      <c r="H349" t="s">
        <v>356</v>
      </c>
    </row>
    <row r="350" spans="1:8" hidden="1">
      <c r="A350" t="s">
        <v>11</v>
      </c>
      <c r="B350">
        <v>2021</v>
      </c>
      <c r="C350" t="s">
        <v>21</v>
      </c>
      <c r="D350" t="s">
        <v>180</v>
      </c>
      <c r="F350" t="s">
        <v>181</v>
      </c>
      <c r="G350">
        <v>2</v>
      </c>
      <c r="H350" t="s">
        <v>357</v>
      </c>
    </row>
    <row r="351" spans="1:8" hidden="1">
      <c r="A351" t="s">
        <v>11</v>
      </c>
      <c r="B351">
        <v>2021</v>
      </c>
      <c r="C351" t="s">
        <v>21</v>
      </c>
      <c r="D351" t="s">
        <v>180</v>
      </c>
      <c r="F351" t="s">
        <v>181</v>
      </c>
      <c r="G351">
        <v>2</v>
      </c>
      <c r="H351" t="s">
        <v>358</v>
      </c>
    </row>
    <row r="352" spans="1:8" hidden="1">
      <c r="A352" t="s">
        <v>11</v>
      </c>
      <c r="B352">
        <v>2021</v>
      </c>
      <c r="C352" t="s">
        <v>21</v>
      </c>
      <c r="D352" t="s">
        <v>188</v>
      </c>
      <c r="F352" t="s">
        <v>181</v>
      </c>
      <c r="G352">
        <v>4</v>
      </c>
      <c r="H352" t="s">
        <v>359</v>
      </c>
    </row>
    <row r="353" spans="1:8" hidden="1">
      <c r="A353" t="s">
        <v>11</v>
      </c>
      <c r="B353">
        <v>2021</v>
      </c>
      <c r="C353" t="s">
        <v>21</v>
      </c>
      <c r="D353" t="s">
        <v>180</v>
      </c>
      <c r="F353" t="s">
        <v>181</v>
      </c>
      <c r="G353">
        <v>1.5</v>
      </c>
      <c r="H353" t="s">
        <v>360</v>
      </c>
    </row>
    <row r="354" spans="1:8" hidden="1">
      <c r="A354" t="s">
        <v>11</v>
      </c>
      <c r="B354">
        <v>2021</v>
      </c>
      <c r="C354" t="s">
        <v>21</v>
      </c>
      <c r="D354" t="s">
        <v>193</v>
      </c>
      <c r="F354" t="s">
        <v>181</v>
      </c>
      <c r="G354">
        <v>5</v>
      </c>
      <c r="H354" t="s">
        <v>361</v>
      </c>
    </row>
    <row r="355" spans="1:8" hidden="1">
      <c r="A355" t="s">
        <v>11</v>
      </c>
      <c r="B355">
        <v>2021</v>
      </c>
      <c r="C355" t="s">
        <v>21</v>
      </c>
      <c r="D355" t="s">
        <v>180</v>
      </c>
      <c r="F355" t="s">
        <v>181</v>
      </c>
      <c r="G355">
        <v>2.5</v>
      </c>
      <c r="H355" t="s">
        <v>362</v>
      </c>
    </row>
    <row r="356" spans="1:8" hidden="1">
      <c r="A356" t="s">
        <v>11</v>
      </c>
      <c r="B356">
        <v>2021</v>
      </c>
      <c r="C356" t="s">
        <v>21</v>
      </c>
      <c r="D356" t="s">
        <v>199</v>
      </c>
      <c r="F356" t="s">
        <v>181</v>
      </c>
      <c r="G356">
        <v>0.5</v>
      </c>
      <c r="H356" t="s">
        <v>363</v>
      </c>
    </row>
    <row r="357" spans="1:8" hidden="1">
      <c r="A357" t="s">
        <v>11</v>
      </c>
      <c r="B357">
        <v>2021</v>
      </c>
      <c r="C357" t="s">
        <v>21</v>
      </c>
      <c r="D357" t="s">
        <v>180</v>
      </c>
      <c r="F357" t="s">
        <v>181</v>
      </c>
      <c r="G357">
        <v>1</v>
      </c>
      <c r="H357" t="s">
        <v>364</v>
      </c>
    </row>
    <row r="358" spans="1:8" hidden="1">
      <c r="A358" t="s">
        <v>11</v>
      </c>
      <c r="B358">
        <v>2021</v>
      </c>
      <c r="C358" t="s">
        <v>21</v>
      </c>
      <c r="D358" t="s">
        <v>180</v>
      </c>
      <c r="F358" t="s">
        <v>181</v>
      </c>
      <c r="G358">
        <v>2.5</v>
      </c>
      <c r="H358" t="s">
        <v>365</v>
      </c>
    </row>
    <row r="359" spans="1:8" hidden="1">
      <c r="A359" t="s">
        <v>11</v>
      </c>
      <c r="B359">
        <v>2021</v>
      </c>
      <c r="C359" t="s">
        <v>21</v>
      </c>
      <c r="D359" t="s">
        <v>180</v>
      </c>
      <c r="F359" t="s">
        <v>181</v>
      </c>
      <c r="G359">
        <v>1</v>
      </c>
      <c r="H359" t="s">
        <v>366</v>
      </c>
    </row>
    <row r="360" spans="1:8" hidden="1">
      <c r="A360" t="s">
        <v>11</v>
      </c>
      <c r="B360">
        <v>2021</v>
      </c>
      <c r="C360" t="s">
        <v>21</v>
      </c>
      <c r="D360" t="s">
        <v>197</v>
      </c>
      <c r="F360" t="s">
        <v>181</v>
      </c>
      <c r="G360">
        <v>1.4</v>
      </c>
      <c r="H360" t="s">
        <v>367</v>
      </c>
    </row>
    <row r="361" spans="1:8" hidden="1">
      <c r="A361" t="s">
        <v>11</v>
      </c>
      <c r="B361">
        <v>2021</v>
      </c>
      <c r="C361" t="s">
        <v>21</v>
      </c>
      <c r="D361" t="s">
        <v>191</v>
      </c>
      <c r="F361" t="s">
        <v>208</v>
      </c>
      <c r="G361">
        <v>1</v>
      </c>
      <c r="H361" t="s">
        <v>368</v>
      </c>
    </row>
    <row r="362" spans="1:8" hidden="1">
      <c r="A362" t="s">
        <v>11</v>
      </c>
      <c r="B362">
        <v>2021</v>
      </c>
      <c r="C362" t="s">
        <v>21</v>
      </c>
      <c r="D362" t="s">
        <v>188</v>
      </c>
      <c r="F362" t="s">
        <v>208</v>
      </c>
      <c r="G362">
        <v>6.75</v>
      </c>
      <c r="H362" t="s">
        <v>369</v>
      </c>
    </row>
    <row r="363" spans="1:8" hidden="1">
      <c r="A363" t="s">
        <v>11</v>
      </c>
      <c r="B363">
        <v>2021</v>
      </c>
      <c r="C363" t="s">
        <v>21</v>
      </c>
      <c r="D363" t="s">
        <v>188</v>
      </c>
      <c r="F363" t="s">
        <v>208</v>
      </c>
      <c r="G363">
        <v>9</v>
      </c>
      <c r="H363" t="s">
        <v>370</v>
      </c>
    </row>
    <row r="364" spans="1:8" hidden="1">
      <c r="A364" t="s">
        <v>11</v>
      </c>
      <c r="B364">
        <v>2021</v>
      </c>
      <c r="C364" t="s">
        <v>21</v>
      </c>
      <c r="D364" t="s">
        <v>193</v>
      </c>
      <c r="F364" t="s">
        <v>208</v>
      </c>
      <c r="G364">
        <v>0.9</v>
      </c>
      <c r="H364" t="s">
        <v>371</v>
      </c>
    </row>
    <row r="365" spans="1:8" hidden="1">
      <c r="A365" t="s">
        <v>11</v>
      </c>
      <c r="B365">
        <v>2021</v>
      </c>
      <c r="C365" t="s">
        <v>21</v>
      </c>
      <c r="D365" t="s">
        <v>180</v>
      </c>
      <c r="F365" t="s">
        <v>208</v>
      </c>
      <c r="G365">
        <v>5.95</v>
      </c>
      <c r="H365" t="s">
        <v>372</v>
      </c>
    </row>
    <row r="366" spans="1:8" hidden="1">
      <c r="A366" t="s">
        <v>11</v>
      </c>
      <c r="B366">
        <v>2021</v>
      </c>
      <c r="C366" t="s">
        <v>27</v>
      </c>
      <c r="D366" t="s">
        <v>180</v>
      </c>
      <c r="F366" t="s">
        <v>181</v>
      </c>
      <c r="G366">
        <v>6</v>
      </c>
      <c r="H366" t="s">
        <v>273</v>
      </c>
    </row>
    <row r="367" spans="1:8" hidden="1">
      <c r="A367" t="s">
        <v>11</v>
      </c>
      <c r="B367">
        <v>2021</v>
      </c>
      <c r="C367" t="s">
        <v>27</v>
      </c>
      <c r="D367" t="s">
        <v>184</v>
      </c>
      <c r="F367" t="s">
        <v>181</v>
      </c>
      <c r="G367">
        <v>2</v>
      </c>
      <c r="H367" t="s">
        <v>185</v>
      </c>
    </row>
    <row r="368" spans="1:8" hidden="1">
      <c r="A368" t="s">
        <v>11</v>
      </c>
      <c r="B368">
        <v>2021</v>
      </c>
      <c r="C368" t="s">
        <v>27</v>
      </c>
      <c r="D368" t="s">
        <v>180</v>
      </c>
      <c r="F368" t="s">
        <v>181</v>
      </c>
      <c r="G368">
        <v>2</v>
      </c>
      <c r="H368" t="s">
        <v>183</v>
      </c>
    </row>
    <row r="369" spans="1:8" hidden="1">
      <c r="A369" t="s">
        <v>11</v>
      </c>
      <c r="B369">
        <v>2021</v>
      </c>
      <c r="C369" t="s">
        <v>27</v>
      </c>
      <c r="D369" t="s">
        <v>180</v>
      </c>
      <c r="F369" t="s">
        <v>181</v>
      </c>
      <c r="G369">
        <v>1</v>
      </c>
      <c r="H369" t="s">
        <v>373</v>
      </c>
    </row>
    <row r="370" spans="1:8" hidden="1">
      <c r="A370" t="s">
        <v>11</v>
      </c>
      <c r="B370">
        <v>2021</v>
      </c>
      <c r="C370" t="s">
        <v>27</v>
      </c>
      <c r="D370" t="s">
        <v>180</v>
      </c>
      <c r="F370" t="s">
        <v>181</v>
      </c>
      <c r="G370">
        <v>1</v>
      </c>
      <c r="H370" t="s">
        <v>374</v>
      </c>
    </row>
    <row r="371" spans="1:8" hidden="1">
      <c r="A371" t="s">
        <v>11</v>
      </c>
      <c r="B371">
        <v>2021</v>
      </c>
      <c r="C371" t="s">
        <v>27</v>
      </c>
      <c r="D371" t="s">
        <v>180</v>
      </c>
      <c r="F371" t="s">
        <v>181</v>
      </c>
      <c r="G371">
        <v>1</v>
      </c>
      <c r="H371" t="s">
        <v>375</v>
      </c>
    </row>
    <row r="372" spans="1:8" hidden="1">
      <c r="A372" t="s">
        <v>11</v>
      </c>
      <c r="B372">
        <v>2021</v>
      </c>
      <c r="C372" t="s">
        <v>27</v>
      </c>
      <c r="D372" t="s">
        <v>188</v>
      </c>
      <c r="F372" t="s">
        <v>181</v>
      </c>
      <c r="G372">
        <v>2</v>
      </c>
      <c r="H372" t="s">
        <v>376</v>
      </c>
    </row>
    <row r="373" spans="1:8" hidden="1">
      <c r="A373" t="s">
        <v>11</v>
      </c>
      <c r="B373">
        <v>2021</v>
      </c>
      <c r="C373" t="s">
        <v>27</v>
      </c>
      <c r="D373" t="s">
        <v>180</v>
      </c>
      <c r="F373" t="s">
        <v>181</v>
      </c>
      <c r="G373">
        <v>2</v>
      </c>
      <c r="H373" t="s">
        <v>377</v>
      </c>
    </row>
    <row r="374" spans="1:8" hidden="1">
      <c r="A374" t="s">
        <v>11</v>
      </c>
      <c r="B374">
        <v>2021</v>
      </c>
      <c r="C374" t="s">
        <v>27</v>
      </c>
      <c r="D374" t="s">
        <v>200</v>
      </c>
      <c r="F374" t="s">
        <v>181</v>
      </c>
      <c r="G374">
        <v>1</v>
      </c>
      <c r="H374" t="s">
        <v>378</v>
      </c>
    </row>
    <row r="375" spans="1:8" hidden="1">
      <c r="A375" t="s">
        <v>11</v>
      </c>
      <c r="B375">
        <v>2021</v>
      </c>
      <c r="C375" t="s">
        <v>27</v>
      </c>
      <c r="D375" t="s">
        <v>180</v>
      </c>
      <c r="F375" t="s">
        <v>181</v>
      </c>
      <c r="G375">
        <v>1</v>
      </c>
      <c r="H375" t="s">
        <v>379</v>
      </c>
    </row>
    <row r="376" spans="1:8" hidden="1">
      <c r="A376" t="s">
        <v>11</v>
      </c>
      <c r="B376">
        <v>2021</v>
      </c>
      <c r="C376" t="s">
        <v>27</v>
      </c>
      <c r="D376" t="s">
        <v>180</v>
      </c>
      <c r="F376" t="s">
        <v>181</v>
      </c>
      <c r="G376">
        <v>1</v>
      </c>
      <c r="H376" t="s">
        <v>380</v>
      </c>
    </row>
    <row r="377" spans="1:8" hidden="1">
      <c r="A377" t="s">
        <v>11</v>
      </c>
      <c r="B377">
        <v>2021</v>
      </c>
      <c r="C377" t="s">
        <v>27</v>
      </c>
      <c r="D377" t="s">
        <v>203</v>
      </c>
      <c r="F377" t="s">
        <v>181</v>
      </c>
      <c r="G377">
        <v>1</v>
      </c>
      <c r="H377" t="s">
        <v>381</v>
      </c>
    </row>
    <row r="378" spans="1:8" hidden="1">
      <c r="A378" t="s">
        <v>11</v>
      </c>
      <c r="B378">
        <v>2021</v>
      </c>
      <c r="C378" t="s">
        <v>27</v>
      </c>
      <c r="D378" t="s">
        <v>197</v>
      </c>
      <c r="F378" t="s">
        <v>181</v>
      </c>
      <c r="G378">
        <v>0.25</v>
      </c>
      <c r="H378" t="s">
        <v>382</v>
      </c>
    </row>
    <row r="379" spans="1:8" hidden="1">
      <c r="A379" t="s">
        <v>11</v>
      </c>
      <c r="B379">
        <v>2021</v>
      </c>
      <c r="C379" t="s">
        <v>27</v>
      </c>
      <c r="D379" t="s">
        <v>199</v>
      </c>
      <c r="F379" t="s">
        <v>181</v>
      </c>
      <c r="G379">
        <v>0.25</v>
      </c>
      <c r="H379" t="s">
        <v>382</v>
      </c>
    </row>
    <row r="380" spans="1:8" hidden="1">
      <c r="A380" t="s">
        <v>11</v>
      </c>
      <c r="B380">
        <v>2021</v>
      </c>
      <c r="C380" t="s">
        <v>27</v>
      </c>
      <c r="D380" t="s">
        <v>203</v>
      </c>
      <c r="F380" t="s">
        <v>181</v>
      </c>
      <c r="G380">
        <v>3</v>
      </c>
      <c r="H380" t="s">
        <v>383</v>
      </c>
    </row>
    <row r="381" spans="1:8" hidden="1">
      <c r="A381" t="s">
        <v>11</v>
      </c>
      <c r="B381">
        <v>2021</v>
      </c>
      <c r="C381" t="s">
        <v>27</v>
      </c>
      <c r="D381" t="s">
        <v>199</v>
      </c>
      <c r="F381" t="s">
        <v>181</v>
      </c>
      <c r="G381">
        <v>0.75</v>
      </c>
      <c r="H381" t="s">
        <v>367</v>
      </c>
    </row>
    <row r="382" spans="1:8" hidden="1">
      <c r="A382" t="s">
        <v>11</v>
      </c>
      <c r="B382">
        <v>2021</v>
      </c>
      <c r="C382" t="s">
        <v>27</v>
      </c>
      <c r="D382" t="s">
        <v>197</v>
      </c>
      <c r="F382" t="s">
        <v>181</v>
      </c>
      <c r="G382">
        <v>0.75</v>
      </c>
      <c r="H382" t="s">
        <v>367</v>
      </c>
    </row>
    <row r="383" spans="1:8" hidden="1">
      <c r="A383" t="s">
        <v>11</v>
      </c>
      <c r="B383">
        <v>2021</v>
      </c>
      <c r="C383" t="s">
        <v>27</v>
      </c>
      <c r="D383" t="s">
        <v>180</v>
      </c>
      <c r="F383" t="s">
        <v>181</v>
      </c>
      <c r="G383">
        <v>72</v>
      </c>
      <c r="H383" t="s">
        <v>384</v>
      </c>
    </row>
    <row r="384" spans="1:8" hidden="1">
      <c r="A384" t="s">
        <v>11</v>
      </c>
      <c r="B384">
        <v>2021</v>
      </c>
      <c r="C384" t="s">
        <v>27</v>
      </c>
      <c r="D384" t="s">
        <v>197</v>
      </c>
      <c r="F384" t="s">
        <v>208</v>
      </c>
      <c r="G384">
        <v>0.5</v>
      </c>
      <c r="H384" t="s">
        <v>385</v>
      </c>
    </row>
    <row r="385" spans="1:8" hidden="1">
      <c r="A385" t="s">
        <v>11</v>
      </c>
      <c r="B385">
        <v>2021</v>
      </c>
      <c r="C385" t="s">
        <v>27</v>
      </c>
      <c r="D385" t="s">
        <v>188</v>
      </c>
      <c r="F385" t="s">
        <v>208</v>
      </c>
      <c r="G385">
        <v>1.4</v>
      </c>
      <c r="H385" t="s">
        <v>386</v>
      </c>
    </row>
    <row r="386" spans="1:8" hidden="1">
      <c r="A386" t="s">
        <v>11</v>
      </c>
      <c r="B386">
        <v>2021</v>
      </c>
      <c r="C386" t="s">
        <v>27</v>
      </c>
      <c r="D386" t="s">
        <v>188</v>
      </c>
      <c r="F386" t="s">
        <v>208</v>
      </c>
      <c r="G386">
        <v>0.4</v>
      </c>
      <c r="H386" t="s">
        <v>387</v>
      </c>
    </row>
    <row r="387" spans="1:8" hidden="1">
      <c r="A387" t="s">
        <v>11</v>
      </c>
      <c r="B387">
        <v>2021</v>
      </c>
      <c r="C387" t="s">
        <v>27</v>
      </c>
      <c r="D387" t="s">
        <v>197</v>
      </c>
      <c r="F387" t="s">
        <v>208</v>
      </c>
      <c r="G387">
        <v>1.25</v>
      </c>
      <c r="H387" t="s">
        <v>388</v>
      </c>
    </row>
    <row r="388" spans="1:8" hidden="1">
      <c r="A388" t="s">
        <v>11</v>
      </c>
      <c r="B388">
        <v>2021</v>
      </c>
      <c r="C388" t="s">
        <v>27</v>
      </c>
      <c r="D388" t="s">
        <v>188</v>
      </c>
      <c r="F388" t="s">
        <v>208</v>
      </c>
      <c r="G388">
        <v>1</v>
      </c>
      <c r="H388" t="s">
        <v>389</v>
      </c>
    </row>
    <row r="389" spans="1:8" hidden="1">
      <c r="A389" t="s">
        <v>11</v>
      </c>
      <c r="B389">
        <v>2021</v>
      </c>
      <c r="C389" t="s">
        <v>28</v>
      </c>
      <c r="D389" t="s">
        <v>184</v>
      </c>
      <c r="F389" t="s">
        <v>181</v>
      </c>
      <c r="G389">
        <v>6</v>
      </c>
      <c r="H389" t="s">
        <v>390</v>
      </c>
    </row>
    <row r="390" spans="1:8" hidden="1">
      <c r="A390" t="s">
        <v>11</v>
      </c>
      <c r="B390">
        <v>2021</v>
      </c>
      <c r="C390" t="s">
        <v>28</v>
      </c>
      <c r="D390" t="s">
        <v>324</v>
      </c>
      <c r="F390" t="s">
        <v>181</v>
      </c>
      <c r="G390">
        <v>2</v>
      </c>
      <c r="H390" t="s">
        <v>390</v>
      </c>
    </row>
    <row r="391" spans="1:8" hidden="1">
      <c r="A391" t="s">
        <v>11</v>
      </c>
      <c r="B391">
        <v>2021</v>
      </c>
      <c r="C391" t="s">
        <v>28</v>
      </c>
      <c r="D391" t="s">
        <v>180</v>
      </c>
      <c r="F391" t="s">
        <v>181</v>
      </c>
      <c r="G391">
        <v>3</v>
      </c>
      <c r="H391" t="s">
        <v>391</v>
      </c>
    </row>
    <row r="392" spans="1:8" hidden="1">
      <c r="A392" t="s">
        <v>11</v>
      </c>
      <c r="B392">
        <v>2021</v>
      </c>
      <c r="C392" t="s">
        <v>28</v>
      </c>
      <c r="D392" t="s">
        <v>180</v>
      </c>
      <c r="F392" t="s">
        <v>181</v>
      </c>
      <c r="G392">
        <v>4</v>
      </c>
      <c r="H392" t="s">
        <v>392</v>
      </c>
    </row>
    <row r="393" spans="1:8" hidden="1">
      <c r="A393" t="s">
        <v>11</v>
      </c>
      <c r="B393">
        <v>2021</v>
      </c>
      <c r="C393" t="s">
        <v>28</v>
      </c>
      <c r="D393" t="s">
        <v>199</v>
      </c>
      <c r="F393" t="s">
        <v>181</v>
      </c>
      <c r="G393">
        <v>8</v>
      </c>
      <c r="H393" t="s">
        <v>393</v>
      </c>
    </row>
    <row r="394" spans="1:8" hidden="1">
      <c r="A394" t="s">
        <v>11</v>
      </c>
      <c r="B394">
        <v>2021</v>
      </c>
      <c r="C394" t="s">
        <v>28</v>
      </c>
      <c r="D394" t="s">
        <v>394</v>
      </c>
      <c r="F394" t="s">
        <v>181</v>
      </c>
      <c r="G394">
        <v>1</v>
      </c>
      <c r="H394" t="s">
        <v>390</v>
      </c>
    </row>
    <row r="395" spans="1:8" hidden="1">
      <c r="A395" t="s">
        <v>11</v>
      </c>
      <c r="B395">
        <v>2021</v>
      </c>
      <c r="C395" t="s">
        <v>28</v>
      </c>
      <c r="D395" t="s">
        <v>203</v>
      </c>
      <c r="F395" t="s">
        <v>181</v>
      </c>
      <c r="G395">
        <v>2</v>
      </c>
      <c r="H395" t="s">
        <v>395</v>
      </c>
    </row>
    <row r="396" spans="1:8" hidden="1">
      <c r="A396" t="s">
        <v>11</v>
      </c>
      <c r="B396">
        <v>2021</v>
      </c>
      <c r="C396" t="s">
        <v>28</v>
      </c>
      <c r="D396" t="s">
        <v>203</v>
      </c>
      <c r="F396" t="s">
        <v>181</v>
      </c>
      <c r="G396">
        <v>2</v>
      </c>
      <c r="H396" t="s">
        <v>396</v>
      </c>
    </row>
    <row r="397" spans="1:8" hidden="1">
      <c r="A397" t="s">
        <v>11</v>
      </c>
      <c r="B397">
        <v>2021</v>
      </c>
      <c r="C397" t="s">
        <v>28</v>
      </c>
      <c r="D397" t="s">
        <v>199</v>
      </c>
      <c r="F397" t="s">
        <v>181</v>
      </c>
      <c r="G397">
        <v>12</v>
      </c>
    </row>
    <row r="398" spans="1:8" hidden="1">
      <c r="A398" t="s">
        <v>11</v>
      </c>
      <c r="B398">
        <v>2021</v>
      </c>
      <c r="C398" t="s">
        <v>28</v>
      </c>
      <c r="D398" t="s">
        <v>199</v>
      </c>
      <c r="F398" t="s">
        <v>181</v>
      </c>
      <c r="G398">
        <v>6</v>
      </c>
      <c r="H398" t="s">
        <v>397</v>
      </c>
    </row>
    <row r="399" spans="1:8" hidden="1">
      <c r="A399" t="s">
        <v>11</v>
      </c>
      <c r="B399">
        <v>2021</v>
      </c>
      <c r="C399" t="s">
        <v>28</v>
      </c>
      <c r="D399" t="s">
        <v>199</v>
      </c>
      <c r="F399" t="s">
        <v>181</v>
      </c>
      <c r="G399">
        <v>10</v>
      </c>
      <c r="H399" t="s">
        <v>398</v>
      </c>
    </row>
    <row r="400" spans="1:8" hidden="1">
      <c r="A400" t="s">
        <v>11</v>
      </c>
      <c r="B400">
        <v>2021</v>
      </c>
      <c r="C400" t="s">
        <v>28</v>
      </c>
      <c r="D400" t="s">
        <v>199</v>
      </c>
      <c r="F400" t="s">
        <v>181</v>
      </c>
      <c r="G400">
        <v>2</v>
      </c>
      <c r="H400" t="s">
        <v>399</v>
      </c>
    </row>
    <row r="401" spans="1:8" hidden="1">
      <c r="A401" t="s">
        <v>11</v>
      </c>
      <c r="B401">
        <v>2021</v>
      </c>
      <c r="C401" t="s">
        <v>28</v>
      </c>
      <c r="D401" t="s">
        <v>199</v>
      </c>
      <c r="F401" t="s">
        <v>181</v>
      </c>
      <c r="G401">
        <v>8</v>
      </c>
      <c r="H401" t="s">
        <v>400</v>
      </c>
    </row>
    <row r="402" spans="1:8" hidden="1">
      <c r="A402" t="s">
        <v>11</v>
      </c>
      <c r="B402">
        <v>2021</v>
      </c>
      <c r="C402" t="s">
        <v>28</v>
      </c>
      <c r="D402" t="s">
        <v>199</v>
      </c>
      <c r="F402" t="s">
        <v>181</v>
      </c>
      <c r="G402">
        <v>2</v>
      </c>
      <c r="H402" t="s">
        <v>401</v>
      </c>
    </row>
    <row r="403" spans="1:8" hidden="1">
      <c r="A403" t="s">
        <v>11</v>
      </c>
      <c r="B403">
        <v>2021</v>
      </c>
      <c r="C403" t="s">
        <v>28</v>
      </c>
      <c r="D403" t="s">
        <v>180</v>
      </c>
      <c r="F403" t="s">
        <v>181</v>
      </c>
      <c r="G403">
        <v>4</v>
      </c>
      <c r="H403" t="s">
        <v>402</v>
      </c>
    </row>
    <row r="404" spans="1:8" hidden="1">
      <c r="A404" t="s">
        <v>11</v>
      </c>
      <c r="B404">
        <v>2021</v>
      </c>
      <c r="C404" t="s">
        <v>28</v>
      </c>
      <c r="D404" t="s">
        <v>180</v>
      </c>
      <c r="F404" t="s">
        <v>181</v>
      </c>
      <c r="G404">
        <v>7</v>
      </c>
      <c r="H404" t="s">
        <v>403</v>
      </c>
    </row>
    <row r="405" spans="1:8" hidden="1">
      <c r="A405" t="s">
        <v>11</v>
      </c>
      <c r="B405">
        <v>2021</v>
      </c>
      <c r="C405" t="s">
        <v>28</v>
      </c>
      <c r="D405" t="s">
        <v>203</v>
      </c>
      <c r="F405" t="s">
        <v>181</v>
      </c>
      <c r="G405">
        <v>3.25</v>
      </c>
      <c r="H405" t="s">
        <v>396</v>
      </c>
    </row>
    <row r="406" spans="1:8" hidden="1">
      <c r="A406" t="s">
        <v>11</v>
      </c>
      <c r="B406">
        <v>2021</v>
      </c>
      <c r="C406" t="s">
        <v>28</v>
      </c>
      <c r="D406" t="s">
        <v>197</v>
      </c>
      <c r="F406" t="s">
        <v>181</v>
      </c>
      <c r="G406">
        <v>4.5</v>
      </c>
      <c r="H406" t="s">
        <v>390</v>
      </c>
    </row>
    <row r="407" spans="1:8" hidden="1">
      <c r="A407" t="s">
        <v>11</v>
      </c>
      <c r="B407">
        <v>2021</v>
      </c>
      <c r="C407" t="s">
        <v>28</v>
      </c>
      <c r="D407" t="s">
        <v>191</v>
      </c>
      <c r="F407" t="s">
        <v>181</v>
      </c>
      <c r="G407">
        <v>6</v>
      </c>
      <c r="H407" t="s">
        <v>404</v>
      </c>
    </row>
    <row r="408" spans="1:8" hidden="1">
      <c r="A408" t="s">
        <v>11</v>
      </c>
      <c r="B408">
        <v>2021</v>
      </c>
      <c r="C408" t="s">
        <v>28</v>
      </c>
      <c r="D408" t="s">
        <v>317</v>
      </c>
      <c r="F408" t="s">
        <v>181</v>
      </c>
      <c r="G408">
        <v>8</v>
      </c>
      <c r="H408" t="s">
        <v>390</v>
      </c>
    </row>
    <row r="409" spans="1:8" hidden="1">
      <c r="A409" t="s">
        <v>11</v>
      </c>
      <c r="B409">
        <v>2021</v>
      </c>
      <c r="C409" t="s">
        <v>28</v>
      </c>
      <c r="D409" t="s">
        <v>199</v>
      </c>
      <c r="F409" t="s">
        <v>181</v>
      </c>
      <c r="G409">
        <v>7</v>
      </c>
      <c r="H409" t="s">
        <v>405</v>
      </c>
    </row>
    <row r="410" spans="1:8" hidden="1">
      <c r="A410" t="s">
        <v>11</v>
      </c>
      <c r="B410">
        <v>2021</v>
      </c>
      <c r="C410" t="s">
        <v>28</v>
      </c>
      <c r="D410" t="s">
        <v>191</v>
      </c>
      <c r="F410" t="s">
        <v>181</v>
      </c>
      <c r="G410">
        <v>8</v>
      </c>
      <c r="H410" t="s">
        <v>406</v>
      </c>
    </row>
    <row r="411" spans="1:8" hidden="1">
      <c r="A411" t="s">
        <v>11</v>
      </c>
      <c r="B411">
        <v>2021</v>
      </c>
      <c r="C411" t="s">
        <v>28</v>
      </c>
      <c r="D411" t="s">
        <v>188</v>
      </c>
      <c r="F411" t="s">
        <v>181</v>
      </c>
      <c r="G411">
        <v>16</v>
      </c>
      <c r="H411" t="s">
        <v>407</v>
      </c>
    </row>
    <row r="412" spans="1:8" hidden="1">
      <c r="A412" t="s">
        <v>11</v>
      </c>
      <c r="B412">
        <v>2021</v>
      </c>
      <c r="C412" t="s">
        <v>28</v>
      </c>
      <c r="D412" t="s">
        <v>188</v>
      </c>
      <c r="F412" t="s">
        <v>181</v>
      </c>
      <c r="G412">
        <v>16</v>
      </c>
      <c r="H412" t="s">
        <v>408</v>
      </c>
    </row>
    <row r="413" spans="1:8" hidden="1">
      <c r="A413" t="s">
        <v>11</v>
      </c>
      <c r="B413">
        <v>2021</v>
      </c>
      <c r="C413" t="s">
        <v>28</v>
      </c>
      <c r="D413" t="s">
        <v>200</v>
      </c>
      <c r="F413" t="s">
        <v>181</v>
      </c>
      <c r="G413">
        <v>11</v>
      </c>
      <c r="H413" t="s">
        <v>409</v>
      </c>
    </row>
    <row r="414" spans="1:8" hidden="1">
      <c r="A414" t="s">
        <v>11</v>
      </c>
      <c r="B414">
        <v>2021</v>
      </c>
      <c r="C414" t="s">
        <v>28</v>
      </c>
      <c r="D414" t="s">
        <v>193</v>
      </c>
      <c r="F414" t="s">
        <v>181</v>
      </c>
      <c r="G414">
        <v>16</v>
      </c>
      <c r="H414" t="s">
        <v>410</v>
      </c>
    </row>
    <row r="415" spans="1:8" hidden="1">
      <c r="A415" t="s">
        <v>11</v>
      </c>
      <c r="B415">
        <v>2021</v>
      </c>
      <c r="C415" t="s">
        <v>28</v>
      </c>
      <c r="D415" t="s">
        <v>180</v>
      </c>
      <c r="F415" t="s">
        <v>181</v>
      </c>
      <c r="G415">
        <v>10</v>
      </c>
      <c r="H415" t="s">
        <v>411</v>
      </c>
    </row>
    <row r="416" spans="1:8" hidden="1">
      <c r="A416" t="s">
        <v>11</v>
      </c>
      <c r="B416">
        <v>2021</v>
      </c>
      <c r="C416" t="s">
        <v>28</v>
      </c>
      <c r="D416" t="s">
        <v>193</v>
      </c>
      <c r="F416" t="s">
        <v>181</v>
      </c>
      <c r="G416">
        <v>6</v>
      </c>
      <c r="H416" t="s">
        <v>412</v>
      </c>
    </row>
    <row r="417" spans="1:8" hidden="1">
      <c r="A417" t="s">
        <v>11</v>
      </c>
      <c r="B417">
        <v>2021</v>
      </c>
      <c r="C417" t="s">
        <v>28</v>
      </c>
      <c r="D417" t="s">
        <v>413</v>
      </c>
      <c r="F417" t="s">
        <v>181</v>
      </c>
      <c r="G417">
        <v>2</v>
      </c>
      <c r="H417" t="s">
        <v>414</v>
      </c>
    </row>
    <row r="418" spans="1:8" hidden="1">
      <c r="A418" t="s">
        <v>11</v>
      </c>
      <c r="B418">
        <v>2021</v>
      </c>
      <c r="C418" t="s">
        <v>28</v>
      </c>
      <c r="D418" t="s">
        <v>193</v>
      </c>
      <c r="F418" t="s">
        <v>181</v>
      </c>
      <c r="G418">
        <v>6</v>
      </c>
      <c r="H418" t="s">
        <v>415</v>
      </c>
    </row>
    <row r="419" spans="1:8" hidden="1">
      <c r="A419" t="s">
        <v>11</v>
      </c>
      <c r="B419">
        <v>2021</v>
      </c>
      <c r="C419" t="s">
        <v>28</v>
      </c>
      <c r="D419" t="s">
        <v>180</v>
      </c>
      <c r="F419" t="s">
        <v>181</v>
      </c>
      <c r="G419">
        <v>8</v>
      </c>
    </row>
    <row r="420" spans="1:8" hidden="1">
      <c r="A420" t="s">
        <v>11</v>
      </c>
      <c r="B420">
        <v>2021</v>
      </c>
      <c r="C420" t="s">
        <v>28</v>
      </c>
      <c r="D420" t="s">
        <v>180</v>
      </c>
      <c r="F420" t="s">
        <v>181</v>
      </c>
      <c r="G420">
        <v>8</v>
      </c>
      <c r="H420" t="s">
        <v>416</v>
      </c>
    </row>
    <row r="421" spans="1:8" hidden="1">
      <c r="A421" t="s">
        <v>11</v>
      </c>
      <c r="B421">
        <v>2021</v>
      </c>
      <c r="C421" t="s">
        <v>31</v>
      </c>
      <c r="D421" t="s">
        <v>180</v>
      </c>
      <c r="F421" t="s">
        <v>181</v>
      </c>
      <c r="G421">
        <v>7.5</v>
      </c>
      <c r="H421" t="s">
        <v>214</v>
      </c>
    </row>
    <row r="422" spans="1:8" hidden="1">
      <c r="A422" t="s">
        <v>11</v>
      </c>
      <c r="B422">
        <v>2021</v>
      </c>
      <c r="C422" t="s">
        <v>31</v>
      </c>
      <c r="D422" t="s">
        <v>184</v>
      </c>
      <c r="F422" t="s">
        <v>181</v>
      </c>
      <c r="G422">
        <v>2.5</v>
      </c>
      <c r="H422" t="s">
        <v>185</v>
      </c>
    </row>
    <row r="423" spans="1:8" hidden="1">
      <c r="A423" t="s">
        <v>11</v>
      </c>
      <c r="B423">
        <v>2021</v>
      </c>
      <c r="C423" t="s">
        <v>31</v>
      </c>
      <c r="D423" t="s">
        <v>180</v>
      </c>
      <c r="F423" t="s">
        <v>181</v>
      </c>
      <c r="G423">
        <v>2.5</v>
      </c>
      <c r="H423" t="s">
        <v>358</v>
      </c>
    </row>
    <row r="424" spans="1:8" hidden="1">
      <c r="A424" t="s">
        <v>11</v>
      </c>
      <c r="B424">
        <v>2021</v>
      </c>
      <c r="C424" t="s">
        <v>31</v>
      </c>
      <c r="D424" t="s">
        <v>180</v>
      </c>
      <c r="F424" t="s">
        <v>181</v>
      </c>
      <c r="G424">
        <v>1.25</v>
      </c>
      <c r="H424" t="s">
        <v>417</v>
      </c>
    </row>
    <row r="425" spans="1:8" hidden="1">
      <c r="A425" t="s">
        <v>11</v>
      </c>
      <c r="B425">
        <v>2021</v>
      </c>
      <c r="C425" t="s">
        <v>31</v>
      </c>
      <c r="D425" t="s">
        <v>180</v>
      </c>
      <c r="F425" t="s">
        <v>181</v>
      </c>
      <c r="G425">
        <v>1.25</v>
      </c>
      <c r="H425" t="s">
        <v>418</v>
      </c>
    </row>
    <row r="426" spans="1:8" hidden="1">
      <c r="A426" t="s">
        <v>11</v>
      </c>
      <c r="B426">
        <v>2021</v>
      </c>
      <c r="C426" t="s">
        <v>31</v>
      </c>
      <c r="D426" t="s">
        <v>188</v>
      </c>
      <c r="F426" t="s">
        <v>181</v>
      </c>
      <c r="G426">
        <v>5</v>
      </c>
      <c r="H426" t="s">
        <v>240</v>
      </c>
    </row>
    <row r="427" spans="1:8" hidden="1">
      <c r="A427" t="s">
        <v>11</v>
      </c>
      <c r="B427">
        <v>2021</v>
      </c>
      <c r="C427" t="s">
        <v>31</v>
      </c>
      <c r="D427" t="s">
        <v>180</v>
      </c>
      <c r="F427" t="s">
        <v>181</v>
      </c>
      <c r="G427">
        <v>2.5</v>
      </c>
      <c r="H427" t="s">
        <v>419</v>
      </c>
    </row>
    <row r="428" spans="1:8" hidden="1">
      <c r="A428" t="s">
        <v>11</v>
      </c>
      <c r="B428">
        <v>2021</v>
      </c>
      <c r="C428" t="s">
        <v>31</v>
      </c>
      <c r="D428" t="s">
        <v>197</v>
      </c>
      <c r="F428" t="s">
        <v>181</v>
      </c>
      <c r="G428">
        <v>1</v>
      </c>
      <c r="H428" t="s">
        <v>367</v>
      </c>
    </row>
    <row r="429" spans="1:8" hidden="1">
      <c r="A429" t="s">
        <v>11</v>
      </c>
      <c r="B429">
        <v>2021</v>
      </c>
      <c r="C429" t="s">
        <v>31</v>
      </c>
      <c r="D429" t="s">
        <v>199</v>
      </c>
      <c r="F429" t="s">
        <v>181</v>
      </c>
      <c r="G429">
        <v>1</v>
      </c>
      <c r="H429" t="s">
        <v>367</v>
      </c>
    </row>
    <row r="430" spans="1:8" hidden="1">
      <c r="A430" t="s">
        <v>11</v>
      </c>
      <c r="B430">
        <v>2021</v>
      </c>
      <c r="C430" t="s">
        <v>31</v>
      </c>
      <c r="D430" t="s">
        <v>180</v>
      </c>
      <c r="F430" t="s">
        <v>181</v>
      </c>
      <c r="G430">
        <v>1.25</v>
      </c>
    </row>
    <row r="431" spans="1:8" hidden="1">
      <c r="A431" t="s">
        <v>11</v>
      </c>
      <c r="B431">
        <v>2021</v>
      </c>
      <c r="C431" t="s">
        <v>31</v>
      </c>
      <c r="D431" t="s">
        <v>199</v>
      </c>
      <c r="F431" t="s">
        <v>181</v>
      </c>
      <c r="G431">
        <v>0.25</v>
      </c>
      <c r="H431" t="s">
        <v>420</v>
      </c>
    </row>
    <row r="432" spans="1:8" hidden="1">
      <c r="A432" t="s">
        <v>11</v>
      </c>
      <c r="B432">
        <v>2021</v>
      </c>
      <c r="C432" t="s">
        <v>31</v>
      </c>
      <c r="D432" t="s">
        <v>197</v>
      </c>
      <c r="F432" t="s">
        <v>181</v>
      </c>
      <c r="G432">
        <v>0.25</v>
      </c>
      <c r="H432" t="s">
        <v>420</v>
      </c>
    </row>
    <row r="433" spans="1:8" hidden="1">
      <c r="A433" t="s">
        <v>11</v>
      </c>
      <c r="B433">
        <v>2021</v>
      </c>
      <c r="C433" t="s">
        <v>31</v>
      </c>
      <c r="D433" t="s">
        <v>203</v>
      </c>
      <c r="F433" t="s">
        <v>181</v>
      </c>
      <c r="G433">
        <v>1</v>
      </c>
      <c r="H433" t="s">
        <v>421</v>
      </c>
    </row>
    <row r="434" spans="1:8" hidden="1">
      <c r="A434" t="s">
        <v>11</v>
      </c>
      <c r="B434">
        <v>2021</v>
      </c>
      <c r="C434" t="s">
        <v>31</v>
      </c>
      <c r="D434" t="s">
        <v>180</v>
      </c>
      <c r="F434" t="s">
        <v>181</v>
      </c>
      <c r="G434">
        <v>1</v>
      </c>
      <c r="H434" t="s">
        <v>422</v>
      </c>
    </row>
    <row r="435" spans="1:8" hidden="1">
      <c r="A435" t="s">
        <v>11</v>
      </c>
      <c r="B435">
        <v>2021</v>
      </c>
      <c r="C435" t="s">
        <v>31</v>
      </c>
      <c r="D435" t="s">
        <v>180</v>
      </c>
      <c r="F435" t="s">
        <v>181</v>
      </c>
      <c r="G435">
        <v>1</v>
      </c>
      <c r="H435" t="s">
        <v>423</v>
      </c>
    </row>
    <row r="436" spans="1:8" hidden="1">
      <c r="A436" t="s">
        <v>11</v>
      </c>
      <c r="B436">
        <v>2021</v>
      </c>
      <c r="C436" t="s">
        <v>31</v>
      </c>
      <c r="D436" t="s">
        <v>200</v>
      </c>
      <c r="F436" t="s">
        <v>181</v>
      </c>
      <c r="G436">
        <v>1</v>
      </c>
      <c r="H436" t="s">
        <v>424</v>
      </c>
    </row>
    <row r="437" spans="1:8" hidden="1">
      <c r="A437" t="s">
        <v>11</v>
      </c>
      <c r="B437">
        <v>2021</v>
      </c>
      <c r="C437" t="s">
        <v>31</v>
      </c>
      <c r="D437" t="s">
        <v>199</v>
      </c>
      <c r="F437" t="s">
        <v>181</v>
      </c>
      <c r="G437">
        <v>1</v>
      </c>
      <c r="H437" t="s">
        <v>425</v>
      </c>
    </row>
    <row r="438" spans="1:8" hidden="1">
      <c r="A438" t="s">
        <v>11</v>
      </c>
      <c r="B438">
        <v>2021</v>
      </c>
      <c r="C438" t="s">
        <v>31</v>
      </c>
      <c r="D438" t="s">
        <v>188</v>
      </c>
      <c r="F438" t="s">
        <v>208</v>
      </c>
      <c r="G438">
        <v>0.5</v>
      </c>
      <c r="H438" t="s">
        <v>426</v>
      </c>
    </row>
    <row r="439" spans="1:8" hidden="1">
      <c r="A439" t="s">
        <v>11</v>
      </c>
      <c r="B439">
        <v>2021</v>
      </c>
      <c r="C439" t="s">
        <v>31</v>
      </c>
      <c r="D439" t="s">
        <v>259</v>
      </c>
      <c r="F439" t="s">
        <v>208</v>
      </c>
      <c r="G439">
        <v>3.5</v>
      </c>
      <c r="H439" t="s">
        <v>427</v>
      </c>
    </row>
    <row r="440" spans="1:8" hidden="1">
      <c r="A440" t="s">
        <v>11</v>
      </c>
      <c r="B440">
        <v>2021</v>
      </c>
      <c r="C440" t="s">
        <v>31</v>
      </c>
      <c r="D440" t="s">
        <v>197</v>
      </c>
      <c r="F440" t="s">
        <v>208</v>
      </c>
      <c r="G440">
        <v>3.5</v>
      </c>
      <c r="H440" t="s">
        <v>428</v>
      </c>
    </row>
    <row r="441" spans="1:8" hidden="1">
      <c r="A441" t="s">
        <v>11</v>
      </c>
      <c r="B441">
        <v>2021</v>
      </c>
      <c r="C441" t="s">
        <v>31</v>
      </c>
      <c r="D441" t="s">
        <v>191</v>
      </c>
      <c r="F441" t="s">
        <v>208</v>
      </c>
      <c r="G441">
        <v>0.55000000000000004</v>
      </c>
      <c r="H441" t="s">
        <v>429</v>
      </c>
    </row>
    <row r="442" spans="1:8" hidden="1">
      <c r="A442" t="s">
        <v>11</v>
      </c>
      <c r="B442">
        <v>2021</v>
      </c>
      <c r="C442" t="s">
        <v>31</v>
      </c>
      <c r="D442" t="s">
        <v>199</v>
      </c>
      <c r="F442" t="s">
        <v>208</v>
      </c>
      <c r="G442">
        <v>3.5</v>
      </c>
      <c r="H442" t="s">
        <v>430</v>
      </c>
    </row>
    <row r="443" spans="1:8" hidden="1">
      <c r="A443" t="s">
        <v>11</v>
      </c>
      <c r="B443">
        <v>2021</v>
      </c>
      <c r="C443" t="s">
        <v>31</v>
      </c>
      <c r="D443" t="s">
        <v>259</v>
      </c>
      <c r="F443" t="s">
        <v>208</v>
      </c>
      <c r="G443">
        <v>5.5</v>
      </c>
      <c r="H443" t="s">
        <v>431</v>
      </c>
    </row>
    <row r="444" spans="1:8" hidden="1">
      <c r="A444" t="s">
        <v>11</v>
      </c>
      <c r="B444">
        <v>2021</v>
      </c>
      <c r="C444" t="s">
        <v>31</v>
      </c>
      <c r="D444" t="s">
        <v>197</v>
      </c>
      <c r="F444" t="s">
        <v>208</v>
      </c>
      <c r="G444">
        <v>3.4</v>
      </c>
      <c r="H444" t="s">
        <v>432</v>
      </c>
    </row>
    <row r="445" spans="1:8" hidden="1">
      <c r="A445" t="s">
        <v>11</v>
      </c>
      <c r="B445">
        <v>2021</v>
      </c>
      <c r="C445" t="s">
        <v>31</v>
      </c>
      <c r="D445" t="s">
        <v>188</v>
      </c>
      <c r="F445" t="s">
        <v>208</v>
      </c>
      <c r="G445">
        <v>1</v>
      </c>
      <c r="H445" t="s">
        <v>433</v>
      </c>
    </row>
    <row r="446" spans="1:8" hidden="1">
      <c r="A446" t="s">
        <v>11</v>
      </c>
      <c r="B446">
        <v>2021</v>
      </c>
      <c r="C446" t="s">
        <v>31</v>
      </c>
      <c r="D446" t="s">
        <v>191</v>
      </c>
      <c r="F446" t="s">
        <v>208</v>
      </c>
      <c r="G446">
        <v>0.45</v>
      </c>
      <c r="H446" t="s">
        <v>434</v>
      </c>
    </row>
    <row r="447" spans="1:8" hidden="1">
      <c r="A447" t="s">
        <v>11</v>
      </c>
      <c r="B447">
        <v>2021</v>
      </c>
      <c r="C447" t="s">
        <v>31</v>
      </c>
      <c r="D447" t="s">
        <v>199</v>
      </c>
      <c r="F447" t="s">
        <v>208</v>
      </c>
      <c r="G447">
        <v>2.5</v>
      </c>
      <c r="H447" t="s">
        <v>435</v>
      </c>
    </row>
    <row r="448" spans="1:8" hidden="1">
      <c r="A448" t="s">
        <v>11</v>
      </c>
      <c r="B448">
        <v>2021</v>
      </c>
      <c r="C448" t="s">
        <v>33</v>
      </c>
      <c r="D448" t="s">
        <v>180</v>
      </c>
      <c r="F448" t="s">
        <v>181</v>
      </c>
      <c r="G448">
        <v>6</v>
      </c>
      <c r="H448" t="s">
        <v>436</v>
      </c>
    </row>
    <row r="449" spans="1:8" hidden="1">
      <c r="A449" t="s">
        <v>11</v>
      </c>
      <c r="B449">
        <v>2021</v>
      </c>
      <c r="C449" t="s">
        <v>33</v>
      </c>
      <c r="D449" t="s">
        <v>180</v>
      </c>
      <c r="F449" t="s">
        <v>181</v>
      </c>
      <c r="G449">
        <v>2</v>
      </c>
      <c r="H449" t="s">
        <v>437</v>
      </c>
    </row>
    <row r="450" spans="1:8" hidden="1">
      <c r="A450" t="s">
        <v>11</v>
      </c>
      <c r="B450">
        <v>2021</v>
      </c>
      <c r="C450" t="s">
        <v>33</v>
      </c>
      <c r="D450" t="s">
        <v>184</v>
      </c>
      <c r="F450" t="s">
        <v>181</v>
      </c>
      <c r="G450">
        <v>2</v>
      </c>
      <c r="H450" t="s">
        <v>185</v>
      </c>
    </row>
    <row r="451" spans="1:8" hidden="1">
      <c r="A451" t="s">
        <v>11</v>
      </c>
      <c r="B451">
        <v>2021</v>
      </c>
      <c r="C451" t="s">
        <v>33</v>
      </c>
      <c r="D451" t="s">
        <v>180</v>
      </c>
      <c r="F451" t="s">
        <v>181</v>
      </c>
      <c r="G451">
        <v>1</v>
      </c>
      <c r="H451" t="s">
        <v>438</v>
      </c>
    </row>
    <row r="452" spans="1:8" hidden="1">
      <c r="A452" t="s">
        <v>11</v>
      </c>
      <c r="B452">
        <v>2021</v>
      </c>
      <c r="C452" t="s">
        <v>33</v>
      </c>
      <c r="D452" t="s">
        <v>180</v>
      </c>
      <c r="F452" t="s">
        <v>181</v>
      </c>
      <c r="G452">
        <v>1</v>
      </c>
      <c r="H452" t="s">
        <v>439</v>
      </c>
    </row>
    <row r="453" spans="1:8" hidden="1">
      <c r="A453" t="s">
        <v>11</v>
      </c>
      <c r="B453">
        <v>2021</v>
      </c>
      <c r="C453" t="s">
        <v>33</v>
      </c>
      <c r="D453" t="s">
        <v>188</v>
      </c>
      <c r="F453" t="s">
        <v>181</v>
      </c>
      <c r="G453">
        <v>4</v>
      </c>
      <c r="H453" t="s">
        <v>185</v>
      </c>
    </row>
    <row r="454" spans="1:8" hidden="1">
      <c r="A454" t="s">
        <v>11</v>
      </c>
      <c r="B454">
        <v>2021</v>
      </c>
      <c r="C454" t="s">
        <v>33</v>
      </c>
      <c r="D454" t="s">
        <v>200</v>
      </c>
      <c r="F454" t="s">
        <v>181</v>
      </c>
      <c r="G454">
        <v>1</v>
      </c>
      <c r="H454" t="s">
        <v>440</v>
      </c>
    </row>
    <row r="455" spans="1:8" hidden="1">
      <c r="A455" t="s">
        <v>11</v>
      </c>
      <c r="B455">
        <v>2021</v>
      </c>
      <c r="C455" t="s">
        <v>33</v>
      </c>
      <c r="D455" t="s">
        <v>180</v>
      </c>
      <c r="F455" t="s">
        <v>181</v>
      </c>
      <c r="G455">
        <v>2</v>
      </c>
      <c r="H455" t="s">
        <v>441</v>
      </c>
    </row>
    <row r="456" spans="1:8" hidden="1">
      <c r="A456" t="s">
        <v>11</v>
      </c>
      <c r="B456">
        <v>2021</v>
      </c>
      <c r="C456" t="s">
        <v>33</v>
      </c>
      <c r="D456" t="s">
        <v>180</v>
      </c>
      <c r="F456" t="s">
        <v>181</v>
      </c>
      <c r="G456">
        <v>1</v>
      </c>
      <c r="H456" t="s">
        <v>442</v>
      </c>
    </row>
    <row r="457" spans="1:8" hidden="1">
      <c r="A457" t="s">
        <v>11</v>
      </c>
      <c r="B457">
        <v>2021</v>
      </c>
      <c r="C457" t="s">
        <v>33</v>
      </c>
      <c r="D457" t="s">
        <v>203</v>
      </c>
      <c r="F457" t="s">
        <v>181</v>
      </c>
      <c r="G457">
        <v>1</v>
      </c>
      <c r="H457" t="s">
        <v>443</v>
      </c>
    </row>
    <row r="458" spans="1:8" hidden="1">
      <c r="A458" t="s">
        <v>11</v>
      </c>
      <c r="B458">
        <v>2021</v>
      </c>
      <c r="C458" t="s">
        <v>33</v>
      </c>
      <c r="D458" t="s">
        <v>180</v>
      </c>
      <c r="F458" t="s">
        <v>181</v>
      </c>
      <c r="G458">
        <v>2</v>
      </c>
      <c r="H458" t="s">
        <v>444</v>
      </c>
    </row>
    <row r="459" spans="1:8" hidden="1">
      <c r="A459" t="s">
        <v>11</v>
      </c>
      <c r="B459">
        <v>2021</v>
      </c>
      <c r="C459" t="s">
        <v>33</v>
      </c>
      <c r="D459" t="s">
        <v>203</v>
      </c>
      <c r="F459" t="s">
        <v>181</v>
      </c>
      <c r="G459">
        <v>1</v>
      </c>
      <c r="H459" t="s">
        <v>445</v>
      </c>
    </row>
    <row r="460" spans="1:8" hidden="1">
      <c r="A460" t="s">
        <v>11</v>
      </c>
      <c r="B460">
        <v>2021</v>
      </c>
      <c r="C460" t="s">
        <v>33</v>
      </c>
      <c r="D460" t="s">
        <v>193</v>
      </c>
      <c r="F460" t="s">
        <v>208</v>
      </c>
      <c r="G460">
        <v>1</v>
      </c>
      <c r="H460" t="s">
        <v>446</v>
      </c>
    </row>
    <row r="461" spans="1:8" hidden="1">
      <c r="A461" t="s">
        <v>11</v>
      </c>
      <c r="B461">
        <v>2021</v>
      </c>
      <c r="C461" t="s">
        <v>33</v>
      </c>
      <c r="D461" t="s">
        <v>188</v>
      </c>
      <c r="F461" t="s">
        <v>208</v>
      </c>
      <c r="G461">
        <v>0.9</v>
      </c>
      <c r="H461" t="s">
        <v>447</v>
      </c>
    </row>
    <row r="462" spans="1:8" hidden="1">
      <c r="A462" t="s">
        <v>11</v>
      </c>
      <c r="B462">
        <v>2021</v>
      </c>
      <c r="C462" t="s">
        <v>33</v>
      </c>
      <c r="D462" t="s">
        <v>199</v>
      </c>
      <c r="F462" t="s">
        <v>208</v>
      </c>
      <c r="G462">
        <v>3.25</v>
      </c>
      <c r="H462" t="s">
        <v>448</v>
      </c>
    </row>
    <row r="463" spans="1:8" hidden="1">
      <c r="A463" t="s">
        <v>11</v>
      </c>
      <c r="B463">
        <v>2021</v>
      </c>
      <c r="C463" t="s">
        <v>33</v>
      </c>
      <c r="D463" t="s">
        <v>199</v>
      </c>
      <c r="F463" t="s">
        <v>208</v>
      </c>
      <c r="G463">
        <v>1.5</v>
      </c>
      <c r="H463" t="s">
        <v>449</v>
      </c>
    </row>
    <row r="464" spans="1:8" hidden="1">
      <c r="A464" t="s">
        <v>11</v>
      </c>
      <c r="B464">
        <v>2021</v>
      </c>
      <c r="C464" t="s">
        <v>33</v>
      </c>
      <c r="D464" t="s">
        <v>188</v>
      </c>
      <c r="F464" t="s">
        <v>208</v>
      </c>
      <c r="G464">
        <v>5.75</v>
      </c>
      <c r="H464" t="s">
        <v>450</v>
      </c>
    </row>
    <row r="465" spans="1:8" hidden="1">
      <c r="A465" t="s">
        <v>11</v>
      </c>
      <c r="B465">
        <v>2021</v>
      </c>
      <c r="C465" t="s">
        <v>33</v>
      </c>
      <c r="D465" t="s">
        <v>188</v>
      </c>
      <c r="F465" t="s">
        <v>208</v>
      </c>
      <c r="G465">
        <v>3</v>
      </c>
      <c r="H465" t="s">
        <v>451</v>
      </c>
    </row>
    <row r="466" spans="1:8" hidden="1">
      <c r="A466" t="s">
        <v>11</v>
      </c>
      <c r="B466">
        <v>2021</v>
      </c>
      <c r="C466" t="s">
        <v>33</v>
      </c>
      <c r="D466" t="s">
        <v>259</v>
      </c>
      <c r="F466" t="s">
        <v>208</v>
      </c>
      <c r="G466">
        <v>2.4</v>
      </c>
      <c r="H466" t="s">
        <v>452</v>
      </c>
    </row>
    <row r="467" spans="1:8" hidden="1">
      <c r="A467" t="s">
        <v>11</v>
      </c>
      <c r="B467">
        <v>2021</v>
      </c>
      <c r="C467" t="s">
        <v>33</v>
      </c>
      <c r="D467" t="s">
        <v>188</v>
      </c>
      <c r="F467" t="s">
        <v>208</v>
      </c>
      <c r="G467">
        <v>0.25</v>
      </c>
      <c r="H467" t="s">
        <v>453</v>
      </c>
    </row>
    <row r="468" spans="1:8" hidden="1">
      <c r="A468" t="s">
        <v>11</v>
      </c>
      <c r="B468">
        <v>2021</v>
      </c>
      <c r="C468" t="s">
        <v>33</v>
      </c>
      <c r="D468" t="s">
        <v>203</v>
      </c>
      <c r="F468" t="s">
        <v>208</v>
      </c>
      <c r="G468">
        <v>2.4</v>
      </c>
      <c r="H468" t="s">
        <v>454</v>
      </c>
    </row>
    <row r="469" spans="1:8" hidden="1">
      <c r="A469" t="s">
        <v>11</v>
      </c>
      <c r="B469">
        <v>2021</v>
      </c>
      <c r="C469" t="s">
        <v>34</v>
      </c>
      <c r="D469" t="s">
        <v>180</v>
      </c>
      <c r="F469" t="s">
        <v>181</v>
      </c>
      <c r="G469">
        <v>6</v>
      </c>
      <c r="H469" t="s">
        <v>273</v>
      </c>
    </row>
    <row r="470" spans="1:8" hidden="1">
      <c r="A470" t="s">
        <v>11</v>
      </c>
      <c r="B470">
        <v>2021</v>
      </c>
      <c r="C470" t="s">
        <v>34</v>
      </c>
      <c r="D470" t="s">
        <v>180</v>
      </c>
      <c r="F470" t="s">
        <v>181</v>
      </c>
      <c r="G470">
        <v>2</v>
      </c>
      <c r="H470" t="s">
        <v>437</v>
      </c>
    </row>
    <row r="471" spans="1:8" hidden="1">
      <c r="A471" t="s">
        <v>11</v>
      </c>
      <c r="B471">
        <v>2021</v>
      </c>
      <c r="C471" t="s">
        <v>34</v>
      </c>
      <c r="D471" t="s">
        <v>184</v>
      </c>
      <c r="F471" t="s">
        <v>181</v>
      </c>
      <c r="G471">
        <v>2</v>
      </c>
      <c r="H471" t="s">
        <v>185</v>
      </c>
    </row>
    <row r="472" spans="1:8" hidden="1">
      <c r="A472" t="s">
        <v>11</v>
      </c>
      <c r="B472">
        <v>2021</v>
      </c>
      <c r="C472" t="s">
        <v>34</v>
      </c>
      <c r="D472" t="s">
        <v>180</v>
      </c>
      <c r="F472" t="s">
        <v>181</v>
      </c>
      <c r="G472">
        <v>1</v>
      </c>
      <c r="H472" t="s">
        <v>455</v>
      </c>
    </row>
    <row r="473" spans="1:8" hidden="1">
      <c r="A473" t="s">
        <v>11</v>
      </c>
      <c r="B473">
        <v>2021</v>
      </c>
      <c r="C473" t="s">
        <v>34</v>
      </c>
      <c r="D473" t="s">
        <v>180</v>
      </c>
      <c r="F473" t="s">
        <v>181</v>
      </c>
      <c r="G473">
        <v>1</v>
      </c>
      <c r="H473" t="s">
        <v>456</v>
      </c>
    </row>
    <row r="474" spans="1:8" hidden="1">
      <c r="A474" t="s">
        <v>11</v>
      </c>
      <c r="B474">
        <v>2021</v>
      </c>
      <c r="C474" t="s">
        <v>34</v>
      </c>
      <c r="D474" t="s">
        <v>188</v>
      </c>
      <c r="F474" t="s">
        <v>181</v>
      </c>
      <c r="G474">
        <v>4</v>
      </c>
      <c r="H474" t="s">
        <v>457</v>
      </c>
    </row>
    <row r="475" spans="1:8" hidden="1">
      <c r="A475" t="s">
        <v>11</v>
      </c>
      <c r="B475">
        <v>2021</v>
      </c>
      <c r="C475" t="s">
        <v>34</v>
      </c>
      <c r="D475" t="s">
        <v>180</v>
      </c>
      <c r="F475" t="s">
        <v>181</v>
      </c>
      <c r="G475">
        <v>2</v>
      </c>
      <c r="H475" t="s">
        <v>458</v>
      </c>
    </row>
    <row r="476" spans="1:8" hidden="1">
      <c r="A476" t="s">
        <v>11</v>
      </c>
      <c r="B476">
        <v>2021</v>
      </c>
      <c r="C476" t="s">
        <v>34</v>
      </c>
      <c r="D476" t="s">
        <v>180</v>
      </c>
      <c r="F476" t="s">
        <v>181</v>
      </c>
      <c r="G476">
        <v>1</v>
      </c>
      <c r="H476" t="s">
        <v>459</v>
      </c>
    </row>
    <row r="477" spans="1:8" hidden="1">
      <c r="A477" t="s">
        <v>11</v>
      </c>
      <c r="B477">
        <v>2021</v>
      </c>
      <c r="C477" t="s">
        <v>34</v>
      </c>
      <c r="D477" t="s">
        <v>200</v>
      </c>
      <c r="F477" t="s">
        <v>181</v>
      </c>
      <c r="G477">
        <v>1</v>
      </c>
      <c r="H477" t="s">
        <v>460</v>
      </c>
    </row>
    <row r="478" spans="1:8" hidden="1">
      <c r="A478" t="s">
        <v>11</v>
      </c>
      <c r="B478">
        <v>2021</v>
      </c>
      <c r="C478" t="s">
        <v>34</v>
      </c>
      <c r="D478" t="s">
        <v>197</v>
      </c>
      <c r="F478" t="s">
        <v>181</v>
      </c>
      <c r="G478">
        <v>0.25</v>
      </c>
      <c r="H478" t="s">
        <v>202</v>
      </c>
    </row>
    <row r="479" spans="1:8" hidden="1">
      <c r="A479" t="s">
        <v>11</v>
      </c>
      <c r="B479">
        <v>2021</v>
      </c>
      <c r="C479" t="s">
        <v>34</v>
      </c>
      <c r="D479" t="s">
        <v>199</v>
      </c>
      <c r="F479" t="s">
        <v>181</v>
      </c>
      <c r="G479">
        <v>0.25</v>
      </c>
      <c r="H479" t="s">
        <v>461</v>
      </c>
    </row>
    <row r="480" spans="1:8" hidden="1">
      <c r="A480" t="s">
        <v>11</v>
      </c>
      <c r="B480">
        <v>2021</v>
      </c>
      <c r="C480" t="s">
        <v>34</v>
      </c>
      <c r="D480" t="s">
        <v>180</v>
      </c>
      <c r="F480" t="s">
        <v>181</v>
      </c>
      <c r="G480">
        <v>1</v>
      </c>
      <c r="H480" t="s">
        <v>462</v>
      </c>
    </row>
    <row r="481" spans="1:8" hidden="1">
      <c r="A481" t="s">
        <v>11</v>
      </c>
      <c r="B481">
        <v>2021</v>
      </c>
      <c r="C481" t="s">
        <v>34</v>
      </c>
      <c r="D481" t="s">
        <v>180</v>
      </c>
      <c r="F481" t="s">
        <v>181</v>
      </c>
      <c r="G481">
        <v>0</v>
      </c>
      <c r="H481" t="s">
        <v>195</v>
      </c>
    </row>
    <row r="482" spans="1:8" hidden="1">
      <c r="A482" t="s">
        <v>11</v>
      </c>
      <c r="B482">
        <v>2021</v>
      </c>
      <c r="C482" t="s">
        <v>34</v>
      </c>
      <c r="D482" t="s">
        <v>203</v>
      </c>
      <c r="F482" t="s">
        <v>181</v>
      </c>
      <c r="G482">
        <v>1</v>
      </c>
      <c r="H482" t="s">
        <v>463</v>
      </c>
    </row>
    <row r="483" spans="1:8" hidden="1">
      <c r="A483" t="s">
        <v>11</v>
      </c>
      <c r="B483">
        <v>2021</v>
      </c>
      <c r="C483" t="s">
        <v>34</v>
      </c>
      <c r="D483" t="s">
        <v>197</v>
      </c>
      <c r="F483" t="s">
        <v>181</v>
      </c>
      <c r="G483">
        <v>3.5</v>
      </c>
      <c r="H483" t="s">
        <v>464</v>
      </c>
    </row>
    <row r="484" spans="1:8" hidden="1">
      <c r="A484" t="s">
        <v>11</v>
      </c>
      <c r="B484">
        <v>2021</v>
      </c>
      <c r="C484" t="s">
        <v>34</v>
      </c>
      <c r="D484" t="s">
        <v>197</v>
      </c>
      <c r="F484" t="s">
        <v>181</v>
      </c>
      <c r="G484">
        <v>1</v>
      </c>
      <c r="H484" t="s">
        <v>367</v>
      </c>
    </row>
    <row r="485" spans="1:8" hidden="1">
      <c r="A485" t="s">
        <v>11</v>
      </c>
      <c r="B485">
        <v>2021</v>
      </c>
      <c r="C485" t="s">
        <v>34</v>
      </c>
      <c r="D485" t="s">
        <v>191</v>
      </c>
      <c r="F485" t="s">
        <v>181</v>
      </c>
      <c r="G485">
        <v>1.6</v>
      </c>
      <c r="H485" t="s">
        <v>465</v>
      </c>
    </row>
    <row r="486" spans="1:8" hidden="1">
      <c r="A486" t="s">
        <v>11</v>
      </c>
      <c r="B486">
        <v>2021</v>
      </c>
      <c r="C486" t="s">
        <v>34</v>
      </c>
      <c r="D486" t="s">
        <v>180</v>
      </c>
      <c r="F486" t="s">
        <v>181</v>
      </c>
      <c r="G486">
        <v>4</v>
      </c>
      <c r="H486" t="s">
        <v>466</v>
      </c>
    </row>
    <row r="487" spans="1:8" hidden="1">
      <c r="A487" t="s">
        <v>11</v>
      </c>
      <c r="B487">
        <v>2021</v>
      </c>
      <c r="C487" t="s">
        <v>34</v>
      </c>
      <c r="D487" t="s">
        <v>203</v>
      </c>
      <c r="F487" t="s">
        <v>181</v>
      </c>
      <c r="G487">
        <v>1.5</v>
      </c>
      <c r="H487" t="s">
        <v>467</v>
      </c>
    </row>
    <row r="488" spans="1:8" hidden="1">
      <c r="A488" t="s">
        <v>11</v>
      </c>
      <c r="B488">
        <v>2021</v>
      </c>
      <c r="C488" t="s">
        <v>34</v>
      </c>
      <c r="D488" t="s">
        <v>199</v>
      </c>
      <c r="F488" t="s">
        <v>181</v>
      </c>
      <c r="G488">
        <v>10</v>
      </c>
      <c r="H488" t="s">
        <v>468</v>
      </c>
    </row>
    <row r="489" spans="1:8" hidden="1">
      <c r="A489" t="s">
        <v>11</v>
      </c>
      <c r="B489">
        <v>2021</v>
      </c>
      <c r="C489" t="s">
        <v>34</v>
      </c>
      <c r="D489" t="s">
        <v>199</v>
      </c>
      <c r="F489" t="s">
        <v>181</v>
      </c>
      <c r="G489">
        <v>9</v>
      </c>
      <c r="H489" t="s">
        <v>469</v>
      </c>
    </row>
    <row r="490" spans="1:8" hidden="1">
      <c r="A490" t="s">
        <v>11</v>
      </c>
      <c r="B490">
        <v>2021</v>
      </c>
      <c r="C490" t="s">
        <v>34</v>
      </c>
      <c r="D490" t="s">
        <v>188</v>
      </c>
      <c r="F490" t="s">
        <v>208</v>
      </c>
      <c r="G490">
        <v>12.4</v>
      </c>
      <c r="H490" t="s">
        <v>470</v>
      </c>
    </row>
    <row r="491" spans="1:8" hidden="1">
      <c r="A491" t="s">
        <v>11</v>
      </c>
      <c r="B491">
        <v>2021</v>
      </c>
      <c r="C491" t="s">
        <v>34</v>
      </c>
      <c r="D491" t="s">
        <v>180</v>
      </c>
      <c r="F491" t="s">
        <v>208</v>
      </c>
      <c r="G491">
        <v>5.0999999999999996</v>
      </c>
      <c r="H491" t="s">
        <v>471</v>
      </c>
    </row>
    <row r="492" spans="1:8" hidden="1">
      <c r="A492" t="s">
        <v>11</v>
      </c>
      <c r="B492">
        <v>2021</v>
      </c>
      <c r="C492" t="s">
        <v>34</v>
      </c>
      <c r="D492" t="s">
        <v>203</v>
      </c>
      <c r="F492" t="s">
        <v>208</v>
      </c>
      <c r="G492">
        <v>2.4</v>
      </c>
      <c r="H492" t="s">
        <v>472</v>
      </c>
    </row>
    <row r="493" spans="1:8" hidden="1">
      <c r="A493" t="s">
        <v>11</v>
      </c>
      <c r="B493">
        <v>2021</v>
      </c>
      <c r="C493" t="s">
        <v>34</v>
      </c>
      <c r="D493" t="s">
        <v>180</v>
      </c>
      <c r="F493" t="s">
        <v>208</v>
      </c>
      <c r="G493">
        <v>1.6</v>
      </c>
      <c r="H493" t="s">
        <v>473</v>
      </c>
    </row>
    <row r="494" spans="1:8" hidden="1">
      <c r="A494" t="s">
        <v>11</v>
      </c>
      <c r="B494">
        <v>2021</v>
      </c>
      <c r="C494" t="s">
        <v>34</v>
      </c>
      <c r="D494" t="s">
        <v>199</v>
      </c>
      <c r="F494" t="s">
        <v>208</v>
      </c>
      <c r="G494">
        <v>0.6</v>
      </c>
      <c r="H494" t="s">
        <v>474</v>
      </c>
    </row>
    <row r="495" spans="1:8" hidden="1">
      <c r="A495" t="s">
        <v>11</v>
      </c>
      <c r="B495">
        <v>2021</v>
      </c>
      <c r="C495" t="s">
        <v>34</v>
      </c>
      <c r="D495" t="s">
        <v>199</v>
      </c>
      <c r="F495" t="s">
        <v>208</v>
      </c>
      <c r="G495">
        <v>1</v>
      </c>
      <c r="H495" t="s">
        <v>475</v>
      </c>
    </row>
    <row r="496" spans="1:8" hidden="1">
      <c r="A496" t="s">
        <v>11</v>
      </c>
      <c r="B496">
        <v>2021</v>
      </c>
      <c r="C496" t="s">
        <v>34</v>
      </c>
      <c r="D496" t="s">
        <v>199</v>
      </c>
      <c r="F496" t="s">
        <v>208</v>
      </c>
      <c r="G496">
        <v>10</v>
      </c>
      <c r="H496" t="s">
        <v>476</v>
      </c>
    </row>
    <row r="497" spans="1:8" hidden="1">
      <c r="A497" t="s">
        <v>11</v>
      </c>
      <c r="B497">
        <v>2021</v>
      </c>
      <c r="C497" t="s">
        <v>34</v>
      </c>
      <c r="D497" t="s">
        <v>199</v>
      </c>
      <c r="F497" t="s">
        <v>208</v>
      </c>
      <c r="G497">
        <v>10</v>
      </c>
      <c r="H497" t="s">
        <v>477</v>
      </c>
    </row>
    <row r="498" spans="1:8" hidden="1">
      <c r="A498" t="s">
        <v>11</v>
      </c>
      <c r="B498">
        <v>2021</v>
      </c>
      <c r="C498" t="s">
        <v>38</v>
      </c>
      <c r="D498" t="s">
        <v>180</v>
      </c>
      <c r="F498" t="s">
        <v>181</v>
      </c>
      <c r="G498">
        <v>6</v>
      </c>
      <c r="H498" t="s">
        <v>273</v>
      </c>
    </row>
    <row r="499" spans="1:8" hidden="1">
      <c r="A499" t="s">
        <v>11</v>
      </c>
      <c r="B499">
        <v>2021</v>
      </c>
      <c r="C499" t="s">
        <v>38</v>
      </c>
      <c r="D499" t="s">
        <v>180</v>
      </c>
      <c r="F499" t="s">
        <v>181</v>
      </c>
      <c r="G499">
        <v>2</v>
      </c>
      <c r="H499" t="s">
        <v>478</v>
      </c>
    </row>
    <row r="500" spans="1:8" hidden="1">
      <c r="A500" t="s">
        <v>11</v>
      </c>
      <c r="B500">
        <v>2021</v>
      </c>
      <c r="C500" t="s">
        <v>38</v>
      </c>
      <c r="D500" t="s">
        <v>184</v>
      </c>
      <c r="F500" t="s">
        <v>181</v>
      </c>
      <c r="G500">
        <v>2</v>
      </c>
      <c r="H500" t="s">
        <v>185</v>
      </c>
    </row>
    <row r="501" spans="1:8" hidden="1">
      <c r="A501" t="s">
        <v>11</v>
      </c>
      <c r="B501">
        <v>2021</v>
      </c>
      <c r="C501" t="s">
        <v>38</v>
      </c>
      <c r="D501" t="s">
        <v>180</v>
      </c>
      <c r="F501" t="s">
        <v>181</v>
      </c>
      <c r="G501">
        <v>1</v>
      </c>
      <c r="H501" t="s">
        <v>455</v>
      </c>
    </row>
    <row r="502" spans="1:8" hidden="1">
      <c r="A502" t="s">
        <v>11</v>
      </c>
      <c r="B502">
        <v>2021</v>
      </c>
      <c r="C502" t="s">
        <v>38</v>
      </c>
      <c r="D502" t="s">
        <v>180</v>
      </c>
      <c r="F502" t="s">
        <v>181</v>
      </c>
      <c r="G502">
        <v>1</v>
      </c>
      <c r="H502" t="s">
        <v>439</v>
      </c>
    </row>
    <row r="503" spans="1:8" hidden="1">
      <c r="A503" t="s">
        <v>11</v>
      </c>
      <c r="B503">
        <v>2021</v>
      </c>
      <c r="C503" t="s">
        <v>38</v>
      </c>
      <c r="D503" t="s">
        <v>188</v>
      </c>
      <c r="F503" t="s">
        <v>181</v>
      </c>
      <c r="G503">
        <v>4</v>
      </c>
      <c r="H503" t="s">
        <v>479</v>
      </c>
    </row>
    <row r="504" spans="1:8" hidden="1">
      <c r="A504" t="s">
        <v>11</v>
      </c>
      <c r="B504">
        <v>2021</v>
      </c>
      <c r="C504" t="s">
        <v>38</v>
      </c>
      <c r="D504" t="s">
        <v>180</v>
      </c>
      <c r="F504" t="s">
        <v>181</v>
      </c>
      <c r="G504">
        <v>2</v>
      </c>
      <c r="H504" t="s">
        <v>480</v>
      </c>
    </row>
    <row r="505" spans="1:8" hidden="1">
      <c r="A505" t="s">
        <v>11</v>
      </c>
      <c r="B505">
        <v>2021</v>
      </c>
      <c r="C505" t="s">
        <v>38</v>
      </c>
      <c r="D505" t="s">
        <v>180</v>
      </c>
      <c r="F505" t="s">
        <v>181</v>
      </c>
      <c r="G505">
        <v>1</v>
      </c>
      <c r="H505" t="s">
        <v>481</v>
      </c>
    </row>
    <row r="506" spans="1:8" hidden="1">
      <c r="A506" t="s">
        <v>11</v>
      </c>
      <c r="B506">
        <v>2021</v>
      </c>
      <c r="C506" t="s">
        <v>38</v>
      </c>
      <c r="D506" t="s">
        <v>200</v>
      </c>
      <c r="F506" t="s">
        <v>181</v>
      </c>
      <c r="G506">
        <v>1</v>
      </c>
      <c r="H506" t="s">
        <v>482</v>
      </c>
    </row>
    <row r="507" spans="1:8" hidden="1">
      <c r="A507" t="s">
        <v>11</v>
      </c>
      <c r="B507">
        <v>2021</v>
      </c>
      <c r="C507" t="s">
        <v>38</v>
      </c>
      <c r="D507" t="s">
        <v>203</v>
      </c>
      <c r="F507" t="s">
        <v>181</v>
      </c>
      <c r="G507">
        <v>1</v>
      </c>
      <c r="H507" t="s">
        <v>201</v>
      </c>
    </row>
    <row r="508" spans="1:8" hidden="1">
      <c r="A508" t="s">
        <v>11</v>
      </c>
      <c r="B508">
        <v>2021</v>
      </c>
      <c r="C508" t="s">
        <v>38</v>
      </c>
      <c r="D508" t="s">
        <v>197</v>
      </c>
      <c r="F508" t="s">
        <v>181</v>
      </c>
      <c r="G508">
        <v>0.25</v>
      </c>
      <c r="H508" t="s">
        <v>202</v>
      </c>
    </row>
    <row r="509" spans="1:8" hidden="1">
      <c r="A509" t="s">
        <v>11</v>
      </c>
      <c r="B509">
        <v>2021</v>
      </c>
      <c r="C509" t="s">
        <v>38</v>
      </c>
      <c r="D509" t="s">
        <v>199</v>
      </c>
      <c r="F509" t="s">
        <v>181</v>
      </c>
      <c r="G509">
        <v>0.25</v>
      </c>
      <c r="H509" t="s">
        <v>382</v>
      </c>
    </row>
    <row r="510" spans="1:8" hidden="1">
      <c r="A510" t="s">
        <v>11</v>
      </c>
      <c r="B510">
        <v>2021</v>
      </c>
      <c r="C510" t="s">
        <v>38</v>
      </c>
      <c r="D510" t="s">
        <v>197</v>
      </c>
      <c r="F510" t="s">
        <v>181</v>
      </c>
      <c r="G510">
        <v>0.45</v>
      </c>
      <c r="H510" t="s">
        <v>367</v>
      </c>
    </row>
    <row r="511" spans="1:8" hidden="1">
      <c r="A511" t="s">
        <v>11</v>
      </c>
      <c r="B511">
        <v>2021</v>
      </c>
      <c r="C511" t="s">
        <v>38</v>
      </c>
      <c r="D511" t="s">
        <v>199</v>
      </c>
      <c r="F511" t="s">
        <v>181</v>
      </c>
      <c r="G511">
        <v>0.45</v>
      </c>
      <c r="H511" t="s">
        <v>367</v>
      </c>
    </row>
    <row r="512" spans="1:8" hidden="1">
      <c r="A512" t="s">
        <v>11</v>
      </c>
      <c r="B512">
        <v>2021</v>
      </c>
      <c r="C512" t="s">
        <v>38</v>
      </c>
      <c r="D512" t="s">
        <v>180</v>
      </c>
      <c r="F512" t="s">
        <v>181</v>
      </c>
      <c r="G512">
        <v>1</v>
      </c>
      <c r="H512" t="s">
        <v>483</v>
      </c>
    </row>
    <row r="513" spans="1:8" hidden="1">
      <c r="A513" t="s">
        <v>11</v>
      </c>
      <c r="B513">
        <v>2021</v>
      </c>
      <c r="C513" t="s">
        <v>38</v>
      </c>
      <c r="D513" t="s">
        <v>180</v>
      </c>
      <c r="F513" t="s">
        <v>181</v>
      </c>
      <c r="G513">
        <v>1</v>
      </c>
      <c r="H513" t="s">
        <v>484</v>
      </c>
    </row>
    <row r="514" spans="1:8" hidden="1">
      <c r="A514" t="s">
        <v>11</v>
      </c>
      <c r="B514">
        <v>2021</v>
      </c>
      <c r="C514" t="s">
        <v>38</v>
      </c>
      <c r="D514" t="s">
        <v>180</v>
      </c>
      <c r="F514" t="s">
        <v>181</v>
      </c>
      <c r="G514">
        <v>3</v>
      </c>
      <c r="H514" t="s">
        <v>485</v>
      </c>
    </row>
    <row r="515" spans="1:8" hidden="1">
      <c r="A515" t="s">
        <v>11</v>
      </c>
      <c r="B515">
        <v>2021</v>
      </c>
      <c r="C515" t="s">
        <v>38</v>
      </c>
      <c r="D515" t="s">
        <v>180</v>
      </c>
      <c r="F515" t="s">
        <v>181</v>
      </c>
      <c r="G515">
        <v>2</v>
      </c>
      <c r="H515" t="s">
        <v>486</v>
      </c>
    </row>
    <row r="516" spans="1:8" hidden="1">
      <c r="A516" t="s">
        <v>11</v>
      </c>
      <c r="B516">
        <v>2021</v>
      </c>
      <c r="C516" t="s">
        <v>38</v>
      </c>
      <c r="D516" t="s">
        <v>203</v>
      </c>
      <c r="F516" t="s">
        <v>181</v>
      </c>
      <c r="G516">
        <v>2</v>
      </c>
      <c r="H516" t="s">
        <v>487</v>
      </c>
    </row>
    <row r="517" spans="1:8" hidden="1">
      <c r="A517" t="s">
        <v>11</v>
      </c>
      <c r="B517">
        <v>2021</v>
      </c>
      <c r="C517" t="s">
        <v>38</v>
      </c>
      <c r="D517" t="s">
        <v>259</v>
      </c>
      <c r="F517" t="s">
        <v>181</v>
      </c>
      <c r="G517">
        <v>0</v>
      </c>
      <c r="H517" t="s">
        <v>488</v>
      </c>
    </row>
    <row r="518" spans="1:8" hidden="1">
      <c r="A518" t="s">
        <v>11</v>
      </c>
      <c r="B518">
        <v>2021</v>
      </c>
      <c r="C518" t="s">
        <v>38</v>
      </c>
      <c r="D518" t="s">
        <v>191</v>
      </c>
      <c r="F518" t="s">
        <v>181</v>
      </c>
      <c r="G518">
        <v>1</v>
      </c>
      <c r="H518" t="s">
        <v>489</v>
      </c>
    </row>
    <row r="519" spans="1:8" hidden="1">
      <c r="A519" t="s">
        <v>11</v>
      </c>
      <c r="B519">
        <v>2021</v>
      </c>
      <c r="C519" t="s">
        <v>38</v>
      </c>
      <c r="D519" t="s">
        <v>199</v>
      </c>
      <c r="F519" t="s">
        <v>181</v>
      </c>
      <c r="G519">
        <v>0.9</v>
      </c>
      <c r="H519" t="s">
        <v>490</v>
      </c>
    </row>
    <row r="520" spans="1:8" hidden="1">
      <c r="A520" t="s">
        <v>11</v>
      </c>
      <c r="B520">
        <v>2021</v>
      </c>
      <c r="C520" t="s">
        <v>38</v>
      </c>
      <c r="D520" t="s">
        <v>203</v>
      </c>
      <c r="F520" t="s">
        <v>181</v>
      </c>
      <c r="G520">
        <v>0.45</v>
      </c>
      <c r="H520" t="s">
        <v>491</v>
      </c>
    </row>
    <row r="521" spans="1:8" hidden="1">
      <c r="A521" t="s">
        <v>11</v>
      </c>
      <c r="B521">
        <v>2021</v>
      </c>
      <c r="C521" t="s">
        <v>38</v>
      </c>
      <c r="D521" t="s">
        <v>199</v>
      </c>
      <c r="F521" t="s">
        <v>181</v>
      </c>
      <c r="G521">
        <v>0.25</v>
      </c>
      <c r="H521" t="s">
        <v>492</v>
      </c>
    </row>
    <row r="522" spans="1:8" hidden="1">
      <c r="A522" t="s">
        <v>11</v>
      </c>
      <c r="B522">
        <v>2021</v>
      </c>
      <c r="C522" t="s">
        <v>38</v>
      </c>
      <c r="D522" t="s">
        <v>199</v>
      </c>
      <c r="F522" t="s">
        <v>181</v>
      </c>
      <c r="G522">
        <v>0.2</v>
      </c>
      <c r="H522" t="s">
        <v>493</v>
      </c>
    </row>
    <row r="523" spans="1:8" hidden="1">
      <c r="A523" t="s">
        <v>11</v>
      </c>
      <c r="B523">
        <v>2021</v>
      </c>
      <c r="C523" t="s">
        <v>38</v>
      </c>
      <c r="D523" t="s">
        <v>199</v>
      </c>
      <c r="F523" t="s">
        <v>181</v>
      </c>
      <c r="G523">
        <v>2.25</v>
      </c>
      <c r="H523" t="s">
        <v>494</v>
      </c>
    </row>
    <row r="524" spans="1:8" hidden="1">
      <c r="A524" t="s">
        <v>11</v>
      </c>
      <c r="B524">
        <v>2021</v>
      </c>
      <c r="C524" t="s">
        <v>38</v>
      </c>
      <c r="D524" t="s">
        <v>259</v>
      </c>
      <c r="F524" t="s">
        <v>208</v>
      </c>
      <c r="G524">
        <v>4.25</v>
      </c>
      <c r="H524" t="s">
        <v>495</v>
      </c>
    </row>
    <row r="525" spans="1:8" hidden="1">
      <c r="A525" t="s">
        <v>11</v>
      </c>
      <c r="B525">
        <v>2021</v>
      </c>
      <c r="C525" t="s">
        <v>38</v>
      </c>
      <c r="D525" t="s">
        <v>203</v>
      </c>
      <c r="F525" t="s">
        <v>208</v>
      </c>
      <c r="G525">
        <v>1.5</v>
      </c>
      <c r="H525" t="s">
        <v>496</v>
      </c>
    </row>
    <row r="526" spans="1:8" hidden="1">
      <c r="A526" t="s">
        <v>11</v>
      </c>
      <c r="B526">
        <v>2021</v>
      </c>
      <c r="C526" t="s">
        <v>38</v>
      </c>
      <c r="D526" t="s">
        <v>199</v>
      </c>
      <c r="F526" t="s">
        <v>208</v>
      </c>
      <c r="G526">
        <v>0.5</v>
      </c>
      <c r="H526" t="s">
        <v>497</v>
      </c>
    </row>
    <row r="527" spans="1:8" hidden="1">
      <c r="A527" t="s">
        <v>11</v>
      </c>
      <c r="B527">
        <v>2021</v>
      </c>
      <c r="C527" t="s">
        <v>38</v>
      </c>
      <c r="D527" t="s">
        <v>180</v>
      </c>
      <c r="F527" t="s">
        <v>208</v>
      </c>
      <c r="G527">
        <v>3.45</v>
      </c>
      <c r="H527" t="s">
        <v>498</v>
      </c>
    </row>
    <row r="528" spans="1:8" hidden="1">
      <c r="A528" t="s">
        <v>11</v>
      </c>
      <c r="B528">
        <v>2021</v>
      </c>
      <c r="C528" t="s">
        <v>38</v>
      </c>
      <c r="D528" t="s">
        <v>199</v>
      </c>
      <c r="F528" t="s">
        <v>208</v>
      </c>
      <c r="G528">
        <v>5</v>
      </c>
      <c r="H528" t="s">
        <v>499</v>
      </c>
    </row>
    <row r="529" spans="1:8" hidden="1">
      <c r="A529" t="s">
        <v>11</v>
      </c>
      <c r="B529">
        <v>2021</v>
      </c>
      <c r="C529" t="s">
        <v>38</v>
      </c>
      <c r="D529" t="s">
        <v>199</v>
      </c>
      <c r="F529" t="s">
        <v>208</v>
      </c>
      <c r="G529">
        <v>3.5</v>
      </c>
      <c r="H529" t="s">
        <v>500</v>
      </c>
    </row>
    <row r="530" spans="1:8" hidden="1">
      <c r="A530" t="s">
        <v>11</v>
      </c>
      <c r="B530">
        <v>2021</v>
      </c>
      <c r="C530" t="s">
        <v>38</v>
      </c>
      <c r="D530" t="s">
        <v>203</v>
      </c>
      <c r="F530" t="s">
        <v>208</v>
      </c>
      <c r="G530">
        <v>4.3</v>
      </c>
      <c r="H530" t="s">
        <v>501</v>
      </c>
    </row>
    <row r="531" spans="1:8" hidden="1">
      <c r="A531" t="s">
        <v>11</v>
      </c>
      <c r="B531">
        <v>2021</v>
      </c>
      <c r="C531" t="s">
        <v>38</v>
      </c>
      <c r="D531" t="s">
        <v>191</v>
      </c>
      <c r="F531" t="s">
        <v>208</v>
      </c>
      <c r="G531">
        <v>0.45</v>
      </c>
      <c r="H531" t="s">
        <v>502</v>
      </c>
    </row>
    <row r="532" spans="1:8" hidden="1">
      <c r="A532" t="s">
        <v>11</v>
      </c>
      <c r="B532">
        <v>2021</v>
      </c>
      <c r="C532" t="s">
        <v>43</v>
      </c>
      <c r="D532" t="s">
        <v>180</v>
      </c>
      <c r="F532" t="s">
        <v>181</v>
      </c>
      <c r="G532">
        <v>6</v>
      </c>
      <c r="H532" t="s">
        <v>273</v>
      </c>
    </row>
    <row r="533" spans="1:8" hidden="1">
      <c r="A533" t="s">
        <v>11</v>
      </c>
      <c r="B533">
        <v>2021</v>
      </c>
      <c r="C533" t="s">
        <v>43</v>
      </c>
      <c r="D533" t="s">
        <v>180</v>
      </c>
      <c r="F533" t="s">
        <v>181</v>
      </c>
      <c r="G533">
        <v>2</v>
      </c>
      <c r="H533" t="s">
        <v>437</v>
      </c>
    </row>
    <row r="534" spans="1:8" hidden="1">
      <c r="A534" t="s">
        <v>11</v>
      </c>
      <c r="B534">
        <v>2021</v>
      </c>
      <c r="C534" t="s">
        <v>43</v>
      </c>
      <c r="D534" t="s">
        <v>184</v>
      </c>
      <c r="F534" t="s">
        <v>181</v>
      </c>
      <c r="G534">
        <v>2</v>
      </c>
      <c r="H534" t="s">
        <v>185</v>
      </c>
    </row>
    <row r="535" spans="1:8" hidden="1">
      <c r="A535" t="s">
        <v>11</v>
      </c>
      <c r="B535">
        <v>2021</v>
      </c>
      <c r="C535" t="s">
        <v>43</v>
      </c>
      <c r="D535" t="s">
        <v>180</v>
      </c>
      <c r="F535" t="s">
        <v>181</v>
      </c>
      <c r="G535">
        <v>1</v>
      </c>
      <c r="H535" t="s">
        <v>503</v>
      </c>
    </row>
    <row r="536" spans="1:8" hidden="1">
      <c r="A536" t="s">
        <v>11</v>
      </c>
      <c r="B536">
        <v>2021</v>
      </c>
      <c r="C536" t="s">
        <v>43</v>
      </c>
      <c r="D536" t="s">
        <v>180</v>
      </c>
      <c r="F536" t="s">
        <v>181</v>
      </c>
      <c r="G536">
        <v>1</v>
      </c>
      <c r="H536" t="s">
        <v>439</v>
      </c>
    </row>
    <row r="537" spans="1:8" hidden="1">
      <c r="A537" t="s">
        <v>11</v>
      </c>
      <c r="B537">
        <v>2021</v>
      </c>
      <c r="C537" t="s">
        <v>43</v>
      </c>
      <c r="D537" t="s">
        <v>188</v>
      </c>
      <c r="F537" t="s">
        <v>181</v>
      </c>
      <c r="G537">
        <v>4</v>
      </c>
      <c r="H537" t="s">
        <v>504</v>
      </c>
    </row>
    <row r="538" spans="1:8" hidden="1">
      <c r="A538" t="s">
        <v>11</v>
      </c>
      <c r="B538">
        <v>2021</v>
      </c>
      <c r="C538" t="s">
        <v>43</v>
      </c>
      <c r="D538" t="s">
        <v>180</v>
      </c>
      <c r="F538" t="s">
        <v>181</v>
      </c>
      <c r="G538">
        <v>2</v>
      </c>
      <c r="H538" t="s">
        <v>505</v>
      </c>
    </row>
    <row r="539" spans="1:8" hidden="1">
      <c r="A539" t="s">
        <v>11</v>
      </c>
      <c r="B539">
        <v>2021</v>
      </c>
      <c r="C539" t="s">
        <v>43</v>
      </c>
      <c r="D539" t="s">
        <v>180</v>
      </c>
      <c r="F539" t="s">
        <v>181</v>
      </c>
      <c r="G539">
        <v>1</v>
      </c>
      <c r="H539" t="s">
        <v>506</v>
      </c>
    </row>
    <row r="540" spans="1:8" hidden="1">
      <c r="A540" t="s">
        <v>11</v>
      </c>
      <c r="B540">
        <v>2021</v>
      </c>
      <c r="C540" t="s">
        <v>43</v>
      </c>
      <c r="D540" t="s">
        <v>203</v>
      </c>
      <c r="F540" t="s">
        <v>181</v>
      </c>
      <c r="G540">
        <v>3</v>
      </c>
      <c r="H540" t="s">
        <v>507</v>
      </c>
    </row>
    <row r="541" spans="1:8" hidden="1">
      <c r="A541" t="s">
        <v>11</v>
      </c>
      <c r="B541">
        <v>2021</v>
      </c>
      <c r="C541" t="s">
        <v>43</v>
      </c>
      <c r="D541" t="s">
        <v>200</v>
      </c>
      <c r="F541" t="s">
        <v>181</v>
      </c>
      <c r="G541">
        <v>1</v>
      </c>
      <c r="H541" t="s">
        <v>201</v>
      </c>
    </row>
    <row r="542" spans="1:8" hidden="1">
      <c r="A542" t="s">
        <v>11</v>
      </c>
      <c r="B542">
        <v>2021</v>
      </c>
      <c r="C542" t="s">
        <v>43</v>
      </c>
      <c r="D542" t="s">
        <v>197</v>
      </c>
      <c r="F542" t="s">
        <v>181</v>
      </c>
      <c r="G542">
        <v>0.25</v>
      </c>
      <c r="H542" t="s">
        <v>382</v>
      </c>
    </row>
    <row r="543" spans="1:8" hidden="1">
      <c r="A543" t="s">
        <v>11</v>
      </c>
      <c r="B543">
        <v>2021</v>
      </c>
      <c r="C543" t="s">
        <v>43</v>
      </c>
      <c r="D543" t="s">
        <v>199</v>
      </c>
      <c r="F543" t="s">
        <v>181</v>
      </c>
      <c r="G543">
        <v>0.25</v>
      </c>
      <c r="H543" t="s">
        <v>382</v>
      </c>
    </row>
    <row r="544" spans="1:8" hidden="1">
      <c r="A544" t="s">
        <v>11</v>
      </c>
      <c r="B544">
        <v>2021</v>
      </c>
      <c r="C544" t="s">
        <v>43</v>
      </c>
      <c r="D544" t="s">
        <v>203</v>
      </c>
      <c r="F544" t="s">
        <v>181</v>
      </c>
      <c r="G544">
        <v>1.5</v>
      </c>
      <c r="H544" t="s">
        <v>508</v>
      </c>
    </row>
    <row r="545" spans="1:8" hidden="1">
      <c r="A545" t="s">
        <v>11</v>
      </c>
      <c r="B545">
        <v>2021</v>
      </c>
      <c r="C545" t="s">
        <v>43</v>
      </c>
      <c r="D545" t="s">
        <v>193</v>
      </c>
      <c r="F545" t="s">
        <v>181</v>
      </c>
      <c r="G545">
        <v>1.9</v>
      </c>
      <c r="H545" t="s">
        <v>509</v>
      </c>
    </row>
    <row r="546" spans="1:8" hidden="1">
      <c r="A546" t="s">
        <v>11</v>
      </c>
      <c r="B546">
        <v>2021</v>
      </c>
      <c r="C546" t="s">
        <v>43</v>
      </c>
      <c r="D546" t="s">
        <v>180</v>
      </c>
      <c r="F546" t="s">
        <v>181</v>
      </c>
      <c r="G546">
        <v>1</v>
      </c>
      <c r="H546" t="s">
        <v>510</v>
      </c>
    </row>
    <row r="547" spans="1:8" hidden="1">
      <c r="A547" t="s">
        <v>11</v>
      </c>
      <c r="B547">
        <v>2021</v>
      </c>
      <c r="C547" t="s">
        <v>43</v>
      </c>
      <c r="D547" t="s">
        <v>180</v>
      </c>
      <c r="F547" t="s">
        <v>181</v>
      </c>
      <c r="G547">
        <v>1</v>
      </c>
      <c r="H547" t="s">
        <v>483</v>
      </c>
    </row>
    <row r="548" spans="1:8" hidden="1">
      <c r="A548" t="s">
        <v>11</v>
      </c>
      <c r="B548">
        <v>2021</v>
      </c>
      <c r="C548" t="s">
        <v>43</v>
      </c>
      <c r="D548" t="s">
        <v>203</v>
      </c>
      <c r="F548" t="s">
        <v>208</v>
      </c>
      <c r="G548">
        <v>14.26</v>
      </c>
      <c r="H548" t="s">
        <v>511</v>
      </c>
    </row>
    <row r="549" spans="1:8" hidden="1">
      <c r="A549" t="s">
        <v>11</v>
      </c>
      <c r="B549">
        <v>2021</v>
      </c>
      <c r="C549" t="s">
        <v>43</v>
      </c>
      <c r="D549" t="s">
        <v>180</v>
      </c>
      <c r="F549" t="s">
        <v>208</v>
      </c>
      <c r="G549">
        <v>3.75</v>
      </c>
      <c r="H549" t="s">
        <v>512</v>
      </c>
    </row>
    <row r="550" spans="1:8" hidden="1">
      <c r="A550" t="s">
        <v>11</v>
      </c>
      <c r="B550">
        <v>2021</v>
      </c>
      <c r="C550" t="s">
        <v>43</v>
      </c>
      <c r="D550" t="s">
        <v>180</v>
      </c>
      <c r="F550" t="s">
        <v>208</v>
      </c>
      <c r="G550">
        <v>1.9</v>
      </c>
      <c r="H550" t="s">
        <v>513</v>
      </c>
    </row>
    <row r="551" spans="1:8" hidden="1">
      <c r="A551" t="s">
        <v>11</v>
      </c>
      <c r="B551">
        <v>2021</v>
      </c>
      <c r="C551" t="s">
        <v>43</v>
      </c>
      <c r="D551" t="s">
        <v>188</v>
      </c>
      <c r="F551" t="s">
        <v>208</v>
      </c>
      <c r="G551">
        <v>3.4</v>
      </c>
      <c r="H551" t="s">
        <v>514</v>
      </c>
    </row>
    <row r="552" spans="1:8" hidden="1">
      <c r="A552" t="s">
        <v>11</v>
      </c>
      <c r="B552">
        <v>2021</v>
      </c>
      <c r="C552" t="s">
        <v>45</v>
      </c>
      <c r="D552" t="s">
        <v>180</v>
      </c>
      <c r="F552" t="s">
        <v>181</v>
      </c>
      <c r="G552">
        <v>6</v>
      </c>
      <c r="H552" t="s">
        <v>436</v>
      </c>
    </row>
    <row r="553" spans="1:8" hidden="1">
      <c r="A553" t="s">
        <v>11</v>
      </c>
      <c r="B553">
        <v>2021</v>
      </c>
      <c r="C553" t="s">
        <v>45</v>
      </c>
      <c r="D553" t="s">
        <v>180</v>
      </c>
      <c r="F553" t="s">
        <v>181</v>
      </c>
      <c r="G553">
        <v>2</v>
      </c>
      <c r="H553" t="s">
        <v>515</v>
      </c>
    </row>
    <row r="554" spans="1:8" hidden="1">
      <c r="A554" t="s">
        <v>11</v>
      </c>
      <c r="B554">
        <v>2021</v>
      </c>
      <c r="C554" t="s">
        <v>45</v>
      </c>
      <c r="D554" t="s">
        <v>184</v>
      </c>
      <c r="F554" t="s">
        <v>181</v>
      </c>
      <c r="G554">
        <v>2</v>
      </c>
      <c r="H554" t="s">
        <v>185</v>
      </c>
    </row>
    <row r="555" spans="1:8" hidden="1">
      <c r="A555" t="s">
        <v>11</v>
      </c>
      <c r="B555">
        <v>2021</v>
      </c>
      <c r="C555" t="s">
        <v>45</v>
      </c>
      <c r="D555" t="s">
        <v>180</v>
      </c>
      <c r="F555" t="s">
        <v>181</v>
      </c>
      <c r="G555">
        <v>1</v>
      </c>
      <c r="H555" t="s">
        <v>503</v>
      </c>
    </row>
    <row r="556" spans="1:8" hidden="1">
      <c r="A556" t="s">
        <v>11</v>
      </c>
      <c r="B556">
        <v>2021</v>
      </c>
      <c r="C556" t="s">
        <v>45</v>
      </c>
      <c r="D556" t="s">
        <v>180</v>
      </c>
      <c r="F556" t="s">
        <v>181</v>
      </c>
      <c r="G556">
        <v>1</v>
      </c>
      <c r="H556" t="s">
        <v>516</v>
      </c>
    </row>
    <row r="557" spans="1:8" hidden="1">
      <c r="A557" t="s">
        <v>11</v>
      </c>
      <c r="B557">
        <v>2021</v>
      </c>
      <c r="C557" t="s">
        <v>45</v>
      </c>
      <c r="D557" t="s">
        <v>188</v>
      </c>
      <c r="F557" t="s">
        <v>181</v>
      </c>
      <c r="G557">
        <v>4</v>
      </c>
      <c r="H557" t="s">
        <v>240</v>
      </c>
    </row>
    <row r="558" spans="1:8" hidden="1">
      <c r="A558" t="s">
        <v>11</v>
      </c>
      <c r="B558">
        <v>2021</v>
      </c>
      <c r="C558" t="s">
        <v>45</v>
      </c>
      <c r="D558" t="s">
        <v>180</v>
      </c>
      <c r="F558" t="s">
        <v>181</v>
      </c>
      <c r="G558">
        <v>2</v>
      </c>
      <c r="H558" t="s">
        <v>505</v>
      </c>
    </row>
    <row r="559" spans="1:8" hidden="1">
      <c r="A559" t="s">
        <v>11</v>
      </c>
      <c r="B559">
        <v>2021</v>
      </c>
      <c r="C559" t="s">
        <v>45</v>
      </c>
      <c r="D559" t="s">
        <v>200</v>
      </c>
      <c r="F559" t="s">
        <v>181</v>
      </c>
      <c r="G559">
        <v>1</v>
      </c>
      <c r="H559" t="s">
        <v>201</v>
      </c>
    </row>
    <row r="560" spans="1:8" hidden="1">
      <c r="A560" t="s">
        <v>11</v>
      </c>
      <c r="B560">
        <v>2021</v>
      </c>
      <c r="C560" t="s">
        <v>45</v>
      </c>
      <c r="D560" t="s">
        <v>180</v>
      </c>
      <c r="F560" t="s">
        <v>181</v>
      </c>
      <c r="G560">
        <v>1</v>
      </c>
      <c r="H560" t="s">
        <v>517</v>
      </c>
    </row>
    <row r="561" spans="1:8" hidden="1">
      <c r="A561" t="s">
        <v>11</v>
      </c>
      <c r="B561">
        <v>2021</v>
      </c>
      <c r="C561" t="s">
        <v>45</v>
      </c>
      <c r="D561" t="s">
        <v>197</v>
      </c>
      <c r="F561" t="s">
        <v>181</v>
      </c>
      <c r="G561">
        <v>0.25</v>
      </c>
      <c r="H561" t="s">
        <v>518</v>
      </c>
    </row>
    <row r="562" spans="1:8" hidden="1">
      <c r="A562" t="s">
        <v>11</v>
      </c>
      <c r="B562">
        <v>2021</v>
      </c>
      <c r="C562" t="s">
        <v>45</v>
      </c>
      <c r="D562" t="s">
        <v>199</v>
      </c>
      <c r="F562" t="s">
        <v>181</v>
      </c>
      <c r="G562">
        <v>0.25</v>
      </c>
      <c r="H562" t="s">
        <v>518</v>
      </c>
    </row>
    <row r="563" spans="1:8" hidden="1">
      <c r="A563" t="s">
        <v>11</v>
      </c>
      <c r="B563">
        <v>2021</v>
      </c>
      <c r="C563" t="s">
        <v>45</v>
      </c>
      <c r="D563" t="s">
        <v>180</v>
      </c>
      <c r="F563" t="s">
        <v>181</v>
      </c>
      <c r="G563">
        <v>1</v>
      </c>
      <c r="H563" t="s">
        <v>519</v>
      </c>
    </row>
    <row r="564" spans="1:8" hidden="1">
      <c r="A564" t="s">
        <v>11</v>
      </c>
      <c r="B564">
        <v>2021</v>
      </c>
      <c r="C564" t="s">
        <v>45</v>
      </c>
      <c r="D564" t="s">
        <v>180</v>
      </c>
      <c r="F564" t="s">
        <v>181</v>
      </c>
      <c r="G564">
        <v>1</v>
      </c>
      <c r="H564" t="s">
        <v>520</v>
      </c>
    </row>
    <row r="565" spans="1:8" hidden="1">
      <c r="A565" t="s">
        <v>11</v>
      </c>
      <c r="B565">
        <v>2021</v>
      </c>
      <c r="C565" t="s">
        <v>45</v>
      </c>
      <c r="D565" t="s">
        <v>203</v>
      </c>
      <c r="F565" t="s">
        <v>181</v>
      </c>
      <c r="G565">
        <v>1</v>
      </c>
      <c r="H565" t="s">
        <v>521</v>
      </c>
    </row>
    <row r="566" spans="1:8" hidden="1">
      <c r="A566" t="s">
        <v>11</v>
      </c>
      <c r="B566">
        <v>2021</v>
      </c>
      <c r="C566" t="s">
        <v>45</v>
      </c>
      <c r="D566" t="s">
        <v>394</v>
      </c>
      <c r="F566" t="s">
        <v>181</v>
      </c>
      <c r="G566">
        <v>0.2</v>
      </c>
      <c r="H566" t="s">
        <v>522</v>
      </c>
    </row>
    <row r="567" spans="1:8" hidden="1">
      <c r="A567" t="s">
        <v>11</v>
      </c>
      <c r="B567">
        <v>2021</v>
      </c>
      <c r="C567" t="s">
        <v>45</v>
      </c>
      <c r="D567" t="s">
        <v>199</v>
      </c>
      <c r="F567" t="s">
        <v>181</v>
      </c>
      <c r="G567">
        <v>0.4</v>
      </c>
      <c r="H567" t="s">
        <v>522</v>
      </c>
    </row>
    <row r="568" spans="1:8" hidden="1">
      <c r="A568" t="s">
        <v>11</v>
      </c>
      <c r="B568">
        <v>2021</v>
      </c>
      <c r="C568" t="s">
        <v>45</v>
      </c>
      <c r="D568" t="s">
        <v>197</v>
      </c>
      <c r="F568" t="s">
        <v>181</v>
      </c>
      <c r="G568">
        <v>0.25</v>
      </c>
      <c r="H568" t="s">
        <v>522</v>
      </c>
    </row>
    <row r="569" spans="1:8" hidden="1">
      <c r="A569" t="s">
        <v>11</v>
      </c>
      <c r="B569">
        <v>2021</v>
      </c>
      <c r="C569" t="s">
        <v>45</v>
      </c>
      <c r="D569" t="s">
        <v>180</v>
      </c>
      <c r="F569" t="s">
        <v>181</v>
      </c>
      <c r="G569">
        <v>0.15</v>
      </c>
      <c r="H569" t="s">
        <v>523</v>
      </c>
    </row>
    <row r="570" spans="1:8" hidden="1">
      <c r="A570" t="s">
        <v>11</v>
      </c>
      <c r="B570">
        <v>2021</v>
      </c>
      <c r="C570" t="s">
        <v>45</v>
      </c>
      <c r="D570" t="s">
        <v>203</v>
      </c>
      <c r="F570" t="s">
        <v>181</v>
      </c>
      <c r="G570">
        <v>6</v>
      </c>
      <c r="H570" t="s">
        <v>524</v>
      </c>
    </row>
    <row r="571" spans="1:8" hidden="1">
      <c r="A571" t="s">
        <v>11</v>
      </c>
      <c r="B571">
        <v>2021</v>
      </c>
      <c r="C571" t="s">
        <v>45</v>
      </c>
      <c r="D571" t="s">
        <v>191</v>
      </c>
      <c r="F571" t="s">
        <v>181</v>
      </c>
      <c r="G571">
        <v>2</v>
      </c>
      <c r="H571" t="s">
        <v>525</v>
      </c>
    </row>
    <row r="572" spans="1:8" hidden="1">
      <c r="A572" t="s">
        <v>11</v>
      </c>
      <c r="B572">
        <v>2021</v>
      </c>
      <c r="C572" t="s">
        <v>45</v>
      </c>
      <c r="D572" t="s">
        <v>193</v>
      </c>
      <c r="F572" t="s">
        <v>181</v>
      </c>
      <c r="G572">
        <v>2</v>
      </c>
      <c r="H572" t="s">
        <v>526</v>
      </c>
    </row>
    <row r="573" spans="1:8" hidden="1">
      <c r="A573" t="s">
        <v>11</v>
      </c>
      <c r="B573">
        <v>2021</v>
      </c>
      <c r="C573" t="s">
        <v>45</v>
      </c>
      <c r="D573" t="s">
        <v>199</v>
      </c>
      <c r="F573" t="s">
        <v>181</v>
      </c>
      <c r="G573">
        <v>1</v>
      </c>
      <c r="H573" t="s">
        <v>527</v>
      </c>
    </row>
    <row r="574" spans="1:8" hidden="1">
      <c r="A574" t="s">
        <v>11</v>
      </c>
      <c r="B574">
        <v>2021</v>
      </c>
      <c r="C574" t="s">
        <v>45</v>
      </c>
      <c r="D574" t="s">
        <v>188</v>
      </c>
      <c r="F574" t="s">
        <v>181</v>
      </c>
      <c r="G574">
        <v>11.5</v>
      </c>
      <c r="H574" t="s">
        <v>528</v>
      </c>
    </row>
    <row r="575" spans="1:8" hidden="1">
      <c r="A575" t="s">
        <v>11</v>
      </c>
      <c r="B575">
        <v>2021</v>
      </c>
      <c r="C575" t="s">
        <v>45</v>
      </c>
      <c r="D575" t="s">
        <v>188</v>
      </c>
      <c r="F575" t="s">
        <v>208</v>
      </c>
      <c r="G575">
        <v>4.8499999999999996</v>
      </c>
      <c r="H575" t="s">
        <v>529</v>
      </c>
    </row>
    <row r="576" spans="1:8" hidden="1">
      <c r="A576" t="s">
        <v>11</v>
      </c>
      <c r="B576">
        <v>2021</v>
      </c>
      <c r="C576" t="s">
        <v>45</v>
      </c>
      <c r="D576" t="s">
        <v>199</v>
      </c>
      <c r="F576" t="s">
        <v>208</v>
      </c>
      <c r="G576">
        <v>0.15</v>
      </c>
      <c r="H576" t="s">
        <v>530</v>
      </c>
    </row>
    <row r="577" spans="1:8" hidden="1">
      <c r="A577" t="s">
        <v>11</v>
      </c>
      <c r="B577">
        <v>2021</v>
      </c>
      <c r="C577" t="s">
        <v>45</v>
      </c>
      <c r="D577" t="s">
        <v>193</v>
      </c>
      <c r="F577" t="s">
        <v>208</v>
      </c>
      <c r="G577">
        <v>4.4000000000000004</v>
      </c>
      <c r="H577" t="s">
        <v>531</v>
      </c>
    </row>
    <row r="578" spans="1:8" hidden="1">
      <c r="A578" t="s">
        <v>11</v>
      </c>
      <c r="B578">
        <v>2021</v>
      </c>
      <c r="C578" t="s">
        <v>47</v>
      </c>
      <c r="D578" t="s">
        <v>180</v>
      </c>
      <c r="F578" t="s">
        <v>181</v>
      </c>
      <c r="G578">
        <v>6</v>
      </c>
      <c r="H578" t="s">
        <v>532</v>
      </c>
    </row>
    <row r="579" spans="1:8" hidden="1">
      <c r="A579" t="s">
        <v>11</v>
      </c>
      <c r="B579">
        <v>2021</v>
      </c>
      <c r="C579" t="s">
        <v>47</v>
      </c>
      <c r="D579" t="s">
        <v>180</v>
      </c>
      <c r="F579" t="s">
        <v>181</v>
      </c>
      <c r="G579">
        <v>2</v>
      </c>
      <c r="H579" t="s">
        <v>533</v>
      </c>
    </row>
    <row r="580" spans="1:8" hidden="1">
      <c r="A580" t="s">
        <v>11</v>
      </c>
      <c r="B580">
        <v>2021</v>
      </c>
      <c r="C580" t="s">
        <v>47</v>
      </c>
      <c r="D580" t="s">
        <v>184</v>
      </c>
      <c r="F580" t="s">
        <v>181</v>
      </c>
      <c r="G580">
        <v>2</v>
      </c>
      <c r="H580" t="s">
        <v>216</v>
      </c>
    </row>
    <row r="581" spans="1:8" hidden="1">
      <c r="A581" t="s">
        <v>11</v>
      </c>
      <c r="B581">
        <v>2021</v>
      </c>
      <c r="C581" t="s">
        <v>47</v>
      </c>
      <c r="D581" t="s">
        <v>180</v>
      </c>
      <c r="F581" t="s">
        <v>181</v>
      </c>
      <c r="G581">
        <v>1</v>
      </c>
      <c r="H581" t="s">
        <v>534</v>
      </c>
    </row>
    <row r="582" spans="1:8" hidden="1">
      <c r="A582" t="s">
        <v>11</v>
      </c>
      <c r="B582">
        <v>2021</v>
      </c>
      <c r="C582" t="s">
        <v>47</v>
      </c>
      <c r="D582" t="s">
        <v>180</v>
      </c>
      <c r="F582" t="s">
        <v>181</v>
      </c>
      <c r="G582">
        <v>1</v>
      </c>
      <c r="H582" t="s">
        <v>439</v>
      </c>
    </row>
    <row r="583" spans="1:8" hidden="1">
      <c r="A583" t="s">
        <v>11</v>
      </c>
      <c r="B583">
        <v>2021</v>
      </c>
      <c r="C583" t="s">
        <v>47</v>
      </c>
      <c r="D583" t="s">
        <v>180</v>
      </c>
      <c r="F583" t="s">
        <v>181</v>
      </c>
      <c r="G583">
        <v>1</v>
      </c>
      <c r="H583" t="s">
        <v>535</v>
      </c>
    </row>
    <row r="584" spans="1:8" hidden="1">
      <c r="A584" t="s">
        <v>11</v>
      </c>
      <c r="B584">
        <v>2021</v>
      </c>
      <c r="C584" t="s">
        <v>47</v>
      </c>
      <c r="D584" t="s">
        <v>180</v>
      </c>
      <c r="F584" t="s">
        <v>181</v>
      </c>
      <c r="G584">
        <v>2</v>
      </c>
      <c r="H584" t="s">
        <v>536</v>
      </c>
    </row>
    <row r="585" spans="1:8" hidden="1">
      <c r="A585" t="s">
        <v>11</v>
      </c>
      <c r="B585">
        <v>2021</v>
      </c>
      <c r="C585" t="s">
        <v>47</v>
      </c>
      <c r="D585" t="s">
        <v>188</v>
      </c>
      <c r="F585" t="s">
        <v>181</v>
      </c>
      <c r="G585">
        <v>4</v>
      </c>
      <c r="H585" t="s">
        <v>537</v>
      </c>
    </row>
    <row r="586" spans="1:8" hidden="1">
      <c r="A586" t="s">
        <v>11</v>
      </c>
      <c r="B586">
        <v>2021</v>
      </c>
      <c r="C586" t="s">
        <v>47</v>
      </c>
      <c r="D586" t="s">
        <v>180</v>
      </c>
      <c r="F586" t="s">
        <v>181</v>
      </c>
      <c r="G586">
        <v>2</v>
      </c>
      <c r="H586" t="s">
        <v>538</v>
      </c>
    </row>
    <row r="587" spans="1:8" hidden="1">
      <c r="A587" t="s">
        <v>11</v>
      </c>
      <c r="B587">
        <v>2021</v>
      </c>
      <c r="C587" t="s">
        <v>47</v>
      </c>
      <c r="D587" t="s">
        <v>200</v>
      </c>
      <c r="F587" t="s">
        <v>181</v>
      </c>
      <c r="G587">
        <v>2</v>
      </c>
      <c r="H587" t="s">
        <v>539</v>
      </c>
    </row>
    <row r="588" spans="1:8" hidden="1">
      <c r="A588" t="s">
        <v>11</v>
      </c>
      <c r="B588">
        <v>2021</v>
      </c>
      <c r="C588" t="s">
        <v>47</v>
      </c>
      <c r="D588" t="s">
        <v>188</v>
      </c>
      <c r="F588" t="s">
        <v>181</v>
      </c>
      <c r="G588">
        <v>1.5</v>
      </c>
      <c r="H588" t="s">
        <v>540</v>
      </c>
    </row>
    <row r="589" spans="1:8" hidden="1">
      <c r="A589" t="s">
        <v>11</v>
      </c>
      <c r="B589">
        <v>2021</v>
      </c>
      <c r="C589" t="s">
        <v>47</v>
      </c>
      <c r="D589" t="s">
        <v>199</v>
      </c>
      <c r="F589" t="s">
        <v>181</v>
      </c>
      <c r="G589">
        <v>1</v>
      </c>
      <c r="H589" t="s">
        <v>541</v>
      </c>
    </row>
    <row r="590" spans="1:8" hidden="1">
      <c r="A590" t="s">
        <v>11</v>
      </c>
      <c r="B590">
        <v>2021</v>
      </c>
      <c r="C590" t="s">
        <v>47</v>
      </c>
      <c r="D590" t="s">
        <v>191</v>
      </c>
      <c r="F590" t="s">
        <v>181</v>
      </c>
      <c r="G590">
        <v>1</v>
      </c>
      <c r="H590" t="s">
        <v>542</v>
      </c>
    </row>
    <row r="591" spans="1:8" hidden="1">
      <c r="A591" t="s">
        <v>11</v>
      </c>
      <c r="B591">
        <v>2021</v>
      </c>
      <c r="C591" t="s">
        <v>47</v>
      </c>
      <c r="D591" t="s">
        <v>197</v>
      </c>
      <c r="F591" t="s">
        <v>208</v>
      </c>
      <c r="G591">
        <v>1</v>
      </c>
      <c r="H591" t="s">
        <v>543</v>
      </c>
    </row>
    <row r="592" spans="1:8" hidden="1">
      <c r="A592" t="s">
        <v>11</v>
      </c>
      <c r="B592">
        <v>2021</v>
      </c>
      <c r="C592" t="s">
        <v>47</v>
      </c>
      <c r="D592" t="s">
        <v>191</v>
      </c>
      <c r="F592" t="s">
        <v>208</v>
      </c>
      <c r="G592">
        <v>1.7</v>
      </c>
      <c r="H592" t="s">
        <v>544</v>
      </c>
    </row>
    <row r="593" spans="1:8" hidden="1">
      <c r="A593" t="s">
        <v>11</v>
      </c>
      <c r="B593">
        <v>2021</v>
      </c>
      <c r="C593" t="s">
        <v>47</v>
      </c>
      <c r="D593" t="s">
        <v>193</v>
      </c>
      <c r="F593" t="s">
        <v>208</v>
      </c>
      <c r="G593">
        <v>0.75</v>
      </c>
      <c r="H593" t="s">
        <v>545</v>
      </c>
    </row>
    <row r="594" spans="1:8" hidden="1">
      <c r="A594" t="s">
        <v>11</v>
      </c>
      <c r="B594">
        <v>2021</v>
      </c>
      <c r="C594" t="s">
        <v>49</v>
      </c>
      <c r="D594" t="s">
        <v>180</v>
      </c>
      <c r="F594" t="s">
        <v>181</v>
      </c>
      <c r="G594">
        <v>6</v>
      </c>
      <c r="H594" t="s">
        <v>273</v>
      </c>
    </row>
    <row r="595" spans="1:8" hidden="1">
      <c r="A595" t="s">
        <v>11</v>
      </c>
      <c r="B595">
        <v>2021</v>
      </c>
      <c r="C595" t="s">
        <v>49</v>
      </c>
      <c r="D595" t="s">
        <v>180</v>
      </c>
      <c r="F595" t="s">
        <v>181</v>
      </c>
      <c r="G595">
        <v>2</v>
      </c>
      <c r="H595" t="s">
        <v>437</v>
      </c>
    </row>
    <row r="596" spans="1:8" hidden="1">
      <c r="A596" t="s">
        <v>11</v>
      </c>
      <c r="B596">
        <v>2021</v>
      </c>
      <c r="C596" t="s">
        <v>49</v>
      </c>
      <c r="D596" t="s">
        <v>184</v>
      </c>
      <c r="F596" t="s">
        <v>181</v>
      </c>
      <c r="G596">
        <v>2</v>
      </c>
      <c r="H596" t="s">
        <v>216</v>
      </c>
    </row>
    <row r="597" spans="1:8" hidden="1">
      <c r="A597" t="s">
        <v>11</v>
      </c>
      <c r="B597">
        <v>2021</v>
      </c>
      <c r="C597" t="s">
        <v>49</v>
      </c>
      <c r="D597" t="s">
        <v>180</v>
      </c>
      <c r="F597" t="s">
        <v>181</v>
      </c>
      <c r="G597">
        <v>1</v>
      </c>
      <c r="H597" t="s">
        <v>546</v>
      </c>
    </row>
    <row r="598" spans="1:8" hidden="1">
      <c r="A598" t="s">
        <v>11</v>
      </c>
      <c r="B598">
        <v>2021</v>
      </c>
      <c r="C598" t="s">
        <v>49</v>
      </c>
      <c r="D598" t="s">
        <v>180</v>
      </c>
      <c r="F598" t="s">
        <v>181</v>
      </c>
      <c r="G598">
        <v>1</v>
      </c>
      <c r="H598" t="s">
        <v>547</v>
      </c>
    </row>
    <row r="599" spans="1:8" hidden="1">
      <c r="A599" t="s">
        <v>11</v>
      </c>
      <c r="B599">
        <v>2021</v>
      </c>
      <c r="C599" t="s">
        <v>49</v>
      </c>
      <c r="D599" t="s">
        <v>188</v>
      </c>
      <c r="F599" t="s">
        <v>181</v>
      </c>
      <c r="G599">
        <v>4</v>
      </c>
      <c r="H599" t="s">
        <v>479</v>
      </c>
    </row>
    <row r="600" spans="1:8" hidden="1">
      <c r="A600" t="s">
        <v>11</v>
      </c>
      <c r="B600">
        <v>2021</v>
      </c>
      <c r="C600" t="s">
        <v>49</v>
      </c>
      <c r="D600" t="s">
        <v>180</v>
      </c>
      <c r="F600" t="s">
        <v>181</v>
      </c>
      <c r="G600">
        <v>2</v>
      </c>
      <c r="H600" t="s">
        <v>480</v>
      </c>
    </row>
    <row r="601" spans="1:8" hidden="1">
      <c r="A601" t="s">
        <v>11</v>
      </c>
      <c r="B601">
        <v>2021</v>
      </c>
      <c r="C601" t="s">
        <v>49</v>
      </c>
      <c r="D601" t="s">
        <v>180</v>
      </c>
      <c r="F601" t="s">
        <v>181</v>
      </c>
      <c r="G601">
        <v>1</v>
      </c>
      <c r="H601" t="s">
        <v>548</v>
      </c>
    </row>
    <row r="602" spans="1:8" hidden="1">
      <c r="A602" t="s">
        <v>11</v>
      </c>
      <c r="B602">
        <v>2021</v>
      </c>
      <c r="C602" t="s">
        <v>49</v>
      </c>
      <c r="D602" t="s">
        <v>191</v>
      </c>
      <c r="F602" t="s">
        <v>181</v>
      </c>
      <c r="G602">
        <v>1</v>
      </c>
      <c r="H602" t="s">
        <v>479</v>
      </c>
    </row>
    <row r="603" spans="1:8" hidden="1">
      <c r="A603" t="s">
        <v>11</v>
      </c>
      <c r="B603">
        <v>2021</v>
      </c>
      <c r="C603" t="s">
        <v>49</v>
      </c>
      <c r="D603" t="s">
        <v>191</v>
      </c>
      <c r="F603" t="s">
        <v>181</v>
      </c>
      <c r="G603">
        <v>2.5</v>
      </c>
      <c r="H603" t="s">
        <v>549</v>
      </c>
    </row>
    <row r="604" spans="1:8" hidden="1">
      <c r="A604" t="s">
        <v>11</v>
      </c>
      <c r="B604">
        <v>2021</v>
      </c>
      <c r="C604" t="s">
        <v>49</v>
      </c>
      <c r="D604" t="s">
        <v>180</v>
      </c>
      <c r="F604" t="s">
        <v>181</v>
      </c>
      <c r="G604">
        <v>1</v>
      </c>
      <c r="H604" t="s">
        <v>484</v>
      </c>
    </row>
    <row r="605" spans="1:8" hidden="1">
      <c r="A605" t="s">
        <v>11</v>
      </c>
      <c r="B605">
        <v>2021</v>
      </c>
      <c r="C605" t="s">
        <v>49</v>
      </c>
      <c r="D605" t="s">
        <v>180</v>
      </c>
      <c r="F605" t="s">
        <v>181</v>
      </c>
      <c r="G605">
        <v>1</v>
      </c>
      <c r="H605" t="s">
        <v>519</v>
      </c>
    </row>
    <row r="606" spans="1:8" hidden="1">
      <c r="A606" t="s">
        <v>11</v>
      </c>
      <c r="B606">
        <v>2021</v>
      </c>
      <c r="C606" t="s">
        <v>49</v>
      </c>
      <c r="D606" t="s">
        <v>200</v>
      </c>
      <c r="F606" t="s">
        <v>181</v>
      </c>
      <c r="G606">
        <v>1</v>
      </c>
      <c r="H606" t="s">
        <v>201</v>
      </c>
    </row>
    <row r="607" spans="1:8" hidden="1">
      <c r="A607" t="s">
        <v>11</v>
      </c>
      <c r="B607">
        <v>2021</v>
      </c>
      <c r="C607" t="s">
        <v>49</v>
      </c>
      <c r="D607" t="s">
        <v>199</v>
      </c>
      <c r="F607" t="s">
        <v>181</v>
      </c>
      <c r="G607">
        <v>0.25</v>
      </c>
      <c r="H607" t="s">
        <v>202</v>
      </c>
    </row>
    <row r="608" spans="1:8" hidden="1">
      <c r="A608" t="s">
        <v>11</v>
      </c>
      <c r="B608">
        <v>2021</v>
      </c>
      <c r="C608" t="s">
        <v>49</v>
      </c>
      <c r="D608" t="s">
        <v>197</v>
      </c>
      <c r="F608" t="s">
        <v>181</v>
      </c>
      <c r="G608">
        <v>0.25</v>
      </c>
      <c r="H608" t="s">
        <v>202</v>
      </c>
    </row>
    <row r="609" spans="1:8" hidden="1">
      <c r="A609" t="s">
        <v>11</v>
      </c>
      <c r="B609">
        <v>2021</v>
      </c>
      <c r="C609" t="s">
        <v>49</v>
      </c>
      <c r="D609" t="s">
        <v>199</v>
      </c>
      <c r="F609" t="s">
        <v>181</v>
      </c>
      <c r="G609">
        <v>1</v>
      </c>
      <c r="H609" t="s">
        <v>367</v>
      </c>
    </row>
    <row r="610" spans="1:8" hidden="1">
      <c r="A610" t="s">
        <v>11</v>
      </c>
      <c r="B610">
        <v>2021</v>
      </c>
      <c r="C610" t="s">
        <v>49</v>
      </c>
      <c r="D610" t="s">
        <v>197</v>
      </c>
      <c r="F610" t="s">
        <v>181</v>
      </c>
      <c r="G610">
        <v>0.5</v>
      </c>
      <c r="H610" t="s">
        <v>367</v>
      </c>
    </row>
    <row r="611" spans="1:8" hidden="1">
      <c r="A611" t="s">
        <v>11</v>
      </c>
      <c r="B611">
        <v>2021</v>
      </c>
      <c r="C611" t="s">
        <v>49</v>
      </c>
      <c r="D611" t="s">
        <v>203</v>
      </c>
      <c r="F611" t="s">
        <v>181</v>
      </c>
      <c r="G611">
        <v>1</v>
      </c>
      <c r="H611" t="s">
        <v>201</v>
      </c>
    </row>
    <row r="612" spans="1:8" hidden="1">
      <c r="A612" t="s">
        <v>11</v>
      </c>
      <c r="B612">
        <v>2021</v>
      </c>
      <c r="C612" t="s">
        <v>49</v>
      </c>
      <c r="D612" t="s">
        <v>180</v>
      </c>
      <c r="F612" t="s">
        <v>181</v>
      </c>
      <c r="G612">
        <v>3</v>
      </c>
      <c r="H612" t="s">
        <v>550</v>
      </c>
    </row>
    <row r="613" spans="1:8" hidden="1">
      <c r="A613" t="s">
        <v>11</v>
      </c>
      <c r="B613">
        <v>2021</v>
      </c>
      <c r="C613" t="s">
        <v>49</v>
      </c>
      <c r="D613" t="s">
        <v>199</v>
      </c>
      <c r="F613" t="s">
        <v>181</v>
      </c>
      <c r="G613">
        <v>6</v>
      </c>
      <c r="H613" t="s">
        <v>551</v>
      </c>
    </row>
    <row r="614" spans="1:8" hidden="1">
      <c r="A614" t="s">
        <v>11</v>
      </c>
      <c r="B614">
        <v>2021</v>
      </c>
      <c r="C614" t="s">
        <v>49</v>
      </c>
      <c r="D614" t="s">
        <v>197</v>
      </c>
      <c r="F614" t="s">
        <v>181</v>
      </c>
      <c r="G614">
        <v>4</v>
      </c>
      <c r="H614" t="s">
        <v>551</v>
      </c>
    </row>
    <row r="615" spans="1:8" hidden="1">
      <c r="A615" t="s">
        <v>11</v>
      </c>
      <c r="B615">
        <v>2021</v>
      </c>
      <c r="C615" t="s">
        <v>49</v>
      </c>
      <c r="D615" t="s">
        <v>188</v>
      </c>
      <c r="F615" t="s">
        <v>181</v>
      </c>
      <c r="G615">
        <v>4</v>
      </c>
      <c r="H615" t="s">
        <v>551</v>
      </c>
    </row>
    <row r="616" spans="1:8" hidden="1">
      <c r="A616" t="s">
        <v>11</v>
      </c>
      <c r="B616">
        <v>2021</v>
      </c>
      <c r="C616" t="s">
        <v>49</v>
      </c>
      <c r="D616" t="s">
        <v>191</v>
      </c>
      <c r="F616" t="s">
        <v>181</v>
      </c>
      <c r="G616">
        <v>4</v>
      </c>
      <c r="H616" t="s">
        <v>551</v>
      </c>
    </row>
    <row r="617" spans="1:8" hidden="1">
      <c r="A617" t="s">
        <v>11</v>
      </c>
      <c r="B617">
        <v>2021</v>
      </c>
      <c r="C617" t="s">
        <v>49</v>
      </c>
      <c r="D617" t="s">
        <v>203</v>
      </c>
      <c r="F617" t="s">
        <v>181</v>
      </c>
      <c r="G617">
        <v>2</v>
      </c>
      <c r="H617" t="s">
        <v>551</v>
      </c>
    </row>
    <row r="618" spans="1:8" hidden="1">
      <c r="A618" t="s">
        <v>11</v>
      </c>
      <c r="B618">
        <v>2021</v>
      </c>
      <c r="C618" t="s">
        <v>49</v>
      </c>
      <c r="D618" t="s">
        <v>191</v>
      </c>
      <c r="F618" t="s">
        <v>181</v>
      </c>
      <c r="G618">
        <v>3.35</v>
      </c>
      <c r="H618" t="s">
        <v>552</v>
      </c>
    </row>
    <row r="619" spans="1:8" hidden="1">
      <c r="A619" t="s">
        <v>11</v>
      </c>
      <c r="B619">
        <v>2021</v>
      </c>
      <c r="C619" t="s">
        <v>49</v>
      </c>
      <c r="D619" t="s">
        <v>199</v>
      </c>
      <c r="F619" t="s">
        <v>208</v>
      </c>
      <c r="G619">
        <v>0.5</v>
      </c>
      <c r="H619" t="s">
        <v>553</v>
      </c>
    </row>
    <row r="620" spans="1:8" hidden="1">
      <c r="A620" t="s">
        <v>11</v>
      </c>
      <c r="B620">
        <v>2021</v>
      </c>
      <c r="C620" t="s">
        <v>49</v>
      </c>
      <c r="D620" t="s">
        <v>203</v>
      </c>
      <c r="F620" t="s">
        <v>208</v>
      </c>
      <c r="G620">
        <v>2.4</v>
      </c>
      <c r="H620" t="s">
        <v>554</v>
      </c>
    </row>
    <row r="621" spans="1:8" hidden="1">
      <c r="A621" t="s">
        <v>11</v>
      </c>
      <c r="B621">
        <v>2021</v>
      </c>
      <c r="C621" t="s">
        <v>49</v>
      </c>
      <c r="D621" t="s">
        <v>188</v>
      </c>
      <c r="F621" t="s">
        <v>208</v>
      </c>
      <c r="G621">
        <v>1.4</v>
      </c>
      <c r="H621" t="s">
        <v>555</v>
      </c>
    </row>
    <row r="622" spans="1:8" hidden="1">
      <c r="A622" t="s">
        <v>11</v>
      </c>
      <c r="B622">
        <v>2021</v>
      </c>
      <c r="C622" t="s">
        <v>49</v>
      </c>
      <c r="D622" t="s">
        <v>188</v>
      </c>
      <c r="F622" t="s">
        <v>208</v>
      </c>
      <c r="G622">
        <v>2.38</v>
      </c>
      <c r="H622" t="s">
        <v>556</v>
      </c>
    </row>
    <row r="623" spans="1:8" hidden="1">
      <c r="A623" t="s">
        <v>11</v>
      </c>
      <c r="B623">
        <v>2021</v>
      </c>
      <c r="C623" t="s">
        <v>49</v>
      </c>
      <c r="D623" t="s">
        <v>193</v>
      </c>
      <c r="F623" t="s">
        <v>208</v>
      </c>
      <c r="G623">
        <v>14</v>
      </c>
      <c r="H623" t="s">
        <v>557</v>
      </c>
    </row>
    <row r="624" spans="1:8" hidden="1">
      <c r="A624" t="s">
        <v>11</v>
      </c>
      <c r="B624">
        <v>2020</v>
      </c>
      <c r="C624" t="s">
        <v>12</v>
      </c>
      <c r="D624" t="s">
        <v>180</v>
      </c>
      <c r="F624" t="s">
        <v>181</v>
      </c>
      <c r="G624">
        <v>1.5</v>
      </c>
      <c r="H624" t="s">
        <v>558</v>
      </c>
    </row>
    <row r="625" spans="1:8" hidden="1">
      <c r="A625" t="s">
        <v>11</v>
      </c>
      <c r="B625">
        <v>2020</v>
      </c>
      <c r="C625" t="s">
        <v>12</v>
      </c>
      <c r="D625" t="s">
        <v>184</v>
      </c>
      <c r="F625" t="s">
        <v>181</v>
      </c>
      <c r="G625">
        <v>0.5</v>
      </c>
      <c r="H625" t="s">
        <v>559</v>
      </c>
    </row>
    <row r="626" spans="1:8" hidden="1">
      <c r="A626" t="s">
        <v>11</v>
      </c>
      <c r="B626">
        <v>2020</v>
      </c>
      <c r="C626" t="s">
        <v>12</v>
      </c>
      <c r="D626" t="s">
        <v>188</v>
      </c>
      <c r="F626" t="s">
        <v>181</v>
      </c>
      <c r="G626">
        <v>1</v>
      </c>
      <c r="H626" t="s">
        <v>560</v>
      </c>
    </row>
    <row r="627" spans="1:8" hidden="1">
      <c r="A627" t="s">
        <v>11</v>
      </c>
      <c r="B627">
        <v>2020</v>
      </c>
      <c r="C627" t="s">
        <v>12</v>
      </c>
      <c r="D627" t="s">
        <v>180</v>
      </c>
      <c r="F627" t="s">
        <v>181</v>
      </c>
      <c r="G627">
        <v>1.5</v>
      </c>
      <c r="H627" t="s">
        <v>558</v>
      </c>
    </row>
    <row r="628" spans="1:8" hidden="1">
      <c r="A628" t="s">
        <v>11</v>
      </c>
      <c r="B628">
        <v>2020</v>
      </c>
      <c r="C628" t="s">
        <v>12</v>
      </c>
      <c r="D628" t="s">
        <v>184</v>
      </c>
      <c r="F628" t="s">
        <v>181</v>
      </c>
      <c r="G628">
        <v>0.5</v>
      </c>
      <c r="H628" t="s">
        <v>559</v>
      </c>
    </row>
    <row r="629" spans="1:8" hidden="1">
      <c r="A629" t="s">
        <v>11</v>
      </c>
      <c r="B629">
        <v>2020</v>
      </c>
      <c r="C629" t="s">
        <v>12</v>
      </c>
      <c r="D629" t="s">
        <v>188</v>
      </c>
      <c r="F629" t="s">
        <v>181</v>
      </c>
      <c r="G629">
        <v>1</v>
      </c>
      <c r="H629" t="s">
        <v>560</v>
      </c>
    </row>
    <row r="630" spans="1:8" hidden="1">
      <c r="A630" t="s">
        <v>11</v>
      </c>
      <c r="B630">
        <v>2020</v>
      </c>
      <c r="C630" t="s">
        <v>12</v>
      </c>
      <c r="D630" t="s">
        <v>193</v>
      </c>
      <c r="F630" t="s">
        <v>181</v>
      </c>
      <c r="G630">
        <v>0.5</v>
      </c>
      <c r="H630" t="s">
        <v>561</v>
      </c>
    </row>
    <row r="631" spans="1:8" hidden="1">
      <c r="A631" t="s">
        <v>11</v>
      </c>
      <c r="B631">
        <v>2020</v>
      </c>
      <c r="C631" t="s">
        <v>12</v>
      </c>
      <c r="D631" t="s">
        <v>180</v>
      </c>
      <c r="F631" t="s">
        <v>181</v>
      </c>
      <c r="G631">
        <v>1.5</v>
      </c>
      <c r="H631" t="s">
        <v>558</v>
      </c>
    </row>
    <row r="632" spans="1:8" hidden="1">
      <c r="A632" t="s">
        <v>11</v>
      </c>
      <c r="B632">
        <v>2020</v>
      </c>
      <c r="C632" t="s">
        <v>12</v>
      </c>
      <c r="D632" t="s">
        <v>184</v>
      </c>
      <c r="F632" t="s">
        <v>181</v>
      </c>
      <c r="G632">
        <v>0.5</v>
      </c>
      <c r="H632" t="s">
        <v>562</v>
      </c>
    </row>
    <row r="633" spans="1:8" hidden="1">
      <c r="A633" t="s">
        <v>11</v>
      </c>
      <c r="B633">
        <v>2020</v>
      </c>
      <c r="C633" t="s">
        <v>12</v>
      </c>
      <c r="D633" t="s">
        <v>188</v>
      </c>
      <c r="F633" t="s">
        <v>181</v>
      </c>
      <c r="G633">
        <v>1</v>
      </c>
      <c r="H633" t="s">
        <v>560</v>
      </c>
    </row>
    <row r="634" spans="1:8" hidden="1">
      <c r="A634" t="s">
        <v>11</v>
      </c>
      <c r="B634">
        <v>2020</v>
      </c>
      <c r="C634" t="s">
        <v>12</v>
      </c>
      <c r="D634" t="s">
        <v>259</v>
      </c>
      <c r="F634" t="s">
        <v>181</v>
      </c>
      <c r="G634">
        <v>1.5</v>
      </c>
      <c r="H634" t="s">
        <v>558</v>
      </c>
    </row>
    <row r="635" spans="1:8" hidden="1">
      <c r="A635" t="s">
        <v>11</v>
      </c>
      <c r="B635">
        <v>2020</v>
      </c>
      <c r="C635" t="s">
        <v>12</v>
      </c>
      <c r="D635" t="s">
        <v>184</v>
      </c>
      <c r="F635" t="s">
        <v>181</v>
      </c>
      <c r="G635">
        <v>0.5</v>
      </c>
      <c r="H635" t="s">
        <v>562</v>
      </c>
    </row>
    <row r="636" spans="1:8" hidden="1">
      <c r="A636" t="s">
        <v>11</v>
      </c>
      <c r="B636">
        <v>2020</v>
      </c>
      <c r="C636" t="s">
        <v>12</v>
      </c>
      <c r="D636" t="s">
        <v>188</v>
      </c>
      <c r="F636" t="s">
        <v>181</v>
      </c>
      <c r="G636">
        <v>1</v>
      </c>
      <c r="H636" t="s">
        <v>560</v>
      </c>
    </row>
    <row r="637" spans="1:8" hidden="1">
      <c r="A637" t="s">
        <v>11</v>
      </c>
      <c r="B637">
        <v>2020</v>
      </c>
      <c r="C637" t="s">
        <v>12</v>
      </c>
      <c r="D637" t="s">
        <v>191</v>
      </c>
      <c r="F637" t="s">
        <v>208</v>
      </c>
      <c r="G637">
        <v>2.5</v>
      </c>
      <c r="H637" t="s">
        <v>563</v>
      </c>
    </row>
    <row r="638" spans="1:8" hidden="1">
      <c r="A638" t="s">
        <v>11</v>
      </c>
      <c r="B638">
        <v>2020</v>
      </c>
      <c r="C638" t="s">
        <v>12</v>
      </c>
      <c r="D638" t="s">
        <v>191</v>
      </c>
      <c r="F638" t="s">
        <v>208</v>
      </c>
      <c r="G638">
        <v>1</v>
      </c>
      <c r="H638" t="s">
        <v>564</v>
      </c>
    </row>
    <row r="639" spans="1:8" hidden="1">
      <c r="A639" t="s">
        <v>11</v>
      </c>
      <c r="B639">
        <v>2020</v>
      </c>
      <c r="C639" t="s">
        <v>12</v>
      </c>
      <c r="D639" t="s">
        <v>193</v>
      </c>
      <c r="F639" t="s">
        <v>208</v>
      </c>
      <c r="G639">
        <v>5</v>
      </c>
      <c r="H639" t="s">
        <v>565</v>
      </c>
    </row>
    <row r="640" spans="1:8" hidden="1">
      <c r="A640" t="s">
        <v>11</v>
      </c>
      <c r="B640">
        <v>2020</v>
      </c>
      <c r="C640" t="s">
        <v>12</v>
      </c>
      <c r="D640" t="s">
        <v>188</v>
      </c>
      <c r="F640" t="s">
        <v>208</v>
      </c>
      <c r="G640">
        <v>8.5</v>
      </c>
      <c r="H640" t="s">
        <v>566</v>
      </c>
    </row>
    <row r="641" spans="1:8" hidden="1">
      <c r="A641" t="s">
        <v>11</v>
      </c>
      <c r="B641">
        <v>2020</v>
      </c>
      <c r="C641" t="s">
        <v>12</v>
      </c>
      <c r="D641" t="s">
        <v>193</v>
      </c>
      <c r="F641" t="s">
        <v>208</v>
      </c>
      <c r="G641">
        <v>0.5</v>
      </c>
    </row>
    <row r="642" spans="1:8" hidden="1">
      <c r="A642" t="s">
        <v>11</v>
      </c>
      <c r="B642">
        <v>2020</v>
      </c>
      <c r="C642" t="s">
        <v>12</v>
      </c>
      <c r="D642" t="s">
        <v>193</v>
      </c>
      <c r="F642" t="s">
        <v>208</v>
      </c>
      <c r="G642">
        <v>2.5</v>
      </c>
      <c r="H642" t="s">
        <v>567</v>
      </c>
    </row>
    <row r="643" spans="1:8" hidden="1">
      <c r="A643" t="s">
        <v>11</v>
      </c>
      <c r="B643">
        <v>2020</v>
      </c>
      <c r="C643" t="s">
        <v>12</v>
      </c>
      <c r="D643" t="s">
        <v>199</v>
      </c>
      <c r="F643" t="s">
        <v>208</v>
      </c>
      <c r="G643">
        <v>5</v>
      </c>
      <c r="H643" t="s">
        <v>568</v>
      </c>
    </row>
    <row r="644" spans="1:8" hidden="1">
      <c r="A644" t="s">
        <v>11</v>
      </c>
      <c r="B644">
        <v>2020</v>
      </c>
      <c r="C644" t="s">
        <v>12</v>
      </c>
      <c r="D644" t="s">
        <v>199</v>
      </c>
      <c r="F644" t="s">
        <v>208</v>
      </c>
      <c r="G644">
        <v>2.4</v>
      </c>
      <c r="H644" t="s">
        <v>569</v>
      </c>
    </row>
    <row r="645" spans="1:8" hidden="1">
      <c r="A645" t="s">
        <v>11</v>
      </c>
      <c r="B645">
        <v>2020</v>
      </c>
      <c r="C645" t="s">
        <v>21</v>
      </c>
      <c r="D645" t="s">
        <v>180</v>
      </c>
      <c r="F645" t="s">
        <v>181</v>
      </c>
      <c r="G645">
        <v>1.5</v>
      </c>
      <c r="H645" t="s">
        <v>570</v>
      </c>
    </row>
    <row r="646" spans="1:8" hidden="1">
      <c r="A646" t="s">
        <v>11</v>
      </c>
      <c r="B646">
        <v>2020</v>
      </c>
      <c r="C646" t="s">
        <v>21</v>
      </c>
      <c r="D646" t="s">
        <v>184</v>
      </c>
      <c r="F646" t="s">
        <v>181</v>
      </c>
      <c r="G646">
        <v>0.5</v>
      </c>
      <c r="H646" t="s">
        <v>571</v>
      </c>
    </row>
    <row r="647" spans="1:8" hidden="1">
      <c r="A647" t="s">
        <v>11</v>
      </c>
      <c r="B647">
        <v>2020</v>
      </c>
      <c r="C647" t="s">
        <v>21</v>
      </c>
      <c r="D647" t="s">
        <v>180</v>
      </c>
      <c r="F647" t="s">
        <v>181</v>
      </c>
      <c r="G647">
        <v>1.7</v>
      </c>
      <c r="H647" t="s">
        <v>572</v>
      </c>
    </row>
    <row r="648" spans="1:8" hidden="1">
      <c r="A648" t="s">
        <v>11</v>
      </c>
      <c r="B648">
        <v>2020</v>
      </c>
      <c r="C648" t="s">
        <v>21</v>
      </c>
      <c r="D648" t="s">
        <v>188</v>
      </c>
      <c r="F648" t="s">
        <v>181</v>
      </c>
      <c r="G648">
        <v>1.4</v>
      </c>
      <c r="H648" t="s">
        <v>216</v>
      </c>
    </row>
    <row r="649" spans="1:8" hidden="1">
      <c r="A649" t="s">
        <v>11</v>
      </c>
      <c r="B649">
        <v>2020</v>
      </c>
      <c r="C649" t="s">
        <v>21</v>
      </c>
      <c r="D649" t="s">
        <v>180</v>
      </c>
      <c r="F649" t="s">
        <v>181</v>
      </c>
      <c r="G649">
        <v>2</v>
      </c>
      <c r="H649" t="s">
        <v>570</v>
      </c>
    </row>
    <row r="650" spans="1:8" hidden="1">
      <c r="A650" t="s">
        <v>11</v>
      </c>
      <c r="B650">
        <v>2020</v>
      </c>
      <c r="C650" t="s">
        <v>21</v>
      </c>
      <c r="D650" t="s">
        <v>184</v>
      </c>
      <c r="F650" t="s">
        <v>181</v>
      </c>
      <c r="G650">
        <v>0.5</v>
      </c>
      <c r="H650" t="s">
        <v>571</v>
      </c>
    </row>
    <row r="651" spans="1:8" hidden="1">
      <c r="A651" t="s">
        <v>11</v>
      </c>
      <c r="B651">
        <v>2020</v>
      </c>
      <c r="C651" t="s">
        <v>21</v>
      </c>
      <c r="D651" t="s">
        <v>203</v>
      </c>
      <c r="F651" t="s">
        <v>181</v>
      </c>
      <c r="G651">
        <v>2.5</v>
      </c>
      <c r="H651" t="s">
        <v>573</v>
      </c>
    </row>
    <row r="652" spans="1:8" hidden="1">
      <c r="A652" t="s">
        <v>11</v>
      </c>
      <c r="B652">
        <v>2020</v>
      </c>
      <c r="C652" t="s">
        <v>21</v>
      </c>
      <c r="D652" t="s">
        <v>188</v>
      </c>
      <c r="F652" t="s">
        <v>181</v>
      </c>
      <c r="G652">
        <v>2.5</v>
      </c>
      <c r="H652" t="s">
        <v>574</v>
      </c>
    </row>
    <row r="653" spans="1:8" hidden="1">
      <c r="A653" t="s">
        <v>11</v>
      </c>
      <c r="B653">
        <v>2020</v>
      </c>
      <c r="C653" t="s">
        <v>21</v>
      </c>
      <c r="D653" t="s">
        <v>180</v>
      </c>
      <c r="F653" t="s">
        <v>181</v>
      </c>
      <c r="G653">
        <v>1</v>
      </c>
      <c r="H653" t="s">
        <v>575</v>
      </c>
    </row>
    <row r="654" spans="1:8" hidden="1">
      <c r="A654" t="s">
        <v>11</v>
      </c>
      <c r="B654">
        <v>2020</v>
      </c>
      <c r="C654" t="s">
        <v>21</v>
      </c>
      <c r="D654" t="s">
        <v>188</v>
      </c>
      <c r="F654" t="s">
        <v>181</v>
      </c>
      <c r="G654">
        <v>0.2</v>
      </c>
      <c r="H654" t="s">
        <v>576</v>
      </c>
    </row>
    <row r="655" spans="1:8" hidden="1">
      <c r="A655" t="s">
        <v>11</v>
      </c>
      <c r="B655">
        <v>2020</v>
      </c>
      <c r="C655" t="s">
        <v>21</v>
      </c>
      <c r="D655" t="s">
        <v>180</v>
      </c>
      <c r="F655" t="s">
        <v>181</v>
      </c>
      <c r="G655">
        <v>2</v>
      </c>
      <c r="H655" t="s">
        <v>577</v>
      </c>
    </row>
    <row r="656" spans="1:8" hidden="1">
      <c r="A656" t="s">
        <v>11</v>
      </c>
      <c r="B656">
        <v>2020</v>
      </c>
      <c r="C656" t="s">
        <v>21</v>
      </c>
      <c r="D656" t="s">
        <v>188</v>
      </c>
      <c r="F656" t="s">
        <v>181</v>
      </c>
      <c r="G656">
        <v>0.35</v>
      </c>
      <c r="H656" t="s">
        <v>578</v>
      </c>
    </row>
    <row r="657" spans="1:8" hidden="1">
      <c r="A657" t="s">
        <v>11</v>
      </c>
      <c r="B657">
        <v>2020</v>
      </c>
      <c r="C657" t="s">
        <v>21</v>
      </c>
      <c r="D657" t="s">
        <v>197</v>
      </c>
      <c r="F657" t="s">
        <v>181</v>
      </c>
      <c r="G657">
        <v>2</v>
      </c>
      <c r="H657" t="s">
        <v>579</v>
      </c>
    </row>
    <row r="658" spans="1:8" hidden="1">
      <c r="A658" t="s">
        <v>11</v>
      </c>
      <c r="B658">
        <v>2020</v>
      </c>
      <c r="C658" t="s">
        <v>21</v>
      </c>
      <c r="D658" t="s">
        <v>188</v>
      </c>
      <c r="F658" t="s">
        <v>208</v>
      </c>
      <c r="G658">
        <v>1.9</v>
      </c>
      <c r="H658" t="s">
        <v>580</v>
      </c>
    </row>
    <row r="659" spans="1:8" hidden="1">
      <c r="A659" t="s">
        <v>11</v>
      </c>
      <c r="B659">
        <v>2020</v>
      </c>
      <c r="C659" t="s">
        <v>21</v>
      </c>
      <c r="D659" t="s">
        <v>180</v>
      </c>
      <c r="F659" t="s">
        <v>208</v>
      </c>
      <c r="G659">
        <v>1.45</v>
      </c>
      <c r="H659" t="s">
        <v>581</v>
      </c>
    </row>
    <row r="660" spans="1:8" hidden="1">
      <c r="A660" t="s">
        <v>11</v>
      </c>
      <c r="B660">
        <v>2020</v>
      </c>
      <c r="C660" t="s">
        <v>21</v>
      </c>
      <c r="D660" t="s">
        <v>191</v>
      </c>
      <c r="F660" t="s">
        <v>208</v>
      </c>
      <c r="G660">
        <v>1</v>
      </c>
      <c r="H660" t="s">
        <v>582</v>
      </c>
    </row>
    <row r="661" spans="1:8" hidden="1">
      <c r="A661" t="s">
        <v>11</v>
      </c>
      <c r="B661">
        <v>2020</v>
      </c>
      <c r="C661" t="s">
        <v>21</v>
      </c>
      <c r="D661" t="s">
        <v>193</v>
      </c>
      <c r="F661" t="s">
        <v>208</v>
      </c>
      <c r="G661">
        <v>2</v>
      </c>
      <c r="H661" t="s">
        <v>583</v>
      </c>
    </row>
    <row r="662" spans="1:8" hidden="1">
      <c r="A662" t="s">
        <v>11</v>
      </c>
      <c r="B662">
        <v>2020</v>
      </c>
      <c r="C662" t="s">
        <v>21</v>
      </c>
      <c r="D662" t="s">
        <v>188</v>
      </c>
      <c r="F662" t="s">
        <v>208</v>
      </c>
      <c r="G662">
        <v>0.3</v>
      </c>
      <c r="H662" t="s">
        <v>584</v>
      </c>
    </row>
    <row r="663" spans="1:8" hidden="1">
      <c r="A663" t="s">
        <v>11</v>
      </c>
      <c r="B663">
        <v>2020</v>
      </c>
      <c r="C663" t="s">
        <v>21</v>
      </c>
      <c r="D663" t="s">
        <v>191</v>
      </c>
      <c r="F663" t="s">
        <v>585</v>
      </c>
      <c r="G663">
        <v>2.5</v>
      </c>
      <c r="H663" t="s">
        <v>586</v>
      </c>
    </row>
    <row r="664" spans="1:8" hidden="1">
      <c r="A664" t="s">
        <v>11</v>
      </c>
      <c r="B664">
        <v>2020</v>
      </c>
      <c r="C664" t="s">
        <v>27</v>
      </c>
      <c r="D664" t="s">
        <v>184</v>
      </c>
      <c r="F664" t="s">
        <v>181</v>
      </c>
      <c r="G664">
        <v>0.4</v>
      </c>
      <c r="H664" t="s">
        <v>587</v>
      </c>
    </row>
    <row r="665" spans="1:8" hidden="1">
      <c r="A665" t="s">
        <v>11</v>
      </c>
      <c r="B665">
        <v>2020</v>
      </c>
      <c r="C665" t="s">
        <v>27</v>
      </c>
      <c r="D665" t="s">
        <v>180</v>
      </c>
      <c r="F665" t="s">
        <v>181</v>
      </c>
      <c r="G665">
        <v>1.5</v>
      </c>
      <c r="H665" t="s">
        <v>588</v>
      </c>
    </row>
    <row r="666" spans="1:8" hidden="1">
      <c r="A666" t="s">
        <v>11</v>
      </c>
      <c r="B666">
        <v>2020</v>
      </c>
      <c r="C666" t="s">
        <v>27</v>
      </c>
      <c r="D666" t="s">
        <v>394</v>
      </c>
      <c r="F666" t="s">
        <v>181</v>
      </c>
      <c r="G666">
        <v>0.25</v>
      </c>
      <c r="H666" t="s">
        <v>589</v>
      </c>
    </row>
    <row r="667" spans="1:8" hidden="1">
      <c r="A667" t="s">
        <v>11</v>
      </c>
      <c r="B667">
        <v>2020</v>
      </c>
      <c r="C667" t="s">
        <v>27</v>
      </c>
      <c r="D667" t="s">
        <v>199</v>
      </c>
      <c r="F667" t="s">
        <v>181</v>
      </c>
      <c r="G667">
        <v>0.5</v>
      </c>
      <c r="H667" t="s">
        <v>589</v>
      </c>
    </row>
    <row r="668" spans="1:8" hidden="1">
      <c r="A668" t="s">
        <v>11</v>
      </c>
      <c r="B668">
        <v>2020</v>
      </c>
      <c r="C668" t="s">
        <v>27</v>
      </c>
      <c r="D668" t="s">
        <v>197</v>
      </c>
      <c r="F668" t="s">
        <v>181</v>
      </c>
      <c r="G668">
        <v>0.25</v>
      </c>
      <c r="H668" t="s">
        <v>589</v>
      </c>
    </row>
    <row r="669" spans="1:8" hidden="1">
      <c r="A669" t="s">
        <v>11</v>
      </c>
      <c r="B669">
        <v>2020</v>
      </c>
      <c r="C669" t="s">
        <v>27</v>
      </c>
      <c r="D669" t="s">
        <v>184</v>
      </c>
      <c r="F669" t="s">
        <v>181</v>
      </c>
      <c r="G669">
        <v>0.5</v>
      </c>
      <c r="H669" t="s">
        <v>216</v>
      </c>
    </row>
    <row r="670" spans="1:8" hidden="1">
      <c r="A670" t="s">
        <v>11</v>
      </c>
      <c r="B670">
        <v>2020</v>
      </c>
      <c r="C670" t="s">
        <v>27</v>
      </c>
      <c r="D670" t="s">
        <v>188</v>
      </c>
      <c r="F670" t="s">
        <v>181</v>
      </c>
      <c r="G670">
        <v>1</v>
      </c>
      <c r="H670" t="s">
        <v>590</v>
      </c>
    </row>
    <row r="671" spans="1:8" hidden="1">
      <c r="A671" t="s">
        <v>11</v>
      </c>
      <c r="B671">
        <v>2020</v>
      </c>
      <c r="C671" t="s">
        <v>27</v>
      </c>
      <c r="D671" t="s">
        <v>180</v>
      </c>
      <c r="F671" t="s">
        <v>181</v>
      </c>
      <c r="G671">
        <v>0.5</v>
      </c>
      <c r="H671" t="s">
        <v>591</v>
      </c>
    </row>
    <row r="672" spans="1:8" hidden="1">
      <c r="A672" t="s">
        <v>11</v>
      </c>
      <c r="B672">
        <v>2020</v>
      </c>
      <c r="C672" t="s">
        <v>27</v>
      </c>
      <c r="D672" t="s">
        <v>193</v>
      </c>
      <c r="F672" t="s">
        <v>181</v>
      </c>
      <c r="G672">
        <v>0.5</v>
      </c>
      <c r="H672" t="s">
        <v>592</v>
      </c>
    </row>
    <row r="673" spans="1:8" hidden="1">
      <c r="A673" t="s">
        <v>11</v>
      </c>
      <c r="B673">
        <v>2020</v>
      </c>
      <c r="C673" t="s">
        <v>27</v>
      </c>
      <c r="D673" t="s">
        <v>193</v>
      </c>
      <c r="F673" t="s">
        <v>181</v>
      </c>
      <c r="G673">
        <v>0.7</v>
      </c>
      <c r="H673" t="s">
        <v>593</v>
      </c>
    </row>
    <row r="674" spans="1:8" hidden="1">
      <c r="A674" t="s">
        <v>11</v>
      </c>
      <c r="B674">
        <v>2020</v>
      </c>
      <c r="C674" t="s">
        <v>27</v>
      </c>
      <c r="D674" t="s">
        <v>180</v>
      </c>
      <c r="F674" t="s">
        <v>181</v>
      </c>
      <c r="G674">
        <v>1.5</v>
      </c>
      <c r="H674" t="s">
        <v>594</v>
      </c>
    </row>
    <row r="675" spans="1:8" hidden="1">
      <c r="A675" t="s">
        <v>11</v>
      </c>
      <c r="B675">
        <v>2020</v>
      </c>
      <c r="C675" t="s">
        <v>27</v>
      </c>
      <c r="D675" t="s">
        <v>184</v>
      </c>
      <c r="F675" t="s">
        <v>181</v>
      </c>
      <c r="G675">
        <v>0.5</v>
      </c>
      <c r="H675" t="s">
        <v>216</v>
      </c>
    </row>
    <row r="676" spans="1:8" hidden="1">
      <c r="A676" t="s">
        <v>11</v>
      </c>
      <c r="B676">
        <v>2020</v>
      </c>
      <c r="C676" t="s">
        <v>27</v>
      </c>
      <c r="D676" t="s">
        <v>180</v>
      </c>
      <c r="F676" t="s">
        <v>181</v>
      </c>
      <c r="G676">
        <v>4</v>
      </c>
      <c r="H676" t="s">
        <v>595</v>
      </c>
    </row>
    <row r="677" spans="1:8" hidden="1">
      <c r="A677" t="s">
        <v>11</v>
      </c>
      <c r="B677">
        <v>2020</v>
      </c>
      <c r="C677" t="s">
        <v>27</v>
      </c>
      <c r="D677" t="s">
        <v>203</v>
      </c>
      <c r="F677" t="s">
        <v>181</v>
      </c>
      <c r="G677">
        <v>1</v>
      </c>
      <c r="H677" t="s">
        <v>596</v>
      </c>
    </row>
    <row r="678" spans="1:8" hidden="1">
      <c r="A678" t="s">
        <v>11</v>
      </c>
      <c r="B678">
        <v>2020</v>
      </c>
      <c r="C678" t="s">
        <v>27</v>
      </c>
      <c r="D678" t="s">
        <v>191</v>
      </c>
      <c r="F678" t="s">
        <v>181</v>
      </c>
      <c r="G678">
        <v>0.25</v>
      </c>
      <c r="H678" t="s">
        <v>597</v>
      </c>
    </row>
    <row r="679" spans="1:8" hidden="1">
      <c r="A679" t="s">
        <v>11</v>
      </c>
      <c r="B679">
        <v>2020</v>
      </c>
      <c r="C679" t="s">
        <v>27</v>
      </c>
      <c r="D679" t="s">
        <v>180</v>
      </c>
      <c r="F679" t="s">
        <v>181</v>
      </c>
      <c r="G679">
        <v>0</v>
      </c>
      <c r="H679" t="s">
        <v>598</v>
      </c>
    </row>
    <row r="680" spans="1:8" hidden="1">
      <c r="A680" t="s">
        <v>11</v>
      </c>
      <c r="B680">
        <v>2020</v>
      </c>
      <c r="C680" t="s">
        <v>27</v>
      </c>
      <c r="D680" t="s">
        <v>184</v>
      </c>
      <c r="F680" t="s">
        <v>181</v>
      </c>
      <c r="G680">
        <v>0.5</v>
      </c>
      <c r="H680" t="s">
        <v>216</v>
      </c>
    </row>
    <row r="681" spans="1:8" hidden="1">
      <c r="A681" t="s">
        <v>11</v>
      </c>
      <c r="B681">
        <v>2020</v>
      </c>
      <c r="C681" t="s">
        <v>27</v>
      </c>
      <c r="D681" t="s">
        <v>180</v>
      </c>
      <c r="F681" t="s">
        <v>181</v>
      </c>
      <c r="G681">
        <v>0.25</v>
      </c>
      <c r="H681" t="s">
        <v>215</v>
      </c>
    </row>
    <row r="682" spans="1:8" hidden="1">
      <c r="A682" t="s">
        <v>11</v>
      </c>
      <c r="B682">
        <v>2020</v>
      </c>
      <c r="C682" t="s">
        <v>27</v>
      </c>
      <c r="D682" t="s">
        <v>188</v>
      </c>
      <c r="F682" t="s">
        <v>208</v>
      </c>
      <c r="G682">
        <v>0.2</v>
      </c>
      <c r="H682" t="s">
        <v>599</v>
      </c>
    </row>
    <row r="683" spans="1:8" hidden="1">
      <c r="A683" t="s">
        <v>11</v>
      </c>
      <c r="B683">
        <v>2020</v>
      </c>
      <c r="C683" t="s">
        <v>27</v>
      </c>
      <c r="D683" t="s">
        <v>199</v>
      </c>
      <c r="F683" t="s">
        <v>208</v>
      </c>
      <c r="G683">
        <v>1.5</v>
      </c>
      <c r="H683" t="s">
        <v>600</v>
      </c>
    </row>
    <row r="684" spans="1:8" hidden="1">
      <c r="A684" t="s">
        <v>11</v>
      </c>
      <c r="B684">
        <v>2020</v>
      </c>
      <c r="C684" t="s">
        <v>27</v>
      </c>
      <c r="D684" t="s">
        <v>191</v>
      </c>
      <c r="F684" t="s">
        <v>208</v>
      </c>
      <c r="G684">
        <v>2</v>
      </c>
      <c r="H684" t="s">
        <v>601</v>
      </c>
    </row>
    <row r="685" spans="1:8" hidden="1">
      <c r="A685" t="s">
        <v>11</v>
      </c>
      <c r="B685">
        <v>2020</v>
      </c>
      <c r="C685" t="s">
        <v>27</v>
      </c>
      <c r="D685" t="s">
        <v>188</v>
      </c>
      <c r="F685" t="s">
        <v>208</v>
      </c>
      <c r="G685">
        <v>1</v>
      </c>
      <c r="H685" t="s">
        <v>602</v>
      </c>
    </row>
    <row r="686" spans="1:8" hidden="1">
      <c r="A686" t="s">
        <v>11</v>
      </c>
      <c r="B686">
        <v>2020</v>
      </c>
      <c r="C686" t="s">
        <v>27</v>
      </c>
      <c r="D686" t="s">
        <v>199</v>
      </c>
      <c r="F686" t="s">
        <v>208</v>
      </c>
      <c r="G686">
        <v>0.5</v>
      </c>
      <c r="H686" t="s">
        <v>603</v>
      </c>
    </row>
    <row r="687" spans="1:8" hidden="1">
      <c r="A687" t="s">
        <v>11</v>
      </c>
      <c r="B687">
        <v>2020</v>
      </c>
      <c r="C687" t="s">
        <v>28</v>
      </c>
      <c r="D687" t="s">
        <v>180</v>
      </c>
      <c r="F687" t="s">
        <v>181</v>
      </c>
      <c r="G687">
        <v>1.5</v>
      </c>
      <c r="H687" t="s">
        <v>604</v>
      </c>
    </row>
    <row r="688" spans="1:8" hidden="1">
      <c r="A688" t="s">
        <v>11</v>
      </c>
      <c r="B688">
        <v>2020</v>
      </c>
      <c r="C688" t="s">
        <v>28</v>
      </c>
      <c r="D688" t="s">
        <v>184</v>
      </c>
      <c r="F688" t="s">
        <v>181</v>
      </c>
      <c r="G688">
        <v>0.5</v>
      </c>
      <c r="H688" t="s">
        <v>216</v>
      </c>
    </row>
    <row r="689" spans="1:8" hidden="1">
      <c r="A689" t="s">
        <v>11</v>
      </c>
      <c r="B689">
        <v>2020</v>
      </c>
      <c r="C689" t="s">
        <v>28</v>
      </c>
      <c r="D689" t="s">
        <v>180</v>
      </c>
      <c r="F689" t="s">
        <v>181</v>
      </c>
      <c r="G689">
        <v>0.25</v>
      </c>
      <c r="H689" t="s">
        <v>605</v>
      </c>
    </row>
    <row r="690" spans="1:8" hidden="1">
      <c r="A690" t="s">
        <v>11</v>
      </c>
      <c r="B690">
        <v>2020</v>
      </c>
      <c r="C690" t="s">
        <v>28</v>
      </c>
      <c r="D690" t="s">
        <v>203</v>
      </c>
      <c r="F690" t="s">
        <v>181</v>
      </c>
      <c r="G690">
        <v>0.9</v>
      </c>
      <c r="H690" t="s">
        <v>606</v>
      </c>
    </row>
    <row r="691" spans="1:8" hidden="1">
      <c r="A691" t="s">
        <v>11</v>
      </c>
      <c r="B691">
        <v>2020</v>
      </c>
      <c r="C691" t="s">
        <v>28</v>
      </c>
      <c r="D691" t="s">
        <v>199</v>
      </c>
      <c r="F691" t="s">
        <v>181</v>
      </c>
      <c r="G691">
        <v>0.75</v>
      </c>
      <c r="H691" t="s">
        <v>607</v>
      </c>
    </row>
    <row r="692" spans="1:8" hidden="1">
      <c r="A692" t="s">
        <v>11</v>
      </c>
      <c r="B692">
        <v>2020</v>
      </c>
      <c r="C692" t="s">
        <v>28</v>
      </c>
      <c r="D692" t="s">
        <v>188</v>
      </c>
      <c r="F692" t="s">
        <v>181</v>
      </c>
      <c r="G692">
        <v>1</v>
      </c>
      <c r="H692" t="s">
        <v>608</v>
      </c>
    </row>
    <row r="693" spans="1:8" hidden="1">
      <c r="A693" t="s">
        <v>11</v>
      </c>
      <c r="B693">
        <v>2020</v>
      </c>
      <c r="C693" t="s">
        <v>28</v>
      </c>
      <c r="D693" t="s">
        <v>193</v>
      </c>
      <c r="F693" t="s">
        <v>181</v>
      </c>
      <c r="G693">
        <v>0.5</v>
      </c>
      <c r="H693" t="s">
        <v>609</v>
      </c>
    </row>
    <row r="694" spans="1:8" hidden="1">
      <c r="A694" t="s">
        <v>11</v>
      </c>
      <c r="B694">
        <v>2020</v>
      </c>
      <c r="C694" t="s">
        <v>28</v>
      </c>
      <c r="D694" t="s">
        <v>180</v>
      </c>
      <c r="F694" t="s">
        <v>181</v>
      </c>
      <c r="G694">
        <v>1.5</v>
      </c>
      <c r="H694" t="s">
        <v>604</v>
      </c>
    </row>
    <row r="695" spans="1:8" hidden="1">
      <c r="A695" t="s">
        <v>11</v>
      </c>
      <c r="B695">
        <v>2020</v>
      </c>
      <c r="C695" t="s">
        <v>28</v>
      </c>
      <c r="D695" t="s">
        <v>184</v>
      </c>
      <c r="F695" t="s">
        <v>181</v>
      </c>
      <c r="G695">
        <v>0.5</v>
      </c>
      <c r="H695" t="s">
        <v>216</v>
      </c>
    </row>
    <row r="696" spans="1:8" hidden="1">
      <c r="A696" t="s">
        <v>11</v>
      </c>
      <c r="B696">
        <v>2020</v>
      </c>
      <c r="C696" t="s">
        <v>28</v>
      </c>
      <c r="D696" t="s">
        <v>180</v>
      </c>
      <c r="F696" t="s">
        <v>181</v>
      </c>
      <c r="G696">
        <v>0.25</v>
      </c>
      <c r="H696" t="s">
        <v>605</v>
      </c>
    </row>
    <row r="697" spans="1:8" hidden="1">
      <c r="A697" t="s">
        <v>11</v>
      </c>
      <c r="B697">
        <v>2020</v>
      </c>
      <c r="C697" t="s">
        <v>28</v>
      </c>
      <c r="D697" t="s">
        <v>191</v>
      </c>
      <c r="F697" t="s">
        <v>181</v>
      </c>
      <c r="G697">
        <v>2</v>
      </c>
      <c r="H697" t="s">
        <v>610</v>
      </c>
    </row>
    <row r="698" spans="1:8" hidden="1">
      <c r="A698" t="s">
        <v>11</v>
      </c>
      <c r="B698">
        <v>2020</v>
      </c>
      <c r="C698" t="s">
        <v>28</v>
      </c>
      <c r="D698" t="s">
        <v>188</v>
      </c>
      <c r="F698" t="s">
        <v>181</v>
      </c>
      <c r="G698">
        <v>1</v>
      </c>
      <c r="H698" t="s">
        <v>608</v>
      </c>
    </row>
    <row r="699" spans="1:8" hidden="1">
      <c r="A699" t="s">
        <v>11</v>
      </c>
      <c r="B699">
        <v>2020</v>
      </c>
      <c r="C699" t="s">
        <v>28</v>
      </c>
      <c r="D699" t="s">
        <v>193</v>
      </c>
      <c r="F699" t="s">
        <v>181</v>
      </c>
      <c r="G699">
        <v>0.5</v>
      </c>
      <c r="H699" t="s">
        <v>609</v>
      </c>
    </row>
    <row r="700" spans="1:8" hidden="1">
      <c r="A700" t="s">
        <v>11</v>
      </c>
      <c r="B700">
        <v>2020</v>
      </c>
      <c r="C700" t="s">
        <v>28</v>
      </c>
      <c r="D700" t="s">
        <v>180</v>
      </c>
      <c r="F700" t="s">
        <v>181</v>
      </c>
      <c r="G700">
        <v>1.5</v>
      </c>
      <c r="H700" t="s">
        <v>604</v>
      </c>
    </row>
    <row r="701" spans="1:8" hidden="1">
      <c r="A701" t="s">
        <v>11</v>
      </c>
      <c r="B701">
        <v>2020</v>
      </c>
      <c r="C701" t="s">
        <v>28</v>
      </c>
      <c r="D701" t="s">
        <v>184</v>
      </c>
      <c r="F701" t="s">
        <v>181</v>
      </c>
      <c r="G701">
        <v>0.5</v>
      </c>
      <c r="H701" t="s">
        <v>216</v>
      </c>
    </row>
    <row r="702" spans="1:8" hidden="1">
      <c r="A702" t="s">
        <v>11</v>
      </c>
      <c r="B702">
        <v>2020</v>
      </c>
      <c r="C702" t="s">
        <v>28</v>
      </c>
      <c r="D702" t="s">
        <v>191</v>
      </c>
      <c r="F702" t="s">
        <v>181</v>
      </c>
      <c r="G702">
        <v>1.75</v>
      </c>
      <c r="H702" t="s">
        <v>611</v>
      </c>
    </row>
    <row r="703" spans="1:8" hidden="1">
      <c r="A703" t="s">
        <v>11</v>
      </c>
      <c r="B703">
        <v>2020</v>
      </c>
      <c r="C703" t="s">
        <v>28</v>
      </c>
      <c r="D703" t="s">
        <v>180</v>
      </c>
      <c r="F703" t="s">
        <v>181</v>
      </c>
      <c r="G703">
        <v>0.25</v>
      </c>
      <c r="H703" t="s">
        <v>605</v>
      </c>
    </row>
    <row r="704" spans="1:8" hidden="1">
      <c r="A704" t="s">
        <v>11</v>
      </c>
      <c r="B704">
        <v>2020</v>
      </c>
      <c r="C704" t="s">
        <v>28</v>
      </c>
      <c r="D704" t="s">
        <v>188</v>
      </c>
      <c r="F704" t="s">
        <v>181</v>
      </c>
      <c r="G704">
        <v>0.5</v>
      </c>
      <c r="H704" t="s">
        <v>609</v>
      </c>
    </row>
    <row r="705" spans="1:8" hidden="1">
      <c r="A705" t="s">
        <v>11</v>
      </c>
      <c r="B705">
        <v>2020</v>
      </c>
      <c r="C705" t="s">
        <v>28</v>
      </c>
      <c r="D705" t="s">
        <v>180</v>
      </c>
      <c r="F705" t="s">
        <v>181</v>
      </c>
      <c r="G705">
        <v>1.5</v>
      </c>
      <c r="H705" t="s">
        <v>604</v>
      </c>
    </row>
    <row r="706" spans="1:8" hidden="1">
      <c r="A706" t="s">
        <v>11</v>
      </c>
      <c r="B706">
        <v>2020</v>
      </c>
      <c r="C706" t="s">
        <v>28</v>
      </c>
      <c r="D706" t="s">
        <v>184</v>
      </c>
      <c r="F706" t="s">
        <v>181</v>
      </c>
      <c r="G706">
        <v>0.5</v>
      </c>
      <c r="H706" t="s">
        <v>216</v>
      </c>
    </row>
    <row r="707" spans="1:8" hidden="1">
      <c r="A707" t="s">
        <v>11</v>
      </c>
      <c r="B707">
        <v>2020</v>
      </c>
      <c r="C707" t="s">
        <v>28</v>
      </c>
      <c r="D707" t="s">
        <v>180</v>
      </c>
      <c r="F707" t="s">
        <v>181</v>
      </c>
      <c r="G707">
        <v>3.25</v>
      </c>
      <c r="H707" t="s">
        <v>612</v>
      </c>
    </row>
    <row r="708" spans="1:8" hidden="1">
      <c r="A708" t="s">
        <v>11</v>
      </c>
      <c r="B708">
        <v>2020</v>
      </c>
      <c r="C708" t="s">
        <v>28</v>
      </c>
      <c r="D708" t="s">
        <v>180</v>
      </c>
      <c r="F708" t="s">
        <v>181</v>
      </c>
      <c r="G708">
        <v>1</v>
      </c>
      <c r="H708" t="s">
        <v>613</v>
      </c>
    </row>
    <row r="709" spans="1:8" hidden="1">
      <c r="A709" t="s">
        <v>11</v>
      </c>
      <c r="B709">
        <v>2020</v>
      </c>
      <c r="C709" t="s">
        <v>28</v>
      </c>
      <c r="D709" t="s">
        <v>188</v>
      </c>
      <c r="F709" t="s">
        <v>181</v>
      </c>
      <c r="G709">
        <v>1</v>
      </c>
      <c r="H709" t="s">
        <v>608</v>
      </c>
    </row>
    <row r="710" spans="1:8" hidden="1">
      <c r="A710" t="s">
        <v>11</v>
      </c>
      <c r="B710">
        <v>2020</v>
      </c>
      <c r="C710" t="s">
        <v>28</v>
      </c>
      <c r="D710" t="s">
        <v>199</v>
      </c>
      <c r="F710" t="s">
        <v>181</v>
      </c>
      <c r="G710">
        <v>1.5</v>
      </c>
      <c r="H710" t="s">
        <v>614</v>
      </c>
    </row>
    <row r="711" spans="1:8" hidden="1">
      <c r="A711" t="s">
        <v>11</v>
      </c>
      <c r="B711">
        <v>2020</v>
      </c>
      <c r="C711" t="s">
        <v>28</v>
      </c>
      <c r="D711" t="s">
        <v>188</v>
      </c>
      <c r="F711" t="s">
        <v>181</v>
      </c>
      <c r="G711">
        <v>2.25</v>
      </c>
      <c r="H711" t="s">
        <v>615</v>
      </c>
    </row>
    <row r="712" spans="1:8" hidden="1">
      <c r="A712" t="s">
        <v>11</v>
      </c>
      <c r="B712">
        <v>2020</v>
      </c>
      <c r="C712" t="s">
        <v>28</v>
      </c>
      <c r="D712" t="s">
        <v>188</v>
      </c>
      <c r="F712" t="s">
        <v>181</v>
      </c>
      <c r="G712">
        <v>0.75</v>
      </c>
      <c r="H712" t="s">
        <v>616</v>
      </c>
    </row>
    <row r="713" spans="1:8" hidden="1">
      <c r="A713" t="s">
        <v>11</v>
      </c>
      <c r="B713">
        <v>2020</v>
      </c>
      <c r="C713" t="s">
        <v>28</v>
      </c>
      <c r="D713" t="s">
        <v>203</v>
      </c>
      <c r="F713" t="s">
        <v>208</v>
      </c>
      <c r="G713">
        <v>0.75</v>
      </c>
      <c r="H713" t="s">
        <v>617</v>
      </c>
    </row>
    <row r="714" spans="1:8" hidden="1">
      <c r="A714" t="s">
        <v>11</v>
      </c>
      <c r="B714">
        <v>2020</v>
      </c>
      <c r="C714" t="s">
        <v>28</v>
      </c>
      <c r="D714" t="s">
        <v>188</v>
      </c>
      <c r="F714" t="s">
        <v>208</v>
      </c>
      <c r="G714">
        <v>3.5</v>
      </c>
      <c r="H714" t="s">
        <v>618</v>
      </c>
    </row>
    <row r="715" spans="1:8" hidden="1">
      <c r="A715" t="s">
        <v>11</v>
      </c>
      <c r="B715">
        <v>2020</v>
      </c>
      <c r="C715" t="s">
        <v>28</v>
      </c>
      <c r="D715" t="s">
        <v>188</v>
      </c>
      <c r="F715" t="s">
        <v>208</v>
      </c>
      <c r="G715">
        <v>0.9</v>
      </c>
      <c r="H715" t="s">
        <v>619</v>
      </c>
    </row>
    <row r="716" spans="1:8" hidden="1">
      <c r="A716" t="s">
        <v>11</v>
      </c>
      <c r="B716">
        <v>2020</v>
      </c>
      <c r="C716" t="s">
        <v>28</v>
      </c>
      <c r="D716" t="s">
        <v>188</v>
      </c>
      <c r="F716" t="s">
        <v>208</v>
      </c>
      <c r="G716">
        <v>0.5</v>
      </c>
      <c r="H716" t="s">
        <v>620</v>
      </c>
    </row>
    <row r="717" spans="1:8" hidden="1">
      <c r="A717" t="s">
        <v>11</v>
      </c>
      <c r="B717">
        <v>2020</v>
      </c>
      <c r="C717" t="s">
        <v>28</v>
      </c>
      <c r="D717" t="s">
        <v>188</v>
      </c>
      <c r="F717" t="s">
        <v>208</v>
      </c>
      <c r="G717">
        <v>1</v>
      </c>
      <c r="H717" t="s">
        <v>621</v>
      </c>
    </row>
    <row r="718" spans="1:8" hidden="1">
      <c r="A718" t="s">
        <v>11</v>
      </c>
      <c r="B718">
        <v>2020</v>
      </c>
      <c r="C718" t="s">
        <v>28</v>
      </c>
      <c r="D718" t="s">
        <v>180</v>
      </c>
      <c r="F718" t="s">
        <v>208</v>
      </c>
      <c r="G718">
        <v>0.45</v>
      </c>
      <c r="H718" t="s">
        <v>622</v>
      </c>
    </row>
    <row r="719" spans="1:8" hidden="1">
      <c r="A719" t="s">
        <v>11</v>
      </c>
      <c r="B719">
        <v>2020</v>
      </c>
      <c r="C719" t="s">
        <v>28</v>
      </c>
      <c r="D719" t="s">
        <v>180</v>
      </c>
      <c r="F719" t="s">
        <v>208</v>
      </c>
      <c r="G719">
        <v>0.25</v>
      </c>
      <c r="H719" t="s">
        <v>623</v>
      </c>
    </row>
    <row r="720" spans="1:8" hidden="1">
      <c r="A720" t="s">
        <v>11</v>
      </c>
      <c r="B720">
        <v>2020</v>
      </c>
      <c r="C720" t="s">
        <v>28</v>
      </c>
      <c r="D720" t="s">
        <v>203</v>
      </c>
      <c r="F720" t="s">
        <v>208</v>
      </c>
      <c r="G720">
        <v>1.05</v>
      </c>
      <c r="H720" t="s">
        <v>624</v>
      </c>
    </row>
    <row r="721" spans="1:8" hidden="1">
      <c r="A721" t="s">
        <v>11</v>
      </c>
      <c r="B721">
        <v>2020</v>
      </c>
      <c r="C721" t="s">
        <v>28</v>
      </c>
      <c r="D721" t="s">
        <v>203</v>
      </c>
      <c r="F721" t="s">
        <v>208</v>
      </c>
      <c r="G721">
        <v>1.1000000000000001</v>
      </c>
      <c r="H721" t="s">
        <v>625</v>
      </c>
    </row>
    <row r="722" spans="1:8" hidden="1">
      <c r="A722" t="s">
        <v>11</v>
      </c>
      <c r="B722">
        <v>2020</v>
      </c>
      <c r="C722" t="s">
        <v>28</v>
      </c>
      <c r="D722" t="s">
        <v>188</v>
      </c>
      <c r="F722" t="s">
        <v>208</v>
      </c>
      <c r="G722">
        <v>0.75</v>
      </c>
      <c r="H722" t="s">
        <v>626</v>
      </c>
    </row>
    <row r="723" spans="1:8" hidden="1">
      <c r="A723" t="s">
        <v>11</v>
      </c>
      <c r="B723">
        <v>2020</v>
      </c>
      <c r="C723" t="s">
        <v>28</v>
      </c>
      <c r="D723" t="s">
        <v>188</v>
      </c>
      <c r="F723" t="s">
        <v>208</v>
      </c>
      <c r="G723">
        <v>0.25</v>
      </c>
      <c r="H723" t="s">
        <v>627</v>
      </c>
    </row>
    <row r="724" spans="1:8" hidden="1">
      <c r="A724" t="s">
        <v>11</v>
      </c>
      <c r="B724">
        <v>2020</v>
      </c>
      <c r="C724" t="s">
        <v>28</v>
      </c>
      <c r="D724" t="s">
        <v>188</v>
      </c>
      <c r="F724" t="s">
        <v>208</v>
      </c>
      <c r="G724">
        <v>3</v>
      </c>
      <c r="H724" t="s">
        <v>628</v>
      </c>
    </row>
    <row r="725" spans="1:8" hidden="1">
      <c r="A725" t="s">
        <v>11</v>
      </c>
      <c r="B725">
        <v>2020</v>
      </c>
      <c r="C725" t="s">
        <v>28</v>
      </c>
      <c r="D725" t="s">
        <v>188</v>
      </c>
      <c r="F725" t="s">
        <v>208</v>
      </c>
      <c r="G725">
        <v>0.1</v>
      </c>
      <c r="H725" t="s">
        <v>629</v>
      </c>
    </row>
    <row r="726" spans="1:8" hidden="1">
      <c r="A726" t="s">
        <v>11</v>
      </c>
      <c r="B726">
        <v>2020</v>
      </c>
      <c r="C726" t="s">
        <v>28</v>
      </c>
      <c r="D726" t="s">
        <v>259</v>
      </c>
      <c r="F726" t="s">
        <v>208</v>
      </c>
      <c r="G726">
        <v>0.25</v>
      </c>
      <c r="H726" t="s">
        <v>630</v>
      </c>
    </row>
    <row r="727" spans="1:8" hidden="1">
      <c r="A727" t="s">
        <v>11</v>
      </c>
      <c r="B727">
        <v>2020</v>
      </c>
      <c r="C727" t="s">
        <v>28</v>
      </c>
      <c r="D727" t="s">
        <v>199</v>
      </c>
      <c r="F727" t="s">
        <v>208</v>
      </c>
      <c r="G727">
        <v>0.5</v>
      </c>
      <c r="H727" t="s">
        <v>631</v>
      </c>
    </row>
    <row r="728" spans="1:8" hidden="1">
      <c r="A728" t="s">
        <v>11</v>
      </c>
      <c r="B728">
        <v>2020</v>
      </c>
      <c r="C728" t="s">
        <v>28</v>
      </c>
      <c r="D728" t="s">
        <v>188</v>
      </c>
      <c r="F728" t="s">
        <v>208</v>
      </c>
      <c r="G728">
        <v>0.9</v>
      </c>
      <c r="H728" t="s">
        <v>632</v>
      </c>
    </row>
    <row r="729" spans="1:8" hidden="1">
      <c r="A729" t="s">
        <v>11</v>
      </c>
      <c r="B729">
        <v>2020</v>
      </c>
      <c r="C729" t="s">
        <v>28</v>
      </c>
      <c r="D729" t="s">
        <v>191</v>
      </c>
      <c r="F729" t="s">
        <v>208</v>
      </c>
      <c r="G729">
        <v>3.5</v>
      </c>
      <c r="H729" t="s">
        <v>633</v>
      </c>
    </row>
    <row r="730" spans="1:8" hidden="1">
      <c r="A730" t="s">
        <v>11</v>
      </c>
      <c r="B730">
        <v>2020</v>
      </c>
      <c r="C730" t="s">
        <v>28</v>
      </c>
      <c r="D730" t="s">
        <v>184</v>
      </c>
      <c r="F730" t="s">
        <v>208</v>
      </c>
      <c r="G730">
        <v>0.5</v>
      </c>
    </row>
    <row r="731" spans="1:8" hidden="1">
      <c r="A731" t="s">
        <v>11</v>
      </c>
      <c r="B731">
        <v>2020</v>
      </c>
      <c r="C731" t="s">
        <v>28</v>
      </c>
      <c r="D731" t="s">
        <v>259</v>
      </c>
      <c r="F731" t="s">
        <v>208</v>
      </c>
      <c r="G731">
        <v>0</v>
      </c>
      <c r="H731" t="s">
        <v>634</v>
      </c>
    </row>
    <row r="732" spans="1:8" hidden="1">
      <c r="A732" t="s">
        <v>11</v>
      </c>
      <c r="B732">
        <v>2020</v>
      </c>
      <c r="C732" t="s">
        <v>31</v>
      </c>
      <c r="D732" t="s">
        <v>180</v>
      </c>
      <c r="F732" t="s">
        <v>181</v>
      </c>
      <c r="G732">
        <v>6</v>
      </c>
      <c r="H732" t="s">
        <v>635</v>
      </c>
    </row>
    <row r="733" spans="1:8" hidden="1">
      <c r="A733" t="s">
        <v>11</v>
      </c>
      <c r="B733">
        <v>2020</v>
      </c>
      <c r="C733" t="s">
        <v>31</v>
      </c>
      <c r="D733" t="s">
        <v>184</v>
      </c>
      <c r="F733" t="s">
        <v>181</v>
      </c>
      <c r="G733">
        <v>2.4</v>
      </c>
      <c r="H733" t="s">
        <v>636</v>
      </c>
    </row>
    <row r="734" spans="1:8" hidden="1">
      <c r="A734" t="s">
        <v>11</v>
      </c>
      <c r="B734">
        <v>2020</v>
      </c>
      <c r="C734" t="s">
        <v>31</v>
      </c>
      <c r="D734" t="s">
        <v>180</v>
      </c>
      <c r="F734" t="s">
        <v>181</v>
      </c>
      <c r="G734">
        <v>0.95</v>
      </c>
      <c r="H734" t="s">
        <v>637</v>
      </c>
    </row>
    <row r="735" spans="1:8" hidden="1">
      <c r="A735" t="s">
        <v>11</v>
      </c>
      <c r="B735">
        <v>2020</v>
      </c>
      <c r="C735" t="s">
        <v>31</v>
      </c>
      <c r="D735" t="s">
        <v>188</v>
      </c>
      <c r="F735" t="s">
        <v>181</v>
      </c>
      <c r="G735">
        <v>4</v>
      </c>
      <c r="H735" t="s">
        <v>638</v>
      </c>
    </row>
    <row r="736" spans="1:8" hidden="1">
      <c r="A736" t="s">
        <v>11</v>
      </c>
      <c r="B736">
        <v>2020</v>
      </c>
      <c r="C736" t="s">
        <v>31</v>
      </c>
      <c r="D736" t="s">
        <v>193</v>
      </c>
      <c r="F736" t="s">
        <v>181</v>
      </c>
      <c r="G736">
        <v>0.25</v>
      </c>
      <c r="H736" t="s">
        <v>639</v>
      </c>
    </row>
    <row r="737" spans="1:8" hidden="1">
      <c r="A737" t="s">
        <v>11</v>
      </c>
      <c r="B737">
        <v>2020</v>
      </c>
      <c r="C737" t="s">
        <v>31</v>
      </c>
      <c r="D737" t="s">
        <v>191</v>
      </c>
      <c r="F737" t="s">
        <v>181</v>
      </c>
      <c r="G737">
        <v>0.75</v>
      </c>
      <c r="H737" t="s">
        <v>640</v>
      </c>
    </row>
    <row r="738" spans="1:8" hidden="1">
      <c r="A738" t="s">
        <v>11</v>
      </c>
      <c r="B738">
        <v>2020</v>
      </c>
      <c r="C738" t="s">
        <v>31</v>
      </c>
      <c r="D738" t="s">
        <v>199</v>
      </c>
      <c r="F738" t="s">
        <v>181</v>
      </c>
      <c r="G738">
        <v>1</v>
      </c>
      <c r="H738" t="s">
        <v>641</v>
      </c>
    </row>
    <row r="739" spans="1:8" hidden="1">
      <c r="A739" t="s">
        <v>11</v>
      </c>
      <c r="B739">
        <v>2020</v>
      </c>
      <c r="C739" t="s">
        <v>31</v>
      </c>
      <c r="D739" t="s">
        <v>180</v>
      </c>
      <c r="F739" t="s">
        <v>181</v>
      </c>
      <c r="G739">
        <v>0.25</v>
      </c>
      <c r="H739" t="s">
        <v>642</v>
      </c>
    </row>
    <row r="740" spans="1:8" hidden="1">
      <c r="A740" t="s">
        <v>11</v>
      </c>
      <c r="B740">
        <v>2020</v>
      </c>
      <c r="C740" t="s">
        <v>31</v>
      </c>
      <c r="D740" t="s">
        <v>191</v>
      </c>
      <c r="F740" t="s">
        <v>181</v>
      </c>
      <c r="G740">
        <v>0.25</v>
      </c>
      <c r="H740" t="s">
        <v>643</v>
      </c>
    </row>
    <row r="741" spans="1:8" hidden="1">
      <c r="A741" t="s">
        <v>11</v>
      </c>
      <c r="B741">
        <v>2020</v>
      </c>
      <c r="C741" t="s">
        <v>31</v>
      </c>
      <c r="D741" t="s">
        <v>191</v>
      </c>
      <c r="F741" t="s">
        <v>181</v>
      </c>
      <c r="G741">
        <v>0.75</v>
      </c>
      <c r="H741" t="s">
        <v>644</v>
      </c>
    </row>
    <row r="742" spans="1:8" hidden="1">
      <c r="A742" t="s">
        <v>11</v>
      </c>
      <c r="B742">
        <v>2020</v>
      </c>
      <c r="C742" t="s">
        <v>31</v>
      </c>
      <c r="D742" t="s">
        <v>188</v>
      </c>
      <c r="F742" t="s">
        <v>181</v>
      </c>
      <c r="G742">
        <v>0.1</v>
      </c>
      <c r="H742" t="s">
        <v>645</v>
      </c>
    </row>
    <row r="743" spans="1:8" hidden="1">
      <c r="A743" t="s">
        <v>11</v>
      </c>
      <c r="B743">
        <v>2020</v>
      </c>
      <c r="C743" t="s">
        <v>31</v>
      </c>
      <c r="D743" t="s">
        <v>193</v>
      </c>
      <c r="F743" t="s">
        <v>181</v>
      </c>
      <c r="G743">
        <v>1</v>
      </c>
      <c r="H743" t="s">
        <v>646</v>
      </c>
    </row>
    <row r="744" spans="1:8" hidden="1">
      <c r="A744" t="s">
        <v>11</v>
      </c>
      <c r="B744">
        <v>2020</v>
      </c>
      <c r="C744" t="s">
        <v>31</v>
      </c>
      <c r="D744" t="s">
        <v>188</v>
      </c>
      <c r="F744" t="s">
        <v>208</v>
      </c>
      <c r="G744">
        <v>2.6</v>
      </c>
      <c r="H744" t="s">
        <v>647</v>
      </c>
    </row>
    <row r="745" spans="1:8" hidden="1">
      <c r="A745" t="s">
        <v>11</v>
      </c>
      <c r="B745">
        <v>2020</v>
      </c>
      <c r="C745" t="s">
        <v>31</v>
      </c>
      <c r="D745" t="s">
        <v>193</v>
      </c>
      <c r="F745" t="s">
        <v>208</v>
      </c>
      <c r="G745">
        <v>0.1</v>
      </c>
      <c r="H745" t="s">
        <v>648</v>
      </c>
    </row>
    <row r="746" spans="1:8" hidden="1">
      <c r="A746" t="s">
        <v>11</v>
      </c>
      <c r="B746">
        <v>2020</v>
      </c>
      <c r="C746" t="s">
        <v>31</v>
      </c>
      <c r="D746" t="s">
        <v>199</v>
      </c>
      <c r="F746" t="s">
        <v>208</v>
      </c>
      <c r="G746">
        <v>4.5</v>
      </c>
      <c r="H746" t="s">
        <v>649</v>
      </c>
    </row>
    <row r="747" spans="1:8" hidden="1">
      <c r="A747" t="s">
        <v>11</v>
      </c>
      <c r="B747">
        <v>2020</v>
      </c>
      <c r="C747" t="s">
        <v>31</v>
      </c>
      <c r="D747" t="s">
        <v>188</v>
      </c>
      <c r="F747" t="s">
        <v>208</v>
      </c>
      <c r="G747">
        <v>1</v>
      </c>
      <c r="H747" t="s">
        <v>650</v>
      </c>
    </row>
    <row r="748" spans="1:8" hidden="1">
      <c r="A748" t="s">
        <v>11</v>
      </c>
      <c r="B748">
        <v>2020</v>
      </c>
      <c r="C748" t="s">
        <v>31</v>
      </c>
      <c r="D748" t="s">
        <v>188</v>
      </c>
      <c r="F748" t="s">
        <v>208</v>
      </c>
      <c r="G748">
        <v>0.45</v>
      </c>
      <c r="H748" t="s">
        <v>651</v>
      </c>
    </row>
    <row r="749" spans="1:8" hidden="1">
      <c r="A749" t="s">
        <v>11</v>
      </c>
      <c r="B749">
        <v>2020</v>
      </c>
      <c r="C749" t="s">
        <v>31</v>
      </c>
      <c r="D749" t="s">
        <v>188</v>
      </c>
      <c r="F749" t="s">
        <v>208</v>
      </c>
      <c r="G749">
        <v>0.3</v>
      </c>
      <c r="H749" t="s">
        <v>651</v>
      </c>
    </row>
    <row r="750" spans="1:8" hidden="1">
      <c r="A750" t="s">
        <v>11</v>
      </c>
      <c r="B750">
        <v>2020</v>
      </c>
      <c r="C750" t="s">
        <v>31</v>
      </c>
      <c r="D750" t="s">
        <v>652</v>
      </c>
      <c r="F750" t="s">
        <v>208</v>
      </c>
      <c r="G750">
        <v>6</v>
      </c>
      <c r="H750" t="s">
        <v>653</v>
      </c>
    </row>
    <row r="751" spans="1:8" hidden="1">
      <c r="A751" t="s">
        <v>11</v>
      </c>
      <c r="B751">
        <v>2020</v>
      </c>
      <c r="C751" t="s">
        <v>31</v>
      </c>
      <c r="D751" t="s">
        <v>199</v>
      </c>
      <c r="F751" t="s">
        <v>208</v>
      </c>
      <c r="G751">
        <v>0.5</v>
      </c>
      <c r="H751" t="s">
        <v>654</v>
      </c>
    </row>
    <row r="752" spans="1:8" hidden="1">
      <c r="A752" t="s">
        <v>11</v>
      </c>
      <c r="B752">
        <v>2020</v>
      </c>
      <c r="C752" t="s">
        <v>31</v>
      </c>
      <c r="D752" t="s">
        <v>180</v>
      </c>
      <c r="F752" t="s">
        <v>208</v>
      </c>
      <c r="G752">
        <v>1.5</v>
      </c>
      <c r="H752" t="s">
        <v>655</v>
      </c>
    </row>
    <row r="753" spans="1:8" hidden="1">
      <c r="A753" t="s">
        <v>11</v>
      </c>
      <c r="B753">
        <v>2020</v>
      </c>
      <c r="C753" t="s">
        <v>31</v>
      </c>
      <c r="D753" t="s">
        <v>188</v>
      </c>
      <c r="F753" t="s">
        <v>208</v>
      </c>
      <c r="G753">
        <v>0.25</v>
      </c>
      <c r="H753" t="s">
        <v>656</v>
      </c>
    </row>
    <row r="754" spans="1:8" hidden="1">
      <c r="A754" t="s">
        <v>11</v>
      </c>
      <c r="B754">
        <v>2020</v>
      </c>
      <c r="C754" t="s">
        <v>31</v>
      </c>
      <c r="D754" t="s">
        <v>188</v>
      </c>
      <c r="F754" t="s">
        <v>208</v>
      </c>
      <c r="G754">
        <v>0.4</v>
      </c>
      <c r="H754" t="s">
        <v>657</v>
      </c>
    </row>
    <row r="755" spans="1:8" hidden="1">
      <c r="A755" t="s">
        <v>11</v>
      </c>
      <c r="B755">
        <v>2020</v>
      </c>
      <c r="C755" t="s">
        <v>31</v>
      </c>
      <c r="D755" t="s">
        <v>191</v>
      </c>
      <c r="F755" t="s">
        <v>208</v>
      </c>
      <c r="G755">
        <v>0.25</v>
      </c>
      <c r="H755" t="s">
        <v>658</v>
      </c>
    </row>
    <row r="756" spans="1:8" hidden="1">
      <c r="A756" t="s">
        <v>11</v>
      </c>
      <c r="B756">
        <v>2020</v>
      </c>
      <c r="C756" t="s">
        <v>33</v>
      </c>
      <c r="D756" t="s">
        <v>180</v>
      </c>
      <c r="F756" t="s">
        <v>181</v>
      </c>
      <c r="G756">
        <v>20.5</v>
      </c>
      <c r="H756" t="s">
        <v>659</v>
      </c>
    </row>
    <row r="757" spans="1:8" hidden="1">
      <c r="A757" t="s">
        <v>11</v>
      </c>
      <c r="B757">
        <v>2020</v>
      </c>
      <c r="C757" t="s">
        <v>33</v>
      </c>
      <c r="D757" t="s">
        <v>180</v>
      </c>
      <c r="F757" t="s">
        <v>181</v>
      </c>
      <c r="G757">
        <v>4.5</v>
      </c>
      <c r="H757" t="s">
        <v>660</v>
      </c>
    </row>
    <row r="758" spans="1:8" hidden="1">
      <c r="A758" t="s">
        <v>11</v>
      </c>
      <c r="B758">
        <v>2020</v>
      </c>
      <c r="C758" t="s">
        <v>33</v>
      </c>
      <c r="D758" t="s">
        <v>184</v>
      </c>
      <c r="F758" t="s">
        <v>181</v>
      </c>
      <c r="G758">
        <v>3.5</v>
      </c>
      <c r="H758" t="s">
        <v>661</v>
      </c>
    </row>
    <row r="759" spans="1:8" hidden="1">
      <c r="A759" t="s">
        <v>11</v>
      </c>
      <c r="B759">
        <v>2020</v>
      </c>
      <c r="C759" t="s">
        <v>33</v>
      </c>
      <c r="D759" t="s">
        <v>317</v>
      </c>
      <c r="F759" t="s">
        <v>181</v>
      </c>
      <c r="G759">
        <v>10</v>
      </c>
      <c r="H759" t="s">
        <v>662</v>
      </c>
    </row>
    <row r="760" spans="1:8" hidden="1">
      <c r="A760" t="s">
        <v>11</v>
      </c>
      <c r="B760">
        <v>2020</v>
      </c>
      <c r="C760" t="s">
        <v>33</v>
      </c>
      <c r="D760" t="s">
        <v>180</v>
      </c>
      <c r="F760" t="s">
        <v>181</v>
      </c>
      <c r="G760">
        <v>5</v>
      </c>
      <c r="H760" t="s">
        <v>663</v>
      </c>
    </row>
    <row r="761" spans="1:8" hidden="1">
      <c r="A761" t="s">
        <v>11</v>
      </c>
      <c r="B761">
        <v>2020</v>
      </c>
      <c r="C761" t="s">
        <v>33</v>
      </c>
      <c r="D761" t="s">
        <v>188</v>
      </c>
      <c r="F761" t="s">
        <v>181</v>
      </c>
      <c r="G761">
        <v>3</v>
      </c>
      <c r="H761" t="s">
        <v>664</v>
      </c>
    </row>
    <row r="762" spans="1:8" hidden="1">
      <c r="A762" t="s">
        <v>11</v>
      </c>
      <c r="B762">
        <v>2020</v>
      </c>
      <c r="C762" t="s">
        <v>33</v>
      </c>
      <c r="D762" t="s">
        <v>199</v>
      </c>
      <c r="F762" t="s">
        <v>181</v>
      </c>
      <c r="G762">
        <v>0.4</v>
      </c>
      <c r="H762" t="s">
        <v>665</v>
      </c>
    </row>
    <row r="763" spans="1:8" hidden="1">
      <c r="A763" t="s">
        <v>11</v>
      </c>
      <c r="B763">
        <v>2020</v>
      </c>
      <c r="C763" t="s">
        <v>33</v>
      </c>
      <c r="D763" t="s">
        <v>193</v>
      </c>
      <c r="F763" t="s">
        <v>181</v>
      </c>
      <c r="G763">
        <v>0.2</v>
      </c>
    </row>
    <row r="764" spans="1:8" hidden="1">
      <c r="A764" t="s">
        <v>11</v>
      </c>
      <c r="B764">
        <v>2020</v>
      </c>
      <c r="C764" t="s">
        <v>33</v>
      </c>
      <c r="D764" t="s">
        <v>180</v>
      </c>
      <c r="F764" t="s">
        <v>181</v>
      </c>
      <c r="G764">
        <v>8</v>
      </c>
      <c r="H764" t="s">
        <v>666</v>
      </c>
    </row>
    <row r="765" spans="1:8" hidden="1">
      <c r="A765" t="s">
        <v>11</v>
      </c>
      <c r="B765">
        <v>2020</v>
      </c>
      <c r="C765" t="s">
        <v>33</v>
      </c>
      <c r="D765" t="s">
        <v>191</v>
      </c>
      <c r="F765" t="s">
        <v>181</v>
      </c>
      <c r="G765">
        <v>3.15</v>
      </c>
      <c r="H765" t="s">
        <v>667</v>
      </c>
    </row>
    <row r="766" spans="1:8" hidden="1">
      <c r="A766" t="s">
        <v>11</v>
      </c>
      <c r="B766">
        <v>2020</v>
      </c>
      <c r="C766" t="s">
        <v>33</v>
      </c>
      <c r="D766" t="s">
        <v>180</v>
      </c>
      <c r="F766" t="s">
        <v>181</v>
      </c>
      <c r="G766">
        <v>1</v>
      </c>
      <c r="H766" t="s">
        <v>668</v>
      </c>
    </row>
    <row r="767" spans="1:8" hidden="1">
      <c r="A767" t="s">
        <v>11</v>
      </c>
      <c r="B767">
        <v>2020</v>
      </c>
      <c r="C767" t="s">
        <v>33</v>
      </c>
      <c r="D767" t="s">
        <v>180</v>
      </c>
      <c r="F767" t="s">
        <v>181</v>
      </c>
      <c r="G767">
        <v>0.9</v>
      </c>
      <c r="H767" t="s">
        <v>669</v>
      </c>
    </row>
    <row r="768" spans="1:8" hidden="1">
      <c r="A768" t="s">
        <v>11</v>
      </c>
      <c r="B768">
        <v>2020</v>
      </c>
      <c r="C768" t="s">
        <v>33</v>
      </c>
      <c r="D768" t="s">
        <v>191</v>
      </c>
      <c r="F768" t="s">
        <v>208</v>
      </c>
      <c r="G768">
        <v>1.25</v>
      </c>
      <c r="H768" t="s">
        <v>670</v>
      </c>
    </row>
    <row r="769" spans="1:8" hidden="1">
      <c r="A769" t="s">
        <v>11</v>
      </c>
      <c r="B769">
        <v>2020</v>
      </c>
      <c r="C769" t="s">
        <v>33</v>
      </c>
      <c r="D769" t="s">
        <v>188</v>
      </c>
      <c r="F769" t="s">
        <v>208</v>
      </c>
      <c r="G769">
        <v>0.25</v>
      </c>
      <c r="H769" t="s">
        <v>671</v>
      </c>
    </row>
    <row r="770" spans="1:8" hidden="1">
      <c r="A770" t="s">
        <v>11</v>
      </c>
      <c r="B770">
        <v>2020</v>
      </c>
      <c r="C770" t="s">
        <v>33</v>
      </c>
      <c r="D770" t="s">
        <v>193</v>
      </c>
      <c r="F770" t="s">
        <v>208</v>
      </c>
      <c r="G770">
        <v>0.5</v>
      </c>
      <c r="H770" t="s">
        <v>672</v>
      </c>
    </row>
    <row r="771" spans="1:8" hidden="1">
      <c r="A771" t="s">
        <v>11</v>
      </c>
      <c r="B771">
        <v>2020</v>
      </c>
      <c r="C771" t="s">
        <v>33</v>
      </c>
      <c r="D771" t="s">
        <v>188</v>
      </c>
      <c r="F771" t="s">
        <v>208</v>
      </c>
      <c r="G771">
        <v>0</v>
      </c>
      <c r="H771" t="s">
        <v>673</v>
      </c>
    </row>
    <row r="772" spans="1:8" hidden="1">
      <c r="A772" t="s">
        <v>11</v>
      </c>
      <c r="B772">
        <v>2020</v>
      </c>
      <c r="C772" t="s">
        <v>33</v>
      </c>
      <c r="D772" t="s">
        <v>188</v>
      </c>
      <c r="F772" t="s">
        <v>208</v>
      </c>
      <c r="G772">
        <v>0.25</v>
      </c>
      <c r="H772" t="s">
        <v>674</v>
      </c>
    </row>
    <row r="773" spans="1:8" hidden="1">
      <c r="A773" t="s">
        <v>11</v>
      </c>
      <c r="B773">
        <v>2020</v>
      </c>
      <c r="C773" t="s">
        <v>33</v>
      </c>
      <c r="D773" t="s">
        <v>188</v>
      </c>
      <c r="F773" t="s">
        <v>208</v>
      </c>
      <c r="G773">
        <v>1</v>
      </c>
      <c r="H773" t="s">
        <v>675</v>
      </c>
    </row>
    <row r="774" spans="1:8" hidden="1">
      <c r="A774" t="s">
        <v>11</v>
      </c>
      <c r="B774">
        <v>2020</v>
      </c>
      <c r="C774" t="s">
        <v>33</v>
      </c>
      <c r="D774" t="s">
        <v>197</v>
      </c>
      <c r="F774" t="s">
        <v>208</v>
      </c>
      <c r="G774">
        <v>3.5</v>
      </c>
      <c r="H774" t="s">
        <v>676</v>
      </c>
    </row>
    <row r="775" spans="1:8" hidden="1">
      <c r="A775" t="s">
        <v>11</v>
      </c>
      <c r="B775">
        <v>2020</v>
      </c>
      <c r="C775" t="s">
        <v>33</v>
      </c>
      <c r="D775" t="s">
        <v>188</v>
      </c>
      <c r="F775" t="s">
        <v>208</v>
      </c>
      <c r="G775">
        <v>2</v>
      </c>
      <c r="H775" t="s">
        <v>677</v>
      </c>
    </row>
    <row r="776" spans="1:8" hidden="1">
      <c r="A776" t="s">
        <v>11</v>
      </c>
      <c r="B776">
        <v>2020</v>
      </c>
      <c r="C776" t="s">
        <v>33</v>
      </c>
      <c r="D776" t="s">
        <v>188</v>
      </c>
      <c r="F776" t="s">
        <v>208</v>
      </c>
      <c r="G776">
        <v>0.55000000000000004</v>
      </c>
      <c r="H776" t="s">
        <v>678</v>
      </c>
    </row>
    <row r="777" spans="1:8" hidden="1">
      <c r="A777" t="s">
        <v>11</v>
      </c>
      <c r="B777">
        <v>2020</v>
      </c>
      <c r="C777" t="s">
        <v>33</v>
      </c>
      <c r="D777" t="s">
        <v>197</v>
      </c>
      <c r="F777" t="s">
        <v>208</v>
      </c>
      <c r="G777">
        <v>0.45</v>
      </c>
      <c r="H777" t="s">
        <v>679</v>
      </c>
    </row>
    <row r="778" spans="1:8" hidden="1">
      <c r="A778" t="s">
        <v>11</v>
      </c>
      <c r="B778">
        <v>2020</v>
      </c>
      <c r="C778" t="s">
        <v>33</v>
      </c>
      <c r="D778" t="s">
        <v>184</v>
      </c>
      <c r="F778" t="s">
        <v>208</v>
      </c>
      <c r="G778">
        <v>1</v>
      </c>
      <c r="H778" t="s">
        <v>680</v>
      </c>
    </row>
    <row r="779" spans="1:8" hidden="1">
      <c r="A779" t="s">
        <v>11</v>
      </c>
      <c r="B779">
        <v>2020</v>
      </c>
      <c r="C779" t="s">
        <v>34</v>
      </c>
      <c r="D779" t="s">
        <v>184</v>
      </c>
      <c r="F779" t="s">
        <v>181</v>
      </c>
      <c r="G779">
        <v>3</v>
      </c>
      <c r="H779" t="s">
        <v>681</v>
      </c>
    </row>
    <row r="780" spans="1:8" hidden="1">
      <c r="A780" t="s">
        <v>11</v>
      </c>
      <c r="B780">
        <v>2020</v>
      </c>
      <c r="C780" t="s">
        <v>34</v>
      </c>
      <c r="D780" t="s">
        <v>191</v>
      </c>
      <c r="F780" t="s">
        <v>181</v>
      </c>
      <c r="G780">
        <v>0.5</v>
      </c>
      <c r="H780" t="s">
        <v>682</v>
      </c>
    </row>
    <row r="781" spans="1:8" hidden="1">
      <c r="A781" t="s">
        <v>11</v>
      </c>
      <c r="B781">
        <v>2020</v>
      </c>
      <c r="C781" t="s">
        <v>34</v>
      </c>
      <c r="D781" t="s">
        <v>180</v>
      </c>
      <c r="F781" t="s">
        <v>181</v>
      </c>
      <c r="G781">
        <v>6</v>
      </c>
      <c r="H781" t="s">
        <v>683</v>
      </c>
    </row>
    <row r="782" spans="1:8" hidden="1">
      <c r="A782" t="s">
        <v>11</v>
      </c>
      <c r="B782">
        <v>2020</v>
      </c>
      <c r="C782" t="s">
        <v>34</v>
      </c>
      <c r="D782" t="s">
        <v>180</v>
      </c>
      <c r="F782" t="s">
        <v>181</v>
      </c>
      <c r="G782">
        <v>2</v>
      </c>
      <c r="H782" t="s">
        <v>684</v>
      </c>
    </row>
    <row r="783" spans="1:8" hidden="1">
      <c r="A783" t="s">
        <v>11</v>
      </c>
      <c r="B783">
        <v>2020</v>
      </c>
      <c r="C783" t="s">
        <v>34</v>
      </c>
      <c r="D783" t="s">
        <v>184</v>
      </c>
      <c r="F783" t="s">
        <v>181</v>
      </c>
      <c r="G783">
        <v>2</v>
      </c>
      <c r="H783" t="s">
        <v>685</v>
      </c>
    </row>
    <row r="784" spans="1:8" hidden="1">
      <c r="A784" t="s">
        <v>11</v>
      </c>
      <c r="B784">
        <v>2020</v>
      </c>
      <c r="C784" t="s">
        <v>34</v>
      </c>
      <c r="D784" t="s">
        <v>188</v>
      </c>
      <c r="F784" t="s">
        <v>181</v>
      </c>
      <c r="G784">
        <v>4</v>
      </c>
      <c r="H784" t="s">
        <v>608</v>
      </c>
    </row>
    <row r="785" spans="1:8" hidden="1">
      <c r="A785" t="s">
        <v>11</v>
      </c>
      <c r="B785">
        <v>2020</v>
      </c>
      <c r="C785" t="s">
        <v>34</v>
      </c>
      <c r="D785" t="s">
        <v>193</v>
      </c>
      <c r="F785" t="s">
        <v>181</v>
      </c>
      <c r="G785">
        <v>1</v>
      </c>
      <c r="H785" t="s">
        <v>686</v>
      </c>
    </row>
    <row r="786" spans="1:8" hidden="1">
      <c r="A786" t="s">
        <v>11</v>
      </c>
      <c r="B786">
        <v>2020</v>
      </c>
      <c r="C786" t="s">
        <v>34</v>
      </c>
      <c r="D786" t="s">
        <v>188</v>
      </c>
      <c r="F786" t="s">
        <v>208</v>
      </c>
      <c r="G786">
        <v>1</v>
      </c>
      <c r="H786" t="s">
        <v>687</v>
      </c>
    </row>
    <row r="787" spans="1:8" hidden="1">
      <c r="A787" t="s">
        <v>11</v>
      </c>
      <c r="B787">
        <v>2020</v>
      </c>
      <c r="C787" t="s">
        <v>34</v>
      </c>
      <c r="D787" t="s">
        <v>188</v>
      </c>
      <c r="F787" t="s">
        <v>208</v>
      </c>
      <c r="G787">
        <v>0.65</v>
      </c>
      <c r="H787" t="s">
        <v>688</v>
      </c>
    </row>
    <row r="788" spans="1:8" hidden="1">
      <c r="A788" t="s">
        <v>11</v>
      </c>
      <c r="B788">
        <v>2020</v>
      </c>
      <c r="C788" t="s">
        <v>34</v>
      </c>
      <c r="D788" t="s">
        <v>188</v>
      </c>
      <c r="F788" t="s">
        <v>208</v>
      </c>
      <c r="G788">
        <v>0.5</v>
      </c>
      <c r="H788" t="s">
        <v>689</v>
      </c>
    </row>
    <row r="789" spans="1:8" hidden="1">
      <c r="A789" t="s">
        <v>11</v>
      </c>
      <c r="B789">
        <v>2020</v>
      </c>
      <c r="C789" t="s">
        <v>34</v>
      </c>
      <c r="D789" t="s">
        <v>188</v>
      </c>
      <c r="F789" t="s">
        <v>208</v>
      </c>
      <c r="G789">
        <v>0.5</v>
      </c>
      <c r="H789" t="s">
        <v>690</v>
      </c>
    </row>
    <row r="790" spans="1:8" hidden="1">
      <c r="A790" t="s">
        <v>11</v>
      </c>
      <c r="B790">
        <v>2020</v>
      </c>
      <c r="C790" t="s">
        <v>34</v>
      </c>
      <c r="D790" t="s">
        <v>188</v>
      </c>
      <c r="F790" t="s">
        <v>208</v>
      </c>
      <c r="G790">
        <v>0.5</v>
      </c>
      <c r="H790" t="s">
        <v>691</v>
      </c>
    </row>
    <row r="791" spans="1:8" hidden="1">
      <c r="A791" t="s">
        <v>11</v>
      </c>
      <c r="B791">
        <v>2020</v>
      </c>
      <c r="C791" t="s">
        <v>34</v>
      </c>
      <c r="D791" t="s">
        <v>188</v>
      </c>
      <c r="F791" t="s">
        <v>208</v>
      </c>
      <c r="G791">
        <v>0.4</v>
      </c>
      <c r="H791" t="s">
        <v>692</v>
      </c>
    </row>
    <row r="792" spans="1:8" hidden="1">
      <c r="A792" t="s">
        <v>11</v>
      </c>
      <c r="B792">
        <v>2020</v>
      </c>
      <c r="C792" t="s">
        <v>34</v>
      </c>
      <c r="D792" t="s">
        <v>188</v>
      </c>
      <c r="F792" t="s">
        <v>208</v>
      </c>
      <c r="G792">
        <v>0</v>
      </c>
      <c r="H792" t="s">
        <v>693</v>
      </c>
    </row>
    <row r="793" spans="1:8" hidden="1">
      <c r="A793" t="s">
        <v>11</v>
      </c>
      <c r="B793">
        <v>2020</v>
      </c>
      <c r="C793" t="s">
        <v>34</v>
      </c>
      <c r="D793" t="s">
        <v>188</v>
      </c>
      <c r="F793" t="s">
        <v>208</v>
      </c>
      <c r="G793">
        <v>0.15</v>
      </c>
      <c r="H793" t="s">
        <v>694</v>
      </c>
    </row>
    <row r="794" spans="1:8" hidden="1">
      <c r="A794" t="s">
        <v>11</v>
      </c>
      <c r="B794">
        <v>2020</v>
      </c>
      <c r="C794" t="s">
        <v>34</v>
      </c>
      <c r="D794" t="s">
        <v>184</v>
      </c>
      <c r="F794" t="s">
        <v>208</v>
      </c>
      <c r="G794">
        <v>1.1499999999999999</v>
      </c>
      <c r="H794" t="s">
        <v>695</v>
      </c>
    </row>
    <row r="795" spans="1:8" hidden="1">
      <c r="A795" t="s">
        <v>11</v>
      </c>
      <c r="B795">
        <v>2020</v>
      </c>
      <c r="C795" t="s">
        <v>34</v>
      </c>
      <c r="D795" t="s">
        <v>191</v>
      </c>
      <c r="F795" t="s">
        <v>208</v>
      </c>
      <c r="G795">
        <v>0.75</v>
      </c>
      <c r="H795" t="s">
        <v>696</v>
      </c>
    </row>
    <row r="796" spans="1:8" hidden="1">
      <c r="A796" t="s">
        <v>11</v>
      </c>
      <c r="B796">
        <v>2020</v>
      </c>
      <c r="C796" t="s">
        <v>34</v>
      </c>
      <c r="D796" t="s">
        <v>188</v>
      </c>
      <c r="F796" t="s">
        <v>208</v>
      </c>
      <c r="G796">
        <v>0.5</v>
      </c>
      <c r="H796" t="s">
        <v>697</v>
      </c>
    </row>
    <row r="797" spans="1:8" hidden="1">
      <c r="A797" t="s">
        <v>11</v>
      </c>
      <c r="B797">
        <v>2020</v>
      </c>
      <c r="C797" t="s">
        <v>34</v>
      </c>
      <c r="D797" t="s">
        <v>188</v>
      </c>
      <c r="F797" t="s">
        <v>208</v>
      </c>
      <c r="G797">
        <v>0.25</v>
      </c>
      <c r="H797" t="s">
        <v>698</v>
      </c>
    </row>
    <row r="798" spans="1:8" hidden="1">
      <c r="A798" t="s">
        <v>11</v>
      </c>
      <c r="B798">
        <v>2020</v>
      </c>
      <c r="C798" t="s">
        <v>34</v>
      </c>
      <c r="D798" t="s">
        <v>188</v>
      </c>
      <c r="F798" t="s">
        <v>208</v>
      </c>
      <c r="G798">
        <v>3.7</v>
      </c>
      <c r="H798" t="s">
        <v>699</v>
      </c>
    </row>
    <row r="799" spans="1:8" hidden="1">
      <c r="A799" t="s">
        <v>11</v>
      </c>
      <c r="B799">
        <v>2020</v>
      </c>
      <c r="C799" t="s">
        <v>34</v>
      </c>
      <c r="D799" t="s">
        <v>191</v>
      </c>
      <c r="F799" t="s">
        <v>208</v>
      </c>
      <c r="G799">
        <v>4.25</v>
      </c>
      <c r="H799" t="s">
        <v>700</v>
      </c>
    </row>
    <row r="800" spans="1:8" hidden="1">
      <c r="A800" t="s">
        <v>11</v>
      </c>
      <c r="B800">
        <v>2020</v>
      </c>
      <c r="C800" t="s">
        <v>34</v>
      </c>
      <c r="D800" t="s">
        <v>191</v>
      </c>
      <c r="F800" t="s">
        <v>208</v>
      </c>
      <c r="G800">
        <v>1</v>
      </c>
      <c r="H800" t="s">
        <v>701</v>
      </c>
    </row>
    <row r="801" spans="1:8" hidden="1">
      <c r="A801" t="s">
        <v>11</v>
      </c>
      <c r="B801">
        <v>2020</v>
      </c>
      <c r="C801" t="s">
        <v>34</v>
      </c>
      <c r="D801" t="s">
        <v>188</v>
      </c>
      <c r="F801" t="s">
        <v>208</v>
      </c>
      <c r="G801">
        <v>1.3</v>
      </c>
      <c r="H801" t="s">
        <v>702</v>
      </c>
    </row>
    <row r="802" spans="1:8" hidden="1">
      <c r="A802" t="s">
        <v>11</v>
      </c>
      <c r="B802">
        <v>2020</v>
      </c>
      <c r="C802" t="s">
        <v>34</v>
      </c>
      <c r="D802" t="s">
        <v>197</v>
      </c>
      <c r="F802" t="s">
        <v>208</v>
      </c>
      <c r="G802">
        <v>1.45</v>
      </c>
      <c r="H802" t="s">
        <v>703</v>
      </c>
    </row>
    <row r="803" spans="1:8" hidden="1">
      <c r="A803" t="s">
        <v>11</v>
      </c>
      <c r="B803">
        <v>2020</v>
      </c>
      <c r="C803" t="s">
        <v>34</v>
      </c>
      <c r="D803" t="s">
        <v>188</v>
      </c>
      <c r="F803" t="s">
        <v>208</v>
      </c>
      <c r="G803">
        <v>1</v>
      </c>
      <c r="H803" t="s">
        <v>704</v>
      </c>
    </row>
    <row r="804" spans="1:8" hidden="1">
      <c r="A804" t="s">
        <v>11</v>
      </c>
      <c r="B804">
        <v>2020</v>
      </c>
      <c r="C804" t="s">
        <v>34</v>
      </c>
      <c r="D804" t="s">
        <v>188</v>
      </c>
      <c r="F804" t="s">
        <v>208</v>
      </c>
      <c r="G804">
        <v>0.75</v>
      </c>
      <c r="H804" t="s">
        <v>705</v>
      </c>
    </row>
    <row r="805" spans="1:8" hidden="1">
      <c r="A805" t="s">
        <v>11</v>
      </c>
      <c r="B805">
        <v>2020</v>
      </c>
      <c r="C805" t="s">
        <v>34</v>
      </c>
      <c r="D805" t="s">
        <v>193</v>
      </c>
      <c r="F805" t="s">
        <v>208</v>
      </c>
      <c r="G805">
        <v>0.5</v>
      </c>
      <c r="H805" t="s">
        <v>706</v>
      </c>
    </row>
    <row r="806" spans="1:8" hidden="1">
      <c r="A806" t="s">
        <v>11</v>
      </c>
      <c r="B806">
        <v>2020</v>
      </c>
      <c r="C806" t="s">
        <v>34</v>
      </c>
      <c r="D806" t="s">
        <v>188</v>
      </c>
      <c r="F806" t="s">
        <v>208</v>
      </c>
      <c r="G806">
        <v>1.5</v>
      </c>
      <c r="H806" t="s">
        <v>707</v>
      </c>
    </row>
    <row r="807" spans="1:8" hidden="1">
      <c r="A807" t="s">
        <v>11</v>
      </c>
      <c r="B807">
        <v>2020</v>
      </c>
      <c r="C807" t="s">
        <v>34</v>
      </c>
      <c r="D807" t="s">
        <v>188</v>
      </c>
      <c r="F807" t="s">
        <v>208</v>
      </c>
      <c r="G807">
        <v>0.4</v>
      </c>
      <c r="H807" t="s">
        <v>708</v>
      </c>
    </row>
    <row r="808" spans="1:8" hidden="1">
      <c r="A808" t="s">
        <v>11</v>
      </c>
      <c r="B808">
        <v>2020</v>
      </c>
      <c r="C808" t="s">
        <v>38</v>
      </c>
      <c r="D808" t="s">
        <v>180</v>
      </c>
      <c r="F808" t="s">
        <v>181</v>
      </c>
      <c r="G808">
        <v>6</v>
      </c>
      <c r="H808" t="s">
        <v>214</v>
      </c>
    </row>
    <row r="809" spans="1:8" hidden="1">
      <c r="A809" t="s">
        <v>11</v>
      </c>
      <c r="B809">
        <v>2020</v>
      </c>
      <c r="C809" t="s">
        <v>38</v>
      </c>
      <c r="D809" t="s">
        <v>180</v>
      </c>
      <c r="F809" t="s">
        <v>181</v>
      </c>
      <c r="G809">
        <v>2</v>
      </c>
      <c r="H809" t="s">
        <v>533</v>
      </c>
    </row>
    <row r="810" spans="1:8" hidden="1">
      <c r="A810" t="s">
        <v>11</v>
      </c>
      <c r="B810">
        <v>2020</v>
      </c>
      <c r="C810" t="s">
        <v>38</v>
      </c>
      <c r="D810" t="s">
        <v>184</v>
      </c>
      <c r="F810" t="s">
        <v>181</v>
      </c>
      <c r="G810">
        <v>2</v>
      </c>
      <c r="H810" t="s">
        <v>234</v>
      </c>
    </row>
    <row r="811" spans="1:8" hidden="1">
      <c r="A811" t="s">
        <v>11</v>
      </c>
      <c r="B811">
        <v>2020</v>
      </c>
      <c r="C811" t="s">
        <v>38</v>
      </c>
      <c r="D811" t="s">
        <v>188</v>
      </c>
      <c r="F811" t="s">
        <v>181</v>
      </c>
      <c r="G811">
        <v>4</v>
      </c>
      <c r="H811" t="s">
        <v>709</v>
      </c>
    </row>
    <row r="812" spans="1:8" hidden="1">
      <c r="A812" t="s">
        <v>11</v>
      </c>
      <c r="B812">
        <v>2020</v>
      </c>
      <c r="C812" t="s">
        <v>38</v>
      </c>
      <c r="D812" t="s">
        <v>259</v>
      </c>
      <c r="F812" t="s">
        <v>181</v>
      </c>
      <c r="G812">
        <v>0.75</v>
      </c>
      <c r="H812" t="s">
        <v>710</v>
      </c>
    </row>
    <row r="813" spans="1:8" hidden="1">
      <c r="A813" t="s">
        <v>11</v>
      </c>
      <c r="B813">
        <v>2020</v>
      </c>
      <c r="C813" t="s">
        <v>38</v>
      </c>
      <c r="D813" t="s">
        <v>259</v>
      </c>
      <c r="F813" t="s">
        <v>181</v>
      </c>
      <c r="G813">
        <v>2.9</v>
      </c>
      <c r="H813" t="s">
        <v>711</v>
      </c>
    </row>
    <row r="814" spans="1:8" hidden="1">
      <c r="A814" t="s">
        <v>11</v>
      </c>
      <c r="B814">
        <v>2020</v>
      </c>
      <c r="C814" t="s">
        <v>38</v>
      </c>
      <c r="D814" t="s">
        <v>259</v>
      </c>
      <c r="F814" t="s">
        <v>181</v>
      </c>
      <c r="G814">
        <v>3.25</v>
      </c>
      <c r="H814" t="s">
        <v>712</v>
      </c>
    </row>
    <row r="815" spans="1:8" hidden="1">
      <c r="A815" t="s">
        <v>11</v>
      </c>
      <c r="B815">
        <v>2020</v>
      </c>
      <c r="C815" t="s">
        <v>38</v>
      </c>
      <c r="D815" t="s">
        <v>259</v>
      </c>
      <c r="F815" t="s">
        <v>181</v>
      </c>
      <c r="G815">
        <v>0.45</v>
      </c>
      <c r="H815" t="s">
        <v>713</v>
      </c>
    </row>
    <row r="816" spans="1:8" hidden="1">
      <c r="A816" t="s">
        <v>11</v>
      </c>
      <c r="B816">
        <v>2020</v>
      </c>
      <c r="C816" t="s">
        <v>38</v>
      </c>
      <c r="D816" t="s">
        <v>188</v>
      </c>
      <c r="F816" t="s">
        <v>208</v>
      </c>
      <c r="G816">
        <v>0.95</v>
      </c>
      <c r="H816" t="s">
        <v>714</v>
      </c>
    </row>
    <row r="817" spans="1:8" hidden="1">
      <c r="A817" t="s">
        <v>11</v>
      </c>
      <c r="B817">
        <v>2020</v>
      </c>
      <c r="C817" t="s">
        <v>38</v>
      </c>
      <c r="D817" t="s">
        <v>259</v>
      </c>
      <c r="F817" t="s">
        <v>208</v>
      </c>
      <c r="G817">
        <v>1.45</v>
      </c>
      <c r="H817" t="s">
        <v>715</v>
      </c>
    </row>
    <row r="818" spans="1:8" hidden="1">
      <c r="A818" t="s">
        <v>11</v>
      </c>
      <c r="B818">
        <v>2020</v>
      </c>
      <c r="C818" t="s">
        <v>38</v>
      </c>
      <c r="D818" t="s">
        <v>259</v>
      </c>
      <c r="F818" t="s">
        <v>208</v>
      </c>
      <c r="G818">
        <v>0.4</v>
      </c>
      <c r="H818" t="s">
        <v>716</v>
      </c>
    </row>
    <row r="819" spans="1:8" hidden="1">
      <c r="A819" t="s">
        <v>11</v>
      </c>
      <c r="B819">
        <v>2020</v>
      </c>
      <c r="C819" t="s">
        <v>38</v>
      </c>
      <c r="D819" t="s">
        <v>259</v>
      </c>
      <c r="F819" t="s">
        <v>208</v>
      </c>
      <c r="G819">
        <v>0.4</v>
      </c>
      <c r="H819" t="s">
        <v>717</v>
      </c>
    </row>
    <row r="820" spans="1:8" hidden="1">
      <c r="A820" t="s">
        <v>11</v>
      </c>
      <c r="B820">
        <v>2020</v>
      </c>
      <c r="C820" t="s">
        <v>38</v>
      </c>
      <c r="D820" t="s">
        <v>259</v>
      </c>
      <c r="F820" t="s">
        <v>208</v>
      </c>
      <c r="G820">
        <v>0.25</v>
      </c>
      <c r="H820" t="s">
        <v>718</v>
      </c>
    </row>
    <row r="821" spans="1:8" hidden="1">
      <c r="A821" t="s">
        <v>11</v>
      </c>
      <c r="B821">
        <v>2020</v>
      </c>
      <c r="C821" t="s">
        <v>38</v>
      </c>
      <c r="D821" t="s">
        <v>188</v>
      </c>
      <c r="F821" t="s">
        <v>208</v>
      </c>
      <c r="G821">
        <v>0.5</v>
      </c>
      <c r="H821" t="s">
        <v>717</v>
      </c>
    </row>
    <row r="822" spans="1:8" hidden="1">
      <c r="A822" t="s">
        <v>11</v>
      </c>
      <c r="B822">
        <v>2020</v>
      </c>
      <c r="C822" t="s">
        <v>38</v>
      </c>
      <c r="D822" t="s">
        <v>191</v>
      </c>
      <c r="F822" t="s">
        <v>208</v>
      </c>
      <c r="G822">
        <v>1.6</v>
      </c>
      <c r="H822" t="s">
        <v>719</v>
      </c>
    </row>
    <row r="823" spans="1:8" hidden="1">
      <c r="A823" t="s">
        <v>11</v>
      </c>
      <c r="B823">
        <v>2020</v>
      </c>
      <c r="C823" t="s">
        <v>38</v>
      </c>
      <c r="D823" t="s">
        <v>188</v>
      </c>
      <c r="F823" t="s">
        <v>208</v>
      </c>
      <c r="G823">
        <v>8.75</v>
      </c>
      <c r="H823" t="s">
        <v>720</v>
      </c>
    </row>
    <row r="824" spans="1:8" hidden="1">
      <c r="A824" t="s">
        <v>11</v>
      </c>
      <c r="B824">
        <v>2020</v>
      </c>
      <c r="C824" t="s">
        <v>38</v>
      </c>
      <c r="D824" t="s">
        <v>188</v>
      </c>
      <c r="F824" t="s">
        <v>208</v>
      </c>
      <c r="G824">
        <v>0.7</v>
      </c>
      <c r="H824" t="s">
        <v>721</v>
      </c>
    </row>
    <row r="825" spans="1:8" hidden="1">
      <c r="A825" t="s">
        <v>11</v>
      </c>
      <c r="B825">
        <v>2020</v>
      </c>
      <c r="C825" t="s">
        <v>38</v>
      </c>
      <c r="D825" t="s">
        <v>191</v>
      </c>
      <c r="F825" t="s">
        <v>208</v>
      </c>
      <c r="G825">
        <v>2.1</v>
      </c>
      <c r="H825" t="s">
        <v>722</v>
      </c>
    </row>
    <row r="826" spans="1:8" hidden="1">
      <c r="A826" t="s">
        <v>11</v>
      </c>
      <c r="B826">
        <v>2020</v>
      </c>
      <c r="C826" t="s">
        <v>38</v>
      </c>
      <c r="D826" t="s">
        <v>180</v>
      </c>
      <c r="F826" t="s">
        <v>208</v>
      </c>
      <c r="G826">
        <v>0.25</v>
      </c>
      <c r="H826" t="s">
        <v>723</v>
      </c>
    </row>
    <row r="827" spans="1:8" hidden="1">
      <c r="A827" t="s">
        <v>11</v>
      </c>
      <c r="B827">
        <v>2020</v>
      </c>
      <c r="C827" t="s">
        <v>38</v>
      </c>
      <c r="D827" t="s">
        <v>191</v>
      </c>
      <c r="F827" t="s">
        <v>208</v>
      </c>
      <c r="G827">
        <v>2</v>
      </c>
      <c r="H827" t="s">
        <v>724</v>
      </c>
    </row>
    <row r="828" spans="1:8" hidden="1">
      <c r="A828" t="s">
        <v>11</v>
      </c>
      <c r="B828">
        <v>2020</v>
      </c>
      <c r="C828" t="s">
        <v>38</v>
      </c>
      <c r="D828" t="s">
        <v>191</v>
      </c>
      <c r="F828" t="s">
        <v>208</v>
      </c>
      <c r="G828">
        <v>4</v>
      </c>
      <c r="H828" t="s">
        <v>725</v>
      </c>
    </row>
    <row r="829" spans="1:8" hidden="1">
      <c r="A829" t="s">
        <v>11</v>
      </c>
      <c r="B829">
        <v>2020</v>
      </c>
      <c r="C829" t="s">
        <v>43</v>
      </c>
      <c r="D829" t="s">
        <v>180</v>
      </c>
      <c r="F829" t="s">
        <v>181</v>
      </c>
      <c r="G829">
        <v>6</v>
      </c>
      <c r="H829" t="s">
        <v>214</v>
      </c>
    </row>
    <row r="830" spans="1:8" hidden="1">
      <c r="A830" t="s">
        <v>11</v>
      </c>
      <c r="B830">
        <v>2020</v>
      </c>
      <c r="C830" t="s">
        <v>43</v>
      </c>
      <c r="D830" t="s">
        <v>180</v>
      </c>
      <c r="F830" t="s">
        <v>181</v>
      </c>
      <c r="G830">
        <v>3</v>
      </c>
      <c r="H830" t="s">
        <v>215</v>
      </c>
    </row>
    <row r="831" spans="1:8" hidden="1">
      <c r="A831" t="s">
        <v>11</v>
      </c>
      <c r="B831">
        <v>2020</v>
      </c>
      <c r="C831" t="s">
        <v>43</v>
      </c>
      <c r="D831" t="s">
        <v>184</v>
      </c>
      <c r="F831" t="s">
        <v>181</v>
      </c>
      <c r="G831">
        <v>2</v>
      </c>
      <c r="H831" t="s">
        <v>216</v>
      </c>
    </row>
    <row r="832" spans="1:8" hidden="1">
      <c r="A832" t="s">
        <v>11</v>
      </c>
      <c r="B832">
        <v>2020</v>
      </c>
      <c r="C832" t="s">
        <v>43</v>
      </c>
      <c r="D832" t="s">
        <v>188</v>
      </c>
      <c r="F832" t="s">
        <v>181</v>
      </c>
      <c r="G832">
        <v>16</v>
      </c>
      <c r="H832" t="s">
        <v>726</v>
      </c>
    </row>
    <row r="833" spans="1:8" hidden="1">
      <c r="A833" t="s">
        <v>11</v>
      </c>
      <c r="B833">
        <v>2020</v>
      </c>
      <c r="C833" t="s">
        <v>43</v>
      </c>
      <c r="D833" t="s">
        <v>191</v>
      </c>
      <c r="F833" t="s">
        <v>181</v>
      </c>
      <c r="G833">
        <v>3</v>
      </c>
      <c r="H833" t="s">
        <v>727</v>
      </c>
    </row>
    <row r="834" spans="1:8" hidden="1">
      <c r="A834" t="s">
        <v>11</v>
      </c>
      <c r="B834">
        <v>2020</v>
      </c>
      <c r="C834" t="s">
        <v>43</v>
      </c>
      <c r="D834" t="s">
        <v>191</v>
      </c>
      <c r="F834" t="s">
        <v>181</v>
      </c>
      <c r="G834">
        <v>1.5</v>
      </c>
      <c r="H834" t="s">
        <v>728</v>
      </c>
    </row>
    <row r="835" spans="1:8" hidden="1">
      <c r="A835" t="s">
        <v>11</v>
      </c>
      <c r="B835">
        <v>2020</v>
      </c>
      <c r="C835" t="s">
        <v>43</v>
      </c>
      <c r="D835" t="s">
        <v>180</v>
      </c>
      <c r="F835" t="s">
        <v>181</v>
      </c>
      <c r="G835">
        <v>1</v>
      </c>
      <c r="H835" t="s">
        <v>729</v>
      </c>
    </row>
    <row r="836" spans="1:8" hidden="1">
      <c r="A836" t="s">
        <v>11</v>
      </c>
      <c r="B836">
        <v>2020</v>
      </c>
      <c r="C836" t="s">
        <v>43</v>
      </c>
      <c r="D836" t="s">
        <v>180</v>
      </c>
      <c r="F836" t="s">
        <v>181</v>
      </c>
      <c r="G836">
        <v>1.05</v>
      </c>
      <c r="H836" t="s">
        <v>483</v>
      </c>
    </row>
    <row r="837" spans="1:8" hidden="1">
      <c r="A837" t="s">
        <v>11</v>
      </c>
      <c r="B837">
        <v>2020</v>
      </c>
      <c r="C837" t="s">
        <v>43</v>
      </c>
      <c r="D837" t="s">
        <v>203</v>
      </c>
      <c r="F837" t="s">
        <v>181</v>
      </c>
      <c r="G837">
        <v>2</v>
      </c>
      <c r="H837" t="s">
        <v>730</v>
      </c>
    </row>
    <row r="838" spans="1:8" hidden="1">
      <c r="A838" t="s">
        <v>11</v>
      </c>
      <c r="B838">
        <v>2020</v>
      </c>
      <c r="C838" t="s">
        <v>43</v>
      </c>
      <c r="D838" t="s">
        <v>199</v>
      </c>
      <c r="F838" t="s">
        <v>181</v>
      </c>
      <c r="G838">
        <v>1.05</v>
      </c>
      <c r="H838" t="s">
        <v>731</v>
      </c>
    </row>
    <row r="839" spans="1:8" hidden="1">
      <c r="A839" t="s">
        <v>11</v>
      </c>
      <c r="B839">
        <v>2020</v>
      </c>
      <c r="C839" t="s">
        <v>43</v>
      </c>
      <c r="D839" t="s">
        <v>199</v>
      </c>
      <c r="F839" t="s">
        <v>181</v>
      </c>
      <c r="G839">
        <v>1</v>
      </c>
      <c r="H839" t="s">
        <v>732</v>
      </c>
    </row>
    <row r="840" spans="1:8" hidden="1">
      <c r="A840" t="s">
        <v>11</v>
      </c>
      <c r="B840">
        <v>2020</v>
      </c>
      <c r="C840" t="s">
        <v>43</v>
      </c>
      <c r="D840" t="s">
        <v>317</v>
      </c>
      <c r="F840" t="s">
        <v>181</v>
      </c>
      <c r="G840">
        <v>6</v>
      </c>
      <c r="H840" t="s">
        <v>733</v>
      </c>
    </row>
    <row r="841" spans="1:8" hidden="1">
      <c r="A841" t="s">
        <v>11</v>
      </c>
      <c r="B841">
        <v>2020</v>
      </c>
      <c r="C841" t="s">
        <v>43</v>
      </c>
      <c r="D841" t="s">
        <v>188</v>
      </c>
      <c r="F841" t="s">
        <v>208</v>
      </c>
      <c r="G841">
        <v>1.1499999999999999</v>
      </c>
      <c r="H841" t="s">
        <v>389</v>
      </c>
    </row>
    <row r="842" spans="1:8" hidden="1">
      <c r="A842" t="s">
        <v>11</v>
      </c>
      <c r="B842">
        <v>2020</v>
      </c>
      <c r="C842" t="s">
        <v>43</v>
      </c>
      <c r="D842" t="s">
        <v>188</v>
      </c>
      <c r="F842" t="s">
        <v>208</v>
      </c>
      <c r="G842">
        <v>0.95</v>
      </c>
      <c r="H842" t="s">
        <v>734</v>
      </c>
    </row>
    <row r="843" spans="1:8" hidden="1">
      <c r="A843" t="s">
        <v>11</v>
      </c>
      <c r="B843">
        <v>2020</v>
      </c>
      <c r="C843" t="s">
        <v>43</v>
      </c>
      <c r="D843" t="s">
        <v>188</v>
      </c>
      <c r="F843" t="s">
        <v>208</v>
      </c>
      <c r="G843">
        <v>3.5</v>
      </c>
      <c r="H843" t="s">
        <v>735</v>
      </c>
    </row>
    <row r="844" spans="1:8" hidden="1">
      <c r="A844" t="s">
        <v>11</v>
      </c>
      <c r="B844">
        <v>2020</v>
      </c>
      <c r="C844" t="s">
        <v>43</v>
      </c>
      <c r="D844" t="s">
        <v>191</v>
      </c>
      <c r="F844" t="s">
        <v>208</v>
      </c>
      <c r="G844">
        <v>0.55000000000000004</v>
      </c>
      <c r="H844" t="s">
        <v>736</v>
      </c>
    </row>
    <row r="845" spans="1:8" hidden="1">
      <c r="A845" t="s">
        <v>11</v>
      </c>
      <c r="B845">
        <v>2020</v>
      </c>
      <c r="C845" t="s">
        <v>43</v>
      </c>
      <c r="D845" t="s">
        <v>188</v>
      </c>
      <c r="F845" t="s">
        <v>208</v>
      </c>
      <c r="G845">
        <v>1</v>
      </c>
      <c r="H845" t="s">
        <v>737</v>
      </c>
    </row>
    <row r="846" spans="1:8" hidden="1">
      <c r="A846" t="s">
        <v>11</v>
      </c>
      <c r="B846">
        <v>2020</v>
      </c>
      <c r="C846" t="s">
        <v>43</v>
      </c>
      <c r="D846" t="s">
        <v>188</v>
      </c>
      <c r="F846" t="s">
        <v>208</v>
      </c>
      <c r="G846">
        <v>0.55000000000000004</v>
      </c>
      <c r="H846" t="s">
        <v>738</v>
      </c>
    </row>
    <row r="847" spans="1:8" hidden="1">
      <c r="A847" t="s">
        <v>11</v>
      </c>
      <c r="B847">
        <v>2020</v>
      </c>
      <c r="C847" t="s">
        <v>43</v>
      </c>
      <c r="D847" t="s">
        <v>188</v>
      </c>
      <c r="F847" t="s">
        <v>208</v>
      </c>
      <c r="G847">
        <v>0.5</v>
      </c>
      <c r="H847" t="s">
        <v>739</v>
      </c>
    </row>
    <row r="848" spans="1:8" hidden="1">
      <c r="A848" t="s">
        <v>11</v>
      </c>
      <c r="B848">
        <v>2020</v>
      </c>
      <c r="C848" t="s">
        <v>45</v>
      </c>
      <c r="D848" t="s">
        <v>180</v>
      </c>
      <c r="F848" t="s">
        <v>181</v>
      </c>
      <c r="G848">
        <v>6</v>
      </c>
      <c r="H848" t="s">
        <v>273</v>
      </c>
    </row>
    <row r="849" spans="1:8" hidden="1">
      <c r="A849" t="s">
        <v>11</v>
      </c>
      <c r="B849">
        <v>2020</v>
      </c>
      <c r="C849" t="s">
        <v>45</v>
      </c>
      <c r="D849" t="s">
        <v>180</v>
      </c>
      <c r="F849" t="s">
        <v>181</v>
      </c>
      <c r="G849">
        <v>2</v>
      </c>
      <c r="H849" t="s">
        <v>437</v>
      </c>
    </row>
    <row r="850" spans="1:8" hidden="1">
      <c r="A850" t="s">
        <v>11</v>
      </c>
      <c r="B850">
        <v>2020</v>
      </c>
      <c r="C850" t="s">
        <v>45</v>
      </c>
      <c r="D850" t="s">
        <v>184</v>
      </c>
      <c r="F850" t="s">
        <v>181</v>
      </c>
      <c r="G850">
        <v>2</v>
      </c>
      <c r="H850" t="s">
        <v>185</v>
      </c>
    </row>
    <row r="851" spans="1:8" hidden="1">
      <c r="A851" t="s">
        <v>11</v>
      </c>
      <c r="B851">
        <v>2020</v>
      </c>
      <c r="C851" t="s">
        <v>45</v>
      </c>
      <c r="D851" t="s">
        <v>188</v>
      </c>
      <c r="F851" t="s">
        <v>181</v>
      </c>
      <c r="G851">
        <v>4</v>
      </c>
      <c r="H851" t="s">
        <v>185</v>
      </c>
    </row>
    <row r="852" spans="1:8" hidden="1">
      <c r="A852" t="s">
        <v>11</v>
      </c>
      <c r="B852">
        <v>2020</v>
      </c>
      <c r="C852" t="s">
        <v>45</v>
      </c>
      <c r="D852" t="s">
        <v>197</v>
      </c>
      <c r="F852" t="s">
        <v>181</v>
      </c>
      <c r="G852">
        <v>0.5</v>
      </c>
      <c r="H852" t="s">
        <v>740</v>
      </c>
    </row>
    <row r="853" spans="1:8" hidden="1">
      <c r="A853" t="s">
        <v>11</v>
      </c>
      <c r="B853">
        <v>2020</v>
      </c>
      <c r="C853" t="s">
        <v>45</v>
      </c>
      <c r="D853" t="s">
        <v>199</v>
      </c>
      <c r="F853" t="s">
        <v>181</v>
      </c>
      <c r="G853">
        <v>0.5</v>
      </c>
      <c r="H853" t="s">
        <v>740</v>
      </c>
    </row>
    <row r="854" spans="1:8" hidden="1">
      <c r="A854" t="s">
        <v>11</v>
      </c>
      <c r="B854">
        <v>2020</v>
      </c>
      <c r="C854" t="s">
        <v>45</v>
      </c>
      <c r="D854" t="s">
        <v>188</v>
      </c>
      <c r="F854" t="s">
        <v>208</v>
      </c>
      <c r="G854">
        <v>2.4</v>
      </c>
      <c r="H854" t="s">
        <v>741</v>
      </c>
    </row>
    <row r="855" spans="1:8" hidden="1">
      <c r="A855" t="s">
        <v>11</v>
      </c>
      <c r="B855">
        <v>2020</v>
      </c>
      <c r="C855" t="s">
        <v>45</v>
      </c>
      <c r="D855" t="s">
        <v>188</v>
      </c>
      <c r="F855" t="s">
        <v>208</v>
      </c>
      <c r="G855">
        <v>0</v>
      </c>
      <c r="H855" t="s">
        <v>742</v>
      </c>
    </row>
    <row r="856" spans="1:8" hidden="1">
      <c r="A856" t="s">
        <v>11</v>
      </c>
      <c r="B856">
        <v>2020</v>
      </c>
      <c r="C856" t="s">
        <v>45</v>
      </c>
      <c r="D856" t="s">
        <v>188</v>
      </c>
      <c r="F856" t="s">
        <v>208</v>
      </c>
      <c r="G856">
        <v>0.45</v>
      </c>
      <c r="H856" t="s">
        <v>743</v>
      </c>
    </row>
    <row r="857" spans="1:8" hidden="1">
      <c r="A857" t="s">
        <v>11</v>
      </c>
      <c r="B857">
        <v>2020</v>
      </c>
      <c r="C857" t="s">
        <v>45</v>
      </c>
      <c r="D857" t="s">
        <v>188</v>
      </c>
      <c r="F857" t="s">
        <v>208</v>
      </c>
      <c r="G857">
        <v>1.9</v>
      </c>
      <c r="H857" t="s">
        <v>744</v>
      </c>
    </row>
    <row r="858" spans="1:8" hidden="1">
      <c r="A858" t="s">
        <v>11</v>
      </c>
      <c r="B858">
        <v>2020</v>
      </c>
      <c r="C858" t="s">
        <v>45</v>
      </c>
      <c r="D858" t="s">
        <v>188</v>
      </c>
      <c r="F858" t="s">
        <v>208</v>
      </c>
      <c r="G858">
        <v>0.5</v>
      </c>
      <c r="H858" t="s">
        <v>745</v>
      </c>
    </row>
    <row r="859" spans="1:8" hidden="1">
      <c r="A859" t="s">
        <v>11</v>
      </c>
      <c r="B859">
        <v>2020</v>
      </c>
      <c r="C859" t="s">
        <v>45</v>
      </c>
      <c r="D859" t="s">
        <v>188</v>
      </c>
      <c r="F859" t="s">
        <v>208</v>
      </c>
      <c r="G859">
        <v>0.4</v>
      </c>
      <c r="H859" t="s">
        <v>746</v>
      </c>
    </row>
    <row r="860" spans="1:8" hidden="1">
      <c r="A860" t="s">
        <v>11</v>
      </c>
      <c r="B860">
        <v>2020</v>
      </c>
      <c r="C860" t="s">
        <v>45</v>
      </c>
      <c r="D860" t="s">
        <v>317</v>
      </c>
      <c r="F860" t="s">
        <v>208</v>
      </c>
      <c r="G860">
        <v>8.5</v>
      </c>
    </row>
    <row r="861" spans="1:8" hidden="1">
      <c r="A861" t="s">
        <v>11</v>
      </c>
      <c r="B861">
        <v>2020</v>
      </c>
      <c r="C861" t="s">
        <v>45</v>
      </c>
      <c r="D861" t="s">
        <v>199</v>
      </c>
      <c r="F861" t="s">
        <v>208</v>
      </c>
      <c r="G861">
        <v>15.4</v>
      </c>
      <c r="H861" t="s">
        <v>747</v>
      </c>
    </row>
    <row r="862" spans="1:8" hidden="1">
      <c r="A862" t="s">
        <v>11</v>
      </c>
      <c r="B862">
        <v>2020</v>
      </c>
      <c r="C862" t="s">
        <v>45</v>
      </c>
      <c r="D862" t="s">
        <v>197</v>
      </c>
      <c r="F862" t="s">
        <v>208</v>
      </c>
      <c r="G862">
        <v>1.5</v>
      </c>
      <c r="H862" t="s">
        <v>748</v>
      </c>
    </row>
    <row r="863" spans="1:8" hidden="1">
      <c r="A863" t="s">
        <v>11</v>
      </c>
      <c r="B863">
        <v>2020</v>
      </c>
      <c r="C863" t="s">
        <v>45</v>
      </c>
      <c r="D863" t="s">
        <v>188</v>
      </c>
      <c r="F863" t="s">
        <v>208</v>
      </c>
      <c r="G863">
        <v>1.95</v>
      </c>
      <c r="H863" t="s">
        <v>749</v>
      </c>
    </row>
    <row r="864" spans="1:8" hidden="1">
      <c r="A864" t="s">
        <v>11</v>
      </c>
      <c r="B864">
        <v>2020</v>
      </c>
      <c r="C864" t="s">
        <v>45</v>
      </c>
      <c r="D864" t="s">
        <v>200</v>
      </c>
      <c r="F864" t="s">
        <v>208</v>
      </c>
      <c r="G864">
        <v>4</v>
      </c>
      <c r="H864" t="s">
        <v>750</v>
      </c>
    </row>
    <row r="865" spans="1:8" hidden="1">
      <c r="A865" t="s">
        <v>11</v>
      </c>
      <c r="B865">
        <v>2020</v>
      </c>
      <c r="C865" t="s">
        <v>47</v>
      </c>
      <c r="D865" t="s">
        <v>188</v>
      </c>
      <c r="F865" t="s">
        <v>181</v>
      </c>
      <c r="G865">
        <v>1.1499999999999999</v>
      </c>
      <c r="H865" t="s">
        <v>751</v>
      </c>
    </row>
    <row r="866" spans="1:8" hidden="1">
      <c r="A866" t="s">
        <v>11</v>
      </c>
      <c r="B866">
        <v>2020</v>
      </c>
      <c r="C866" t="s">
        <v>47</v>
      </c>
      <c r="D866" t="s">
        <v>199</v>
      </c>
      <c r="F866" t="s">
        <v>181</v>
      </c>
      <c r="G866">
        <v>0.4</v>
      </c>
      <c r="H866" t="s">
        <v>752</v>
      </c>
    </row>
    <row r="867" spans="1:8" hidden="1">
      <c r="A867" t="s">
        <v>11</v>
      </c>
      <c r="B867">
        <v>2020</v>
      </c>
      <c r="C867" t="s">
        <v>47</v>
      </c>
      <c r="D867" t="s">
        <v>199</v>
      </c>
      <c r="F867" t="s">
        <v>181</v>
      </c>
      <c r="G867">
        <v>0.4</v>
      </c>
      <c r="H867" t="s">
        <v>753</v>
      </c>
    </row>
    <row r="868" spans="1:8" hidden="1">
      <c r="A868" t="s">
        <v>11</v>
      </c>
      <c r="B868">
        <v>2020</v>
      </c>
      <c r="C868" t="s">
        <v>47</v>
      </c>
      <c r="D868" t="s">
        <v>197</v>
      </c>
      <c r="F868" t="s">
        <v>181</v>
      </c>
      <c r="G868">
        <v>0.4</v>
      </c>
      <c r="H868" t="s">
        <v>754</v>
      </c>
    </row>
    <row r="869" spans="1:8" hidden="1">
      <c r="A869" t="s">
        <v>11</v>
      </c>
      <c r="B869">
        <v>2020</v>
      </c>
      <c r="C869" t="s">
        <v>47</v>
      </c>
      <c r="D869" t="s">
        <v>184</v>
      </c>
      <c r="F869" t="s">
        <v>181</v>
      </c>
      <c r="G869">
        <v>4</v>
      </c>
      <c r="H869" t="s">
        <v>216</v>
      </c>
    </row>
    <row r="870" spans="1:8" hidden="1">
      <c r="A870" t="s">
        <v>11</v>
      </c>
      <c r="B870">
        <v>2020</v>
      </c>
      <c r="C870" t="s">
        <v>47</v>
      </c>
      <c r="D870" t="s">
        <v>200</v>
      </c>
      <c r="F870" t="s">
        <v>181</v>
      </c>
      <c r="G870">
        <v>0.4</v>
      </c>
      <c r="H870" t="s">
        <v>216</v>
      </c>
    </row>
    <row r="871" spans="1:8" hidden="1">
      <c r="A871" t="s">
        <v>11</v>
      </c>
      <c r="B871">
        <v>2020</v>
      </c>
      <c r="C871" t="s">
        <v>47</v>
      </c>
      <c r="D871" t="s">
        <v>180</v>
      </c>
      <c r="F871" t="s">
        <v>181</v>
      </c>
      <c r="G871">
        <v>6</v>
      </c>
      <c r="H871" t="s">
        <v>755</v>
      </c>
    </row>
    <row r="872" spans="1:8" hidden="1">
      <c r="A872" t="s">
        <v>11</v>
      </c>
      <c r="B872">
        <v>2020</v>
      </c>
      <c r="C872" t="s">
        <v>47</v>
      </c>
      <c r="D872" t="s">
        <v>191</v>
      </c>
      <c r="F872" t="s">
        <v>181</v>
      </c>
      <c r="G872">
        <v>0.5</v>
      </c>
      <c r="H872" t="s">
        <v>756</v>
      </c>
    </row>
    <row r="873" spans="1:8" hidden="1">
      <c r="A873" t="s">
        <v>11</v>
      </c>
      <c r="B873">
        <v>2020</v>
      </c>
      <c r="C873" t="s">
        <v>47</v>
      </c>
      <c r="D873" t="s">
        <v>191</v>
      </c>
      <c r="F873" t="s">
        <v>181</v>
      </c>
      <c r="G873">
        <v>0.5</v>
      </c>
      <c r="H873" t="s">
        <v>757</v>
      </c>
    </row>
    <row r="874" spans="1:8" hidden="1">
      <c r="A874" t="s">
        <v>11</v>
      </c>
      <c r="B874">
        <v>2020</v>
      </c>
      <c r="C874" t="s">
        <v>47</v>
      </c>
      <c r="D874" t="s">
        <v>180</v>
      </c>
      <c r="F874" t="s">
        <v>181</v>
      </c>
      <c r="G874">
        <v>0.1</v>
      </c>
      <c r="H874" t="s">
        <v>758</v>
      </c>
    </row>
    <row r="875" spans="1:8" hidden="1">
      <c r="A875" t="s">
        <v>11</v>
      </c>
      <c r="B875">
        <v>2020</v>
      </c>
      <c r="C875" t="s">
        <v>47</v>
      </c>
      <c r="D875" t="s">
        <v>180</v>
      </c>
      <c r="F875" t="s">
        <v>181</v>
      </c>
      <c r="G875">
        <v>0.1</v>
      </c>
      <c r="H875" t="s">
        <v>758</v>
      </c>
    </row>
    <row r="876" spans="1:8" hidden="1">
      <c r="A876" t="s">
        <v>11</v>
      </c>
      <c r="B876">
        <v>2020</v>
      </c>
      <c r="C876" t="s">
        <v>47</v>
      </c>
      <c r="D876" t="s">
        <v>180</v>
      </c>
      <c r="F876" t="s">
        <v>181</v>
      </c>
      <c r="G876">
        <v>4</v>
      </c>
      <c r="H876" t="s">
        <v>759</v>
      </c>
    </row>
    <row r="877" spans="1:8" hidden="1">
      <c r="A877" t="s">
        <v>11</v>
      </c>
      <c r="B877">
        <v>2020</v>
      </c>
      <c r="C877" t="s">
        <v>47</v>
      </c>
      <c r="D877" t="s">
        <v>188</v>
      </c>
      <c r="F877" t="s">
        <v>181</v>
      </c>
      <c r="G877">
        <v>3</v>
      </c>
      <c r="H877" t="s">
        <v>758</v>
      </c>
    </row>
    <row r="878" spans="1:8" hidden="1">
      <c r="A878" t="s">
        <v>11</v>
      </c>
      <c r="B878">
        <v>2020</v>
      </c>
      <c r="C878" t="s">
        <v>47</v>
      </c>
      <c r="D878" t="s">
        <v>188</v>
      </c>
      <c r="F878" t="s">
        <v>181</v>
      </c>
      <c r="G878">
        <v>3</v>
      </c>
      <c r="H878" t="s">
        <v>760</v>
      </c>
    </row>
    <row r="879" spans="1:8" hidden="1">
      <c r="A879" t="s">
        <v>11</v>
      </c>
      <c r="B879">
        <v>2020</v>
      </c>
      <c r="C879" t="s">
        <v>47</v>
      </c>
      <c r="D879" t="s">
        <v>180</v>
      </c>
      <c r="F879" t="s">
        <v>181</v>
      </c>
      <c r="G879">
        <v>1.5</v>
      </c>
      <c r="H879" t="s">
        <v>761</v>
      </c>
    </row>
    <row r="880" spans="1:8" hidden="1">
      <c r="A880" t="s">
        <v>11</v>
      </c>
      <c r="B880">
        <v>2020</v>
      </c>
      <c r="C880" t="s">
        <v>47</v>
      </c>
      <c r="D880" t="s">
        <v>199</v>
      </c>
      <c r="F880" t="s">
        <v>181</v>
      </c>
      <c r="G880">
        <v>1</v>
      </c>
      <c r="H880" t="s">
        <v>762</v>
      </c>
    </row>
    <row r="881" spans="1:8" hidden="1">
      <c r="A881" t="s">
        <v>11</v>
      </c>
      <c r="B881">
        <v>2020</v>
      </c>
      <c r="C881" t="s">
        <v>47</v>
      </c>
      <c r="D881" t="s">
        <v>197</v>
      </c>
      <c r="F881" t="s">
        <v>181</v>
      </c>
      <c r="G881">
        <v>1</v>
      </c>
      <c r="H881" t="s">
        <v>762</v>
      </c>
    </row>
    <row r="882" spans="1:8" hidden="1">
      <c r="A882" t="s">
        <v>11</v>
      </c>
      <c r="B882">
        <v>2020</v>
      </c>
      <c r="C882" t="s">
        <v>47</v>
      </c>
      <c r="D882" t="s">
        <v>188</v>
      </c>
      <c r="F882" t="s">
        <v>181</v>
      </c>
      <c r="G882">
        <v>0.6</v>
      </c>
      <c r="H882" t="s">
        <v>763</v>
      </c>
    </row>
    <row r="883" spans="1:8" hidden="1">
      <c r="A883" t="s">
        <v>11</v>
      </c>
      <c r="B883">
        <v>2020</v>
      </c>
      <c r="C883" t="s">
        <v>47</v>
      </c>
      <c r="D883" t="s">
        <v>199</v>
      </c>
      <c r="F883" t="s">
        <v>208</v>
      </c>
      <c r="G883">
        <v>0.5</v>
      </c>
      <c r="H883" t="s">
        <v>764</v>
      </c>
    </row>
    <row r="884" spans="1:8" hidden="1">
      <c r="A884" t="s">
        <v>11</v>
      </c>
      <c r="B884">
        <v>2020</v>
      </c>
      <c r="C884" t="s">
        <v>47</v>
      </c>
      <c r="D884" t="s">
        <v>180</v>
      </c>
      <c r="F884" t="s">
        <v>208</v>
      </c>
      <c r="G884">
        <v>1</v>
      </c>
      <c r="H884" t="s">
        <v>765</v>
      </c>
    </row>
    <row r="885" spans="1:8" hidden="1">
      <c r="A885" t="s">
        <v>11</v>
      </c>
      <c r="B885">
        <v>2020</v>
      </c>
      <c r="C885" t="s">
        <v>47</v>
      </c>
      <c r="D885" t="s">
        <v>191</v>
      </c>
      <c r="F885" t="s">
        <v>208</v>
      </c>
      <c r="G885">
        <v>2</v>
      </c>
      <c r="H885" t="s">
        <v>766</v>
      </c>
    </row>
    <row r="886" spans="1:8" hidden="1">
      <c r="A886" t="s">
        <v>11</v>
      </c>
      <c r="B886">
        <v>2020</v>
      </c>
      <c r="C886" t="s">
        <v>47</v>
      </c>
      <c r="D886" t="s">
        <v>184</v>
      </c>
      <c r="F886" t="s">
        <v>208</v>
      </c>
      <c r="G886">
        <v>1</v>
      </c>
      <c r="H886" t="s">
        <v>767</v>
      </c>
    </row>
    <row r="887" spans="1:8" hidden="1">
      <c r="A887" t="s">
        <v>11</v>
      </c>
      <c r="B887">
        <v>2020</v>
      </c>
      <c r="C887" t="s">
        <v>47</v>
      </c>
      <c r="D887" t="s">
        <v>188</v>
      </c>
      <c r="F887" t="s">
        <v>208</v>
      </c>
      <c r="G887">
        <v>1.45</v>
      </c>
      <c r="H887" t="s">
        <v>768</v>
      </c>
    </row>
    <row r="888" spans="1:8" hidden="1">
      <c r="A888" t="s">
        <v>11</v>
      </c>
      <c r="B888">
        <v>2020</v>
      </c>
      <c r="C888" t="s">
        <v>47</v>
      </c>
      <c r="D888" t="s">
        <v>188</v>
      </c>
      <c r="F888" t="s">
        <v>208</v>
      </c>
      <c r="G888">
        <v>3.5</v>
      </c>
      <c r="H888" t="s">
        <v>769</v>
      </c>
    </row>
    <row r="889" spans="1:8" hidden="1">
      <c r="A889" t="s">
        <v>11</v>
      </c>
      <c r="B889">
        <v>2020</v>
      </c>
      <c r="C889" t="s">
        <v>47</v>
      </c>
      <c r="D889" t="s">
        <v>188</v>
      </c>
      <c r="F889" t="s">
        <v>208</v>
      </c>
      <c r="G889">
        <v>3.2</v>
      </c>
      <c r="H889" t="s">
        <v>770</v>
      </c>
    </row>
    <row r="890" spans="1:8" hidden="1">
      <c r="A890" t="s">
        <v>11</v>
      </c>
      <c r="B890">
        <v>2020</v>
      </c>
      <c r="C890" t="s">
        <v>47</v>
      </c>
      <c r="D890" t="s">
        <v>188</v>
      </c>
      <c r="F890" t="s">
        <v>208</v>
      </c>
      <c r="G890">
        <v>0.05</v>
      </c>
      <c r="H890" t="s">
        <v>771</v>
      </c>
    </row>
    <row r="891" spans="1:8" hidden="1">
      <c r="A891" t="s">
        <v>11</v>
      </c>
      <c r="B891">
        <v>2020</v>
      </c>
      <c r="C891" t="s">
        <v>47</v>
      </c>
      <c r="D891" t="s">
        <v>188</v>
      </c>
      <c r="F891" t="s">
        <v>208</v>
      </c>
      <c r="G891">
        <v>1</v>
      </c>
      <c r="H891" t="s">
        <v>772</v>
      </c>
    </row>
    <row r="892" spans="1:8" hidden="1">
      <c r="A892" t="s">
        <v>11</v>
      </c>
      <c r="B892">
        <v>2020</v>
      </c>
      <c r="C892" t="s">
        <v>47</v>
      </c>
      <c r="D892" t="s">
        <v>191</v>
      </c>
      <c r="F892" t="s">
        <v>208</v>
      </c>
      <c r="G892">
        <v>0.75</v>
      </c>
      <c r="H892" t="s">
        <v>773</v>
      </c>
    </row>
    <row r="893" spans="1:8" hidden="1">
      <c r="A893" t="s">
        <v>11</v>
      </c>
      <c r="B893">
        <v>2020</v>
      </c>
      <c r="C893" t="s">
        <v>47</v>
      </c>
      <c r="D893" t="s">
        <v>188</v>
      </c>
      <c r="F893" t="s">
        <v>208</v>
      </c>
      <c r="G893">
        <v>0.65</v>
      </c>
      <c r="H893" t="s">
        <v>774</v>
      </c>
    </row>
    <row r="894" spans="1:8" hidden="1">
      <c r="A894" t="s">
        <v>11</v>
      </c>
      <c r="B894">
        <v>2020</v>
      </c>
      <c r="C894" t="s">
        <v>47</v>
      </c>
      <c r="D894" t="s">
        <v>193</v>
      </c>
      <c r="F894" t="s">
        <v>208</v>
      </c>
      <c r="G894">
        <v>0.4</v>
      </c>
      <c r="H894" t="s">
        <v>775</v>
      </c>
    </row>
    <row r="895" spans="1:8" hidden="1">
      <c r="A895" t="s">
        <v>11</v>
      </c>
      <c r="B895">
        <v>2020</v>
      </c>
      <c r="C895" t="s">
        <v>49</v>
      </c>
      <c r="D895" t="s">
        <v>180</v>
      </c>
      <c r="F895" t="s">
        <v>181</v>
      </c>
      <c r="G895">
        <v>6</v>
      </c>
      <c r="H895" t="s">
        <v>273</v>
      </c>
    </row>
    <row r="896" spans="1:8" hidden="1">
      <c r="A896" t="s">
        <v>11</v>
      </c>
      <c r="B896">
        <v>2020</v>
      </c>
      <c r="C896" t="s">
        <v>49</v>
      </c>
      <c r="D896" t="s">
        <v>180</v>
      </c>
      <c r="F896" t="s">
        <v>181</v>
      </c>
      <c r="G896">
        <v>2</v>
      </c>
      <c r="H896" t="s">
        <v>776</v>
      </c>
    </row>
    <row r="897" spans="1:8" hidden="1">
      <c r="A897" t="s">
        <v>11</v>
      </c>
      <c r="B897">
        <v>2020</v>
      </c>
      <c r="C897" t="s">
        <v>49</v>
      </c>
      <c r="D897" t="s">
        <v>184</v>
      </c>
      <c r="F897" t="s">
        <v>181</v>
      </c>
      <c r="G897">
        <v>3</v>
      </c>
      <c r="H897" t="s">
        <v>185</v>
      </c>
    </row>
    <row r="898" spans="1:8" hidden="1">
      <c r="A898" t="s">
        <v>11</v>
      </c>
      <c r="B898">
        <v>2022</v>
      </c>
      <c r="C898" t="s">
        <v>49</v>
      </c>
      <c r="D898" t="s">
        <v>180</v>
      </c>
      <c r="F898" t="s">
        <v>181</v>
      </c>
      <c r="G898">
        <v>1</v>
      </c>
      <c r="H898" t="s">
        <v>235</v>
      </c>
    </row>
    <row r="899" spans="1:8" hidden="1">
      <c r="A899" t="s">
        <v>11</v>
      </c>
      <c r="B899">
        <v>2022</v>
      </c>
      <c r="C899" t="s">
        <v>49</v>
      </c>
      <c r="D899" t="s">
        <v>180</v>
      </c>
      <c r="F899" t="s">
        <v>181</v>
      </c>
      <c r="G899">
        <v>1</v>
      </c>
      <c r="H899" t="s">
        <v>236</v>
      </c>
    </row>
    <row r="900" spans="1:8" hidden="1">
      <c r="A900" t="s">
        <v>11</v>
      </c>
      <c r="B900">
        <v>2022</v>
      </c>
      <c r="C900" t="s">
        <v>49</v>
      </c>
      <c r="D900" t="s">
        <v>188</v>
      </c>
      <c r="F900" t="s">
        <v>181</v>
      </c>
      <c r="G900">
        <v>6</v>
      </c>
      <c r="H900" t="s">
        <v>334</v>
      </c>
    </row>
    <row r="901" spans="1:8" hidden="1">
      <c r="A901" t="s">
        <v>11</v>
      </c>
      <c r="B901">
        <v>2022</v>
      </c>
      <c r="C901" t="s">
        <v>49</v>
      </c>
      <c r="D901" t="s">
        <v>180</v>
      </c>
      <c r="F901" t="s">
        <v>181</v>
      </c>
      <c r="G901">
        <v>1</v>
      </c>
      <c r="H901" t="s">
        <v>283</v>
      </c>
    </row>
    <row r="902" spans="1:8" hidden="1">
      <c r="A902" t="s">
        <v>11</v>
      </c>
      <c r="B902">
        <v>2022</v>
      </c>
      <c r="C902" t="s">
        <v>49</v>
      </c>
      <c r="D902" t="s">
        <v>180</v>
      </c>
      <c r="F902" t="s">
        <v>181</v>
      </c>
      <c r="G902">
        <v>3</v>
      </c>
      <c r="H902" t="s">
        <v>777</v>
      </c>
    </row>
    <row r="903" spans="1:8" hidden="1">
      <c r="A903" t="s">
        <v>11</v>
      </c>
      <c r="B903">
        <v>2022</v>
      </c>
      <c r="C903" t="s">
        <v>49</v>
      </c>
      <c r="D903" t="s">
        <v>191</v>
      </c>
      <c r="F903" t="s">
        <v>181</v>
      </c>
      <c r="G903">
        <v>3</v>
      </c>
      <c r="H903" t="s">
        <v>778</v>
      </c>
    </row>
    <row r="904" spans="1:8" hidden="1">
      <c r="A904" t="s">
        <v>11</v>
      </c>
      <c r="B904">
        <v>2022</v>
      </c>
      <c r="C904" t="s">
        <v>49</v>
      </c>
      <c r="D904" t="s">
        <v>200</v>
      </c>
      <c r="F904" t="s">
        <v>181</v>
      </c>
      <c r="G904">
        <v>1</v>
      </c>
      <c r="H904" t="s">
        <v>201</v>
      </c>
    </row>
    <row r="905" spans="1:8" hidden="1">
      <c r="A905" t="s">
        <v>11</v>
      </c>
      <c r="B905">
        <v>2022</v>
      </c>
      <c r="C905" t="s">
        <v>49</v>
      </c>
      <c r="D905" t="s">
        <v>199</v>
      </c>
      <c r="F905" t="s">
        <v>181</v>
      </c>
      <c r="G905">
        <v>0.25</v>
      </c>
      <c r="H905" t="s">
        <v>202</v>
      </c>
    </row>
    <row r="906" spans="1:8" hidden="1">
      <c r="A906" t="s">
        <v>11</v>
      </c>
      <c r="B906">
        <v>2022</v>
      </c>
      <c r="C906" t="s">
        <v>49</v>
      </c>
      <c r="D906" t="s">
        <v>197</v>
      </c>
      <c r="F906" t="s">
        <v>181</v>
      </c>
      <c r="G906">
        <v>0.25</v>
      </c>
      <c r="H906" t="s">
        <v>202</v>
      </c>
    </row>
    <row r="907" spans="1:8" hidden="1">
      <c r="A907" t="s">
        <v>11</v>
      </c>
      <c r="B907">
        <v>2022</v>
      </c>
      <c r="C907" t="s">
        <v>49</v>
      </c>
      <c r="D907" t="s">
        <v>203</v>
      </c>
      <c r="F907" t="s">
        <v>181</v>
      </c>
      <c r="G907">
        <v>1</v>
      </c>
      <c r="H907" t="s">
        <v>241</v>
      </c>
    </row>
    <row r="908" spans="1:8" hidden="1">
      <c r="A908" t="s">
        <v>11</v>
      </c>
      <c r="B908">
        <v>2022</v>
      </c>
      <c r="C908" t="s">
        <v>49</v>
      </c>
      <c r="D908" t="s">
        <v>199</v>
      </c>
      <c r="F908" t="s">
        <v>181</v>
      </c>
      <c r="G908">
        <v>0.75</v>
      </c>
      <c r="H908" t="s">
        <v>198</v>
      </c>
    </row>
    <row r="909" spans="1:8" hidden="1">
      <c r="A909" t="s">
        <v>11</v>
      </c>
      <c r="B909">
        <v>2022</v>
      </c>
      <c r="C909" t="s">
        <v>49</v>
      </c>
      <c r="D909" t="s">
        <v>197</v>
      </c>
      <c r="F909" t="s">
        <v>181</v>
      </c>
      <c r="G909">
        <v>0.75</v>
      </c>
      <c r="H909" t="s">
        <v>198</v>
      </c>
    </row>
    <row r="910" spans="1:8" hidden="1">
      <c r="A910" t="s">
        <v>11</v>
      </c>
      <c r="B910">
        <v>2022</v>
      </c>
      <c r="C910" t="s">
        <v>49</v>
      </c>
      <c r="D910" t="s">
        <v>180</v>
      </c>
      <c r="F910" t="s">
        <v>181</v>
      </c>
      <c r="G910">
        <v>1</v>
      </c>
      <c r="H910" t="s">
        <v>242</v>
      </c>
    </row>
    <row r="911" spans="1:8" hidden="1">
      <c r="A911" t="s">
        <v>11</v>
      </c>
      <c r="B911">
        <v>2022</v>
      </c>
      <c r="C911" t="s">
        <v>49</v>
      </c>
      <c r="D911" t="s">
        <v>180</v>
      </c>
      <c r="F911" t="s">
        <v>181</v>
      </c>
      <c r="G911">
        <v>1</v>
      </c>
      <c r="H911" t="s">
        <v>243</v>
      </c>
    </row>
    <row r="912" spans="1:8" hidden="1">
      <c r="A912" t="s">
        <v>11</v>
      </c>
      <c r="B912">
        <v>2022</v>
      </c>
      <c r="C912" t="s">
        <v>49</v>
      </c>
      <c r="D912" t="s">
        <v>199</v>
      </c>
      <c r="F912" t="s">
        <v>181</v>
      </c>
      <c r="G912">
        <v>1</v>
      </c>
      <c r="H912" t="s">
        <v>274</v>
      </c>
    </row>
    <row r="913" spans="1:8" hidden="1">
      <c r="A913" t="s">
        <v>11</v>
      </c>
      <c r="B913">
        <v>2022</v>
      </c>
      <c r="C913" t="s">
        <v>49</v>
      </c>
      <c r="D913" t="s">
        <v>180</v>
      </c>
      <c r="F913" t="s">
        <v>181</v>
      </c>
      <c r="G913">
        <v>4</v>
      </c>
      <c r="H913" t="s">
        <v>285</v>
      </c>
    </row>
    <row r="914" spans="1:8" hidden="1">
      <c r="A914" t="s">
        <v>11</v>
      </c>
      <c r="B914">
        <v>2022</v>
      </c>
      <c r="C914" t="s">
        <v>49</v>
      </c>
      <c r="D914" t="s">
        <v>180</v>
      </c>
      <c r="F914" t="s">
        <v>181</v>
      </c>
      <c r="G914">
        <v>1</v>
      </c>
      <c r="H914" t="s">
        <v>291</v>
      </c>
    </row>
    <row r="915" spans="1:8" hidden="1">
      <c r="A915" t="s">
        <v>11</v>
      </c>
      <c r="B915">
        <v>2022</v>
      </c>
      <c r="C915" t="s">
        <v>49</v>
      </c>
      <c r="D915" t="s">
        <v>180</v>
      </c>
      <c r="F915" t="s">
        <v>181</v>
      </c>
      <c r="G915">
        <v>1</v>
      </c>
      <c r="H915" t="s">
        <v>292</v>
      </c>
    </row>
    <row r="916" spans="1:8" hidden="1">
      <c r="A916" t="s">
        <v>11</v>
      </c>
      <c r="B916">
        <v>2022</v>
      </c>
      <c r="C916" t="s">
        <v>49</v>
      </c>
      <c r="D916" t="s">
        <v>180</v>
      </c>
      <c r="F916" t="s">
        <v>181</v>
      </c>
      <c r="G916">
        <v>1.6</v>
      </c>
      <c r="H916" t="s">
        <v>779</v>
      </c>
    </row>
    <row r="917" spans="1:8" hidden="1">
      <c r="A917" t="s">
        <v>11</v>
      </c>
      <c r="B917">
        <v>2022</v>
      </c>
      <c r="C917" t="s">
        <v>49</v>
      </c>
      <c r="D917" t="s">
        <v>180</v>
      </c>
      <c r="F917" t="s">
        <v>181</v>
      </c>
      <c r="G917">
        <v>2</v>
      </c>
      <c r="H917" t="s">
        <v>294</v>
      </c>
    </row>
    <row r="918" spans="1:8" hidden="1">
      <c r="A918" t="s">
        <v>11</v>
      </c>
      <c r="B918">
        <v>2022</v>
      </c>
      <c r="C918" t="s">
        <v>49</v>
      </c>
      <c r="D918" t="s">
        <v>180</v>
      </c>
      <c r="F918" t="s">
        <v>181</v>
      </c>
      <c r="G918">
        <v>1</v>
      </c>
      <c r="H918" t="s">
        <v>295</v>
      </c>
    </row>
    <row r="919" spans="1:8" hidden="1">
      <c r="A919" t="s">
        <v>11</v>
      </c>
      <c r="B919">
        <v>2022</v>
      </c>
      <c r="C919" t="s">
        <v>49</v>
      </c>
      <c r="D919" t="s">
        <v>180</v>
      </c>
      <c r="F919" t="s">
        <v>181</v>
      </c>
      <c r="G919">
        <v>1</v>
      </c>
      <c r="H919" t="s">
        <v>296</v>
      </c>
    </row>
    <row r="920" spans="1:8" hidden="1">
      <c r="A920" t="s">
        <v>11</v>
      </c>
      <c r="B920">
        <v>2022</v>
      </c>
      <c r="C920" t="s">
        <v>49</v>
      </c>
      <c r="D920" t="s">
        <v>180</v>
      </c>
      <c r="F920" t="s">
        <v>181</v>
      </c>
      <c r="G920">
        <v>1</v>
      </c>
      <c r="H920" t="s">
        <v>318</v>
      </c>
    </row>
    <row r="921" spans="1:8" hidden="1">
      <c r="A921" t="s">
        <v>11</v>
      </c>
      <c r="B921">
        <v>2022</v>
      </c>
      <c r="C921" t="s">
        <v>49</v>
      </c>
      <c r="D921" t="s">
        <v>199</v>
      </c>
      <c r="F921" t="s">
        <v>181</v>
      </c>
      <c r="G921">
        <v>6</v>
      </c>
      <c r="H921" t="s">
        <v>780</v>
      </c>
    </row>
    <row r="922" spans="1:8" hidden="1">
      <c r="A922" t="s">
        <v>11</v>
      </c>
      <c r="B922">
        <v>2022</v>
      </c>
      <c r="C922" t="s">
        <v>49</v>
      </c>
      <c r="D922" t="s">
        <v>199</v>
      </c>
      <c r="F922" t="s">
        <v>181</v>
      </c>
      <c r="G922">
        <v>5</v>
      </c>
      <c r="H922" t="s">
        <v>781</v>
      </c>
    </row>
    <row r="923" spans="1:8" hidden="1">
      <c r="A923" t="s">
        <v>11</v>
      </c>
      <c r="B923">
        <v>2022</v>
      </c>
      <c r="C923" t="s">
        <v>49</v>
      </c>
      <c r="D923" t="s">
        <v>184</v>
      </c>
      <c r="F923" t="s">
        <v>181</v>
      </c>
      <c r="G923">
        <v>12</v>
      </c>
      <c r="H923" t="s">
        <v>782</v>
      </c>
    </row>
    <row r="924" spans="1:8" hidden="1">
      <c r="A924" t="s">
        <v>11</v>
      </c>
      <c r="B924">
        <v>2022</v>
      </c>
      <c r="C924" t="s">
        <v>49</v>
      </c>
      <c r="D924" t="s">
        <v>188</v>
      </c>
      <c r="F924" t="s">
        <v>181</v>
      </c>
      <c r="G924">
        <v>3</v>
      </c>
      <c r="H924" t="s">
        <v>783</v>
      </c>
    </row>
    <row r="925" spans="1:8" hidden="1">
      <c r="A925" t="s">
        <v>11</v>
      </c>
      <c r="B925">
        <v>2022</v>
      </c>
      <c r="C925" t="s">
        <v>49</v>
      </c>
      <c r="D925" t="s">
        <v>188</v>
      </c>
      <c r="F925" t="s">
        <v>181</v>
      </c>
      <c r="G925">
        <v>2</v>
      </c>
      <c r="H925" t="s">
        <v>784</v>
      </c>
    </row>
    <row r="926" spans="1:8" hidden="1">
      <c r="A926" t="s">
        <v>11</v>
      </c>
      <c r="B926">
        <v>2022</v>
      </c>
      <c r="C926" t="s">
        <v>49</v>
      </c>
      <c r="D926" t="s">
        <v>188</v>
      </c>
      <c r="F926" t="s">
        <v>181</v>
      </c>
      <c r="G926">
        <v>3.5</v>
      </c>
      <c r="H926" t="s">
        <v>785</v>
      </c>
    </row>
    <row r="927" spans="1:8" hidden="1">
      <c r="A927" t="s">
        <v>11</v>
      </c>
      <c r="B927">
        <v>2022</v>
      </c>
      <c r="C927" t="s">
        <v>49</v>
      </c>
      <c r="D927" t="s">
        <v>200</v>
      </c>
      <c r="F927" t="s">
        <v>181</v>
      </c>
      <c r="G927">
        <v>2.25</v>
      </c>
      <c r="H927" t="s">
        <v>786</v>
      </c>
    </row>
    <row r="928" spans="1:8" hidden="1">
      <c r="A928" t="s">
        <v>11</v>
      </c>
      <c r="B928">
        <v>2022</v>
      </c>
      <c r="C928" t="s">
        <v>49</v>
      </c>
      <c r="D928" t="s">
        <v>184</v>
      </c>
      <c r="F928" t="s">
        <v>208</v>
      </c>
      <c r="G928">
        <v>0.55000000000000004</v>
      </c>
      <c r="H928" t="s">
        <v>787</v>
      </c>
    </row>
    <row r="929" spans="1:8" hidden="1">
      <c r="A929" t="s">
        <v>11</v>
      </c>
      <c r="B929">
        <v>2022</v>
      </c>
      <c r="C929" t="s">
        <v>49</v>
      </c>
      <c r="D929" t="s">
        <v>193</v>
      </c>
      <c r="F929" t="s">
        <v>208</v>
      </c>
      <c r="G929">
        <v>1</v>
      </c>
      <c r="H929" t="s">
        <v>788</v>
      </c>
    </row>
    <row r="930" spans="1:8" hidden="1">
      <c r="A930" t="s">
        <v>11</v>
      </c>
      <c r="B930">
        <v>2023</v>
      </c>
      <c r="C930" t="s">
        <v>12</v>
      </c>
      <c r="D930" t="s">
        <v>180</v>
      </c>
      <c r="F930" t="s">
        <v>181</v>
      </c>
      <c r="G930">
        <v>6</v>
      </c>
      <c r="H930" t="s">
        <v>273</v>
      </c>
    </row>
    <row r="931" spans="1:8" hidden="1">
      <c r="A931" t="s">
        <v>11</v>
      </c>
      <c r="B931">
        <v>2023</v>
      </c>
      <c r="C931" t="s">
        <v>12</v>
      </c>
      <c r="D931" t="s">
        <v>180</v>
      </c>
      <c r="F931" t="s">
        <v>181</v>
      </c>
      <c r="G931">
        <v>2</v>
      </c>
      <c r="H931" t="s">
        <v>233</v>
      </c>
    </row>
    <row r="932" spans="1:8" hidden="1">
      <c r="A932" t="s">
        <v>11</v>
      </c>
      <c r="B932">
        <v>2023</v>
      </c>
      <c r="C932" t="s">
        <v>12</v>
      </c>
      <c r="D932" t="s">
        <v>259</v>
      </c>
      <c r="F932" t="s">
        <v>181</v>
      </c>
      <c r="G932">
        <v>3</v>
      </c>
      <c r="H932" t="s">
        <v>789</v>
      </c>
    </row>
    <row r="933" spans="1:8" hidden="1">
      <c r="A933" t="s">
        <v>11</v>
      </c>
      <c r="B933">
        <v>2023</v>
      </c>
      <c r="C933" t="s">
        <v>12</v>
      </c>
      <c r="D933" t="s">
        <v>180</v>
      </c>
      <c r="F933" t="s">
        <v>181</v>
      </c>
      <c r="G933">
        <v>1</v>
      </c>
      <c r="H933" t="s">
        <v>235</v>
      </c>
    </row>
    <row r="934" spans="1:8" hidden="1">
      <c r="A934" t="s">
        <v>11</v>
      </c>
      <c r="B934">
        <v>2023</v>
      </c>
      <c r="C934" t="s">
        <v>12</v>
      </c>
      <c r="D934" t="s">
        <v>180</v>
      </c>
      <c r="F934" t="s">
        <v>181</v>
      </c>
      <c r="G934">
        <v>1</v>
      </c>
      <c r="H934" t="s">
        <v>236</v>
      </c>
    </row>
    <row r="935" spans="1:8" hidden="1">
      <c r="A935" t="s">
        <v>11</v>
      </c>
      <c r="B935">
        <v>2023</v>
      </c>
      <c r="C935" t="s">
        <v>12</v>
      </c>
      <c r="D935" t="s">
        <v>188</v>
      </c>
      <c r="F935" t="s">
        <v>181</v>
      </c>
      <c r="G935">
        <v>3</v>
      </c>
      <c r="H935" t="s">
        <v>334</v>
      </c>
    </row>
    <row r="936" spans="1:8" hidden="1">
      <c r="A936" t="s">
        <v>11</v>
      </c>
      <c r="B936">
        <v>2023</v>
      </c>
      <c r="C936" t="s">
        <v>12</v>
      </c>
      <c r="D936" t="s">
        <v>180</v>
      </c>
      <c r="F936" t="s">
        <v>181</v>
      </c>
      <c r="G936">
        <v>1</v>
      </c>
      <c r="H936" t="s">
        <v>283</v>
      </c>
    </row>
    <row r="937" spans="1:8" hidden="1">
      <c r="A937" t="s">
        <v>11</v>
      </c>
      <c r="B937">
        <v>2023</v>
      </c>
      <c r="C937" t="s">
        <v>12</v>
      </c>
      <c r="D937" t="s">
        <v>180</v>
      </c>
      <c r="F937" t="s">
        <v>181</v>
      </c>
      <c r="G937">
        <v>3</v>
      </c>
      <c r="H937" t="s">
        <v>777</v>
      </c>
    </row>
    <row r="938" spans="1:8" hidden="1">
      <c r="A938" t="s">
        <v>11</v>
      </c>
      <c r="B938">
        <v>2023</v>
      </c>
      <c r="C938" t="s">
        <v>12</v>
      </c>
      <c r="D938" t="s">
        <v>191</v>
      </c>
      <c r="F938" t="s">
        <v>181</v>
      </c>
      <c r="G938">
        <v>3</v>
      </c>
      <c r="H938" t="s">
        <v>778</v>
      </c>
    </row>
    <row r="939" spans="1:8" hidden="1">
      <c r="A939" t="s">
        <v>11</v>
      </c>
      <c r="B939">
        <v>2023</v>
      </c>
      <c r="C939" t="s">
        <v>12</v>
      </c>
      <c r="D939" t="s">
        <v>200</v>
      </c>
      <c r="F939" t="s">
        <v>181</v>
      </c>
      <c r="G939">
        <v>1</v>
      </c>
      <c r="H939" t="s">
        <v>790</v>
      </c>
    </row>
    <row r="940" spans="1:8" hidden="1">
      <c r="A940" t="s">
        <v>11</v>
      </c>
      <c r="B940">
        <v>2023</v>
      </c>
      <c r="C940" t="s">
        <v>12</v>
      </c>
      <c r="D940" t="s">
        <v>199</v>
      </c>
      <c r="F940" t="s">
        <v>181</v>
      </c>
      <c r="G940">
        <v>0.25</v>
      </c>
      <c r="H940" t="s">
        <v>202</v>
      </c>
    </row>
    <row r="941" spans="1:8" hidden="1">
      <c r="A941" t="s">
        <v>11</v>
      </c>
      <c r="B941">
        <v>2023</v>
      </c>
      <c r="C941" t="s">
        <v>12</v>
      </c>
      <c r="D941" t="s">
        <v>197</v>
      </c>
      <c r="F941" t="s">
        <v>181</v>
      </c>
      <c r="G941">
        <v>0.25</v>
      </c>
      <c r="H941" t="s">
        <v>202</v>
      </c>
    </row>
    <row r="942" spans="1:8" hidden="1">
      <c r="A942" t="s">
        <v>11</v>
      </c>
      <c r="B942">
        <v>2023</v>
      </c>
      <c r="C942" t="s">
        <v>12</v>
      </c>
      <c r="D942" t="s">
        <v>203</v>
      </c>
      <c r="F942" t="s">
        <v>181</v>
      </c>
      <c r="G942">
        <v>1</v>
      </c>
      <c r="H942" t="s">
        <v>241</v>
      </c>
    </row>
    <row r="943" spans="1:8" hidden="1">
      <c r="A943" t="s">
        <v>11</v>
      </c>
      <c r="B943">
        <v>2023</v>
      </c>
      <c r="C943" t="s">
        <v>12</v>
      </c>
      <c r="D943" t="s">
        <v>197</v>
      </c>
      <c r="F943" t="s">
        <v>181</v>
      </c>
      <c r="G943">
        <v>0.75</v>
      </c>
      <c r="H943" t="s">
        <v>198</v>
      </c>
    </row>
    <row r="944" spans="1:8" hidden="1">
      <c r="A944" t="s">
        <v>11</v>
      </c>
      <c r="B944">
        <v>2023</v>
      </c>
      <c r="C944" t="s">
        <v>12</v>
      </c>
      <c r="D944" t="s">
        <v>199</v>
      </c>
      <c r="F944" t="s">
        <v>181</v>
      </c>
      <c r="G944">
        <v>0.75</v>
      </c>
      <c r="H944" t="s">
        <v>198</v>
      </c>
    </row>
    <row r="945" spans="1:8" hidden="1">
      <c r="A945" t="s">
        <v>11</v>
      </c>
      <c r="B945">
        <v>2023</v>
      </c>
      <c r="C945" t="s">
        <v>12</v>
      </c>
      <c r="D945" t="s">
        <v>180</v>
      </c>
      <c r="F945" t="s">
        <v>181</v>
      </c>
      <c r="G945">
        <v>1</v>
      </c>
      <c r="H945" t="s">
        <v>242</v>
      </c>
    </row>
    <row r="946" spans="1:8" hidden="1">
      <c r="A946" t="s">
        <v>11</v>
      </c>
      <c r="B946">
        <v>2023</v>
      </c>
      <c r="C946" t="s">
        <v>12</v>
      </c>
      <c r="D946" t="s">
        <v>180</v>
      </c>
      <c r="F946" t="s">
        <v>181</v>
      </c>
      <c r="G946">
        <v>1</v>
      </c>
      <c r="H946" t="s">
        <v>274</v>
      </c>
    </row>
    <row r="947" spans="1:8" hidden="1">
      <c r="A947" t="s">
        <v>11</v>
      </c>
      <c r="B947">
        <v>2023</v>
      </c>
      <c r="C947" t="s">
        <v>12</v>
      </c>
      <c r="D947" t="s">
        <v>180</v>
      </c>
      <c r="F947" t="s">
        <v>181</v>
      </c>
      <c r="G947">
        <v>1</v>
      </c>
      <c r="H947" t="s">
        <v>285</v>
      </c>
    </row>
    <row r="948" spans="1:8" hidden="1">
      <c r="A948" t="s">
        <v>11</v>
      </c>
      <c r="B948">
        <v>2023</v>
      </c>
      <c r="C948" t="s">
        <v>12</v>
      </c>
      <c r="D948" t="s">
        <v>324</v>
      </c>
      <c r="F948" t="s">
        <v>181</v>
      </c>
      <c r="G948">
        <v>1</v>
      </c>
      <c r="H948" t="s">
        <v>291</v>
      </c>
    </row>
    <row r="949" spans="1:8" hidden="1">
      <c r="A949" t="s">
        <v>11</v>
      </c>
      <c r="B949">
        <v>2023</v>
      </c>
      <c r="C949" t="s">
        <v>12</v>
      </c>
      <c r="D949" t="s">
        <v>180</v>
      </c>
      <c r="F949" t="s">
        <v>181</v>
      </c>
      <c r="G949">
        <v>1</v>
      </c>
      <c r="H949" t="s">
        <v>292</v>
      </c>
    </row>
    <row r="950" spans="1:8" hidden="1">
      <c r="A950" t="s">
        <v>11</v>
      </c>
      <c r="B950">
        <v>2023</v>
      </c>
      <c r="C950" t="s">
        <v>12</v>
      </c>
      <c r="D950" t="s">
        <v>180</v>
      </c>
      <c r="F950" t="s">
        <v>181</v>
      </c>
      <c r="G950">
        <v>1.6</v>
      </c>
      <c r="H950" t="s">
        <v>293</v>
      </c>
    </row>
    <row r="951" spans="1:8" hidden="1">
      <c r="A951" t="s">
        <v>11</v>
      </c>
      <c r="B951">
        <v>2023</v>
      </c>
      <c r="C951" t="s">
        <v>12</v>
      </c>
      <c r="D951" t="s">
        <v>180</v>
      </c>
      <c r="F951" t="s">
        <v>181</v>
      </c>
      <c r="G951">
        <v>2</v>
      </c>
      <c r="H951" t="s">
        <v>294</v>
      </c>
    </row>
    <row r="952" spans="1:8" hidden="1">
      <c r="A952" t="s">
        <v>11</v>
      </c>
      <c r="B952">
        <v>2023</v>
      </c>
      <c r="C952" t="s">
        <v>12</v>
      </c>
      <c r="D952" t="s">
        <v>180</v>
      </c>
      <c r="F952" t="s">
        <v>181</v>
      </c>
      <c r="G952">
        <v>1</v>
      </c>
      <c r="H952" t="s">
        <v>295</v>
      </c>
    </row>
    <row r="953" spans="1:8" hidden="1">
      <c r="A953" t="s">
        <v>11</v>
      </c>
      <c r="B953">
        <v>2023</v>
      </c>
      <c r="C953" t="s">
        <v>12</v>
      </c>
      <c r="D953" t="s">
        <v>180</v>
      </c>
      <c r="F953" t="s">
        <v>181</v>
      </c>
      <c r="G953">
        <v>1</v>
      </c>
      <c r="H953" t="s">
        <v>296</v>
      </c>
    </row>
    <row r="954" spans="1:8" hidden="1">
      <c r="A954" t="s">
        <v>11</v>
      </c>
      <c r="B954">
        <v>2023</v>
      </c>
      <c r="C954" t="s">
        <v>12</v>
      </c>
      <c r="D954" t="s">
        <v>180</v>
      </c>
      <c r="F954" t="s">
        <v>181</v>
      </c>
      <c r="G954">
        <v>1</v>
      </c>
      <c r="H954" t="s">
        <v>318</v>
      </c>
    </row>
    <row r="955" spans="1:8" hidden="1">
      <c r="A955" t="s">
        <v>11</v>
      </c>
      <c r="B955">
        <v>2023</v>
      </c>
      <c r="C955" t="s">
        <v>12</v>
      </c>
      <c r="D955" t="s">
        <v>184</v>
      </c>
      <c r="F955" t="s">
        <v>181</v>
      </c>
      <c r="G955">
        <v>3</v>
      </c>
      <c r="H955" t="s">
        <v>791</v>
      </c>
    </row>
    <row r="956" spans="1:8" hidden="1">
      <c r="A956" t="s">
        <v>11</v>
      </c>
      <c r="B956">
        <v>2023</v>
      </c>
      <c r="C956" t="s">
        <v>12</v>
      </c>
      <c r="D956" t="s">
        <v>193</v>
      </c>
      <c r="F956" t="s">
        <v>181</v>
      </c>
      <c r="G956">
        <v>1</v>
      </c>
      <c r="H956" t="s">
        <v>792</v>
      </c>
    </row>
    <row r="957" spans="1:8" hidden="1">
      <c r="A957" t="s">
        <v>11</v>
      </c>
      <c r="B957">
        <v>2023</v>
      </c>
      <c r="C957" t="s">
        <v>12</v>
      </c>
      <c r="D957" t="s">
        <v>184</v>
      </c>
      <c r="F957" t="s">
        <v>181</v>
      </c>
      <c r="G957">
        <v>0.5</v>
      </c>
      <c r="H957" t="s">
        <v>793</v>
      </c>
    </row>
    <row r="958" spans="1:8" hidden="1">
      <c r="A958" t="s">
        <v>11</v>
      </c>
      <c r="B958">
        <v>2023</v>
      </c>
      <c r="C958" t="s">
        <v>12</v>
      </c>
      <c r="D958" t="s">
        <v>188</v>
      </c>
      <c r="F958" t="s">
        <v>208</v>
      </c>
      <c r="G958">
        <v>4</v>
      </c>
      <c r="H958" t="s">
        <v>794</v>
      </c>
    </row>
    <row r="959" spans="1:8" hidden="1">
      <c r="A959" t="s">
        <v>11</v>
      </c>
      <c r="B959">
        <v>2023</v>
      </c>
      <c r="C959" t="s">
        <v>12</v>
      </c>
      <c r="D959" t="s">
        <v>188</v>
      </c>
      <c r="F959" t="s">
        <v>208</v>
      </c>
      <c r="G959">
        <v>5.3</v>
      </c>
      <c r="H959" t="s">
        <v>795</v>
      </c>
    </row>
    <row r="960" spans="1:8" hidden="1">
      <c r="A960" t="s">
        <v>11</v>
      </c>
      <c r="B960">
        <v>2023</v>
      </c>
      <c r="C960" t="s">
        <v>12</v>
      </c>
      <c r="D960" t="s">
        <v>188</v>
      </c>
      <c r="F960" t="s">
        <v>208</v>
      </c>
      <c r="G960">
        <v>2.2999999999999998</v>
      </c>
      <c r="H960" t="s">
        <v>796</v>
      </c>
    </row>
    <row r="961" spans="1:8" hidden="1">
      <c r="A961" t="s">
        <v>11</v>
      </c>
      <c r="B961">
        <v>2023</v>
      </c>
      <c r="C961" t="s">
        <v>12</v>
      </c>
      <c r="D961" t="s">
        <v>180</v>
      </c>
      <c r="F961" t="s">
        <v>208</v>
      </c>
      <c r="G961">
        <v>0.75</v>
      </c>
      <c r="H961" t="s">
        <v>797</v>
      </c>
    </row>
    <row r="962" spans="1:8" hidden="1">
      <c r="A962" t="s">
        <v>11</v>
      </c>
      <c r="B962">
        <v>2023</v>
      </c>
      <c r="C962" t="s">
        <v>12</v>
      </c>
      <c r="D962" t="s">
        <v>191</v>
      </c>
      <c r="F962" t="s">
        <v>208</v>
      </c>
      <c r="G962">
        <v>0.25</v>
      </c>
      <c r="H962" t="s">
        <v>798</v>
      </c>
    </row>
    <row r="963" spans="1:8" hidden="1">
      <c r="A963" t="s">
        <v>11</v>
      </c>
      <c r="B963">
        <v>2023</v>
      </c>
      <c r="C963" t="s">
        <v>21</v>
      </c>
      <c r="D963" t="s">
        <v>180</v>
      </c>
      <c r="E963" t="s">
        <v>799</v>
      </c>
      <c r="F963" t="s">
        <v>181</v>
      </c>
      <c r="G963">
        <v>6</v>
      </c>
      <c r="H963" t="s">
        <v>216</v>
      </c>
    </row>
    <row r="964" spans="1:8" hidden="1">
      <c r="A964" t="s">
        <v>11</v>
      </c>
      <c r="B964">
        <v>2023</v>
      </c>
      <c r="C964" t="s">
        <v>21</v>
      </c>
      <c r="D964" t="s">
        <v>180</v>
      </c>
      <c r="E964" t="s">
        <v>339</v>
      </c>
      <c r="F964" t="s">
        <v>181</v>
      </c>
      <c r="G964">
        <v>2</v>
      </c>
      <c r="H964" t="s">
        <v>216</v>
      </c>
    </row>
    <row r="965" spans="1:8" hidden="1">
      <c r="A965" t="s">
        <v>11</v>
      </c>
      <c r="B965">
        <v>2023</v>
      </c>
      <c r="C965" t="s">
        <v>21</v>
      </c>
      <c r="D965" t="s">
        <v>184</v>
      </c>
      <c r="F965" t="s">
        <v>181</v>
      </c>
      <c r="G965">
        <v>3</v>
      </c>
      <c r="H965" t="s">
        <v>216</v>
      </c>
    </row>
    <row r="966" spans="1:8" hidden="1">
      <c r="A966" t="s">
        <v>11</v>
      </c>
      <c r="B966">
        <v>2023</v>
      </c>
      <c r="C966" t="s">
        <v>21</v>
      </c>
      <c r="D966" t="s">
        <v>180</v>
      </c>
      <c r="E966" t="s">
        <v>800</v>
      </c>
      <c r="F966" t="s">
        <v>181</v>
      </c>
      <c r="G966">
        <v>1</v>
      </c>
      <c r="H966" t="s">
        <v>216</v>
      </c>
    </row>
    <row r="967" spans="1:8" hidden="1">
      <c r="A967" t="s">
        <v>11</v>
      </c>
      <c r="B967">
        <v>2023</v>
      </c>
      <c r="C967" t="s">
        <v>21</v>
      </c>
      <c r="D967" t="s">
        <v>180</v>
      </c>
      <c r="E967" t="s">
        <v>801</v>
      </c>
      <c r="F967" t="s">
        <v>181</v>
      </c>
      <c r="G967">
        <v>1</v>
      </c>
      <c r="H967" t="s">
        <v>216</v>
      </c>
    </row>
    <row r="968" spans="1:8" hidden="1">
      <c r="A968" t="s">
        <v>11</v>
      </c>
      <c r="B968">
        <v>2023</v>
      </c>
      <c r="C968" t="s">
        <v>21</v>
      </c>
      <c r="D968" t="s">
        <v>188</v>
      </c>
      <c r="F968" t="s">
        <v>181</v>
      </c>
      <c r="G968">
        <v>6</v>
      </c>
      <c r="H968" t="s">
        <v>802</v>
      </c>
    </row>
    <row r="969" spans="1:8" hidden="1">
      <c r="A969" t="s">
        <v>11</v>
      </c>
      <c r="B969">
        <v>2023</v>
      </c>
      <c r="C969" t="s">
        <v>21</v>
      </c>
      <c r="D969" t="s">
        <v>180</v>
      </c>
      <c r="E969" t="s">
        <v>803</v>
      </c>
      <c r="F969" t="s">
        <v>181</v>
      </c>
      <c r="G969">
        <v>1</v>
      </c>
      <c r="H969" t="s">
        <v>804</v>
      </c>
    </row>
    <row r="970" spans="1:8" hidden="1">
      <c r="A970" t="s">
        <v>11</v>
      </c>
      <c r="B970">
        <v>2023</v>
      </c>
      <c r="C970" t="s">
        <v>21</v>
      </c>
      <c r="D970" t="s">
        <v>180</v>
      </c>
      <c r="E970" t="s">
        <v>797</v>
      </c>
      <c r="F970" t="s">
        <v>181</v>
      </c>
      <c r="G970">
        <v>3</v>
      </c>
      <c r="H970" t="s">
        <v>802</v>
      </c>
    </row>
    <row r="971" spans="1:8" hidden="1">
      <c r="A971" t="s">
        <v>11</v>
      </c>
      <c r="B971">
        <v>2023</v>
      </c>
      <c r="C971" t="s">
        <v>21</v>
      </c>
      <c r="D971" t="s">
        <v>191</v>
      </c>
      <c r="F971" t="s">
        <v>181</v>
      </c>
      <c r="G971">
        <v>3</v>
      </c>
      <c r="H971" t="s">
        <v>802</v>
      </c>
    </row>
    <row r="972" spans="1:8" hidden="1">
      <c r="A972" t="s">
        <v>11</v>
      </c>
      <c r="B972">
        <v>2023</v>
      </c>
      <c r="C972" t="s">
        <v>21</v>
      </c>
      <c r="D972" t="s">
        <v>200</v>
      </c>
      <c r="F972" t="s">
        <v>181</v>
      </c>
      <c r="G972">
        <v>1</v>
      </c>
      <c r="H972" t="s">
        <v>804</v>
      </c>
    </row>
    <row r="973" spans="1:8" hidden="1">
      <c r="A973" t="s">
        <v>11</v>
      </c>
      <c r="B973">
        <v>2023</v>
      </c>
      <c r="C973" t="s">
        <v>21</v>
      </c>
      <c r="D973" t="s">
        <v>199</v>
      </c>
      <c r="F973" t="s">
        <v>181</v>
      </c>
      <c r="G973">
        <v>0.25</v>
      </c>
      <c r="H973" t="s">
        <v>202</v>
      </c>
    </row>
    <row r="974" spans="1:8" hidden="1">
      <c r="A974" t="s">
        <v>11</v>
      </c>
      <c r="B974">
        <v>2023</v>
      </c>
      <c r="C974" t="s">
        <v>21</v>
      </c>
      <c r="D974" t="s">
        <v>197</v>
      </c>
      <c r="F974" t="s">
        <v>181</v>
      </c>
      <c r="G974">
        <v>0.25</v>
      </c>
      <c r="H974" t="s">
        <v>202</v>
      </c>
    </row>
    <row r="975" spans="1:8" hidden="1">
      <c r="A975" t="s">
        <v>11</v>
      </c>
      <c r="B975">
        <v>2023</v>
      </c>
      <c r="C975" t="s">
        <v>21</v>
      </c>
      <c r="D975" t="s">
        <v>199</v>
      </c>
      <c r="F975" t="s">
        <v>181</v>
      </c>
      <c r="G975">
        <v>0.75</v>
      </c>
      <c r="H975" t="s">
        <v>740</v>
      </c>
    </row>
    <row r="976" spans="1:8" hidden="1">
      <c r="A976" t="s">
        <v>11</v>
      </c>
      <c r="B976">
        <v>2023</v>
      </c>
      <c r="C976" t="s">
        <v>21</v>
      </c>
      <c r="D976" t="s">
        <v>197</v>
      </c>
      <c r="F976" t="s">
        <v>181</v>
      </c>
      <c r="G976">
        <v>0.75</v>
      </c>
      <c r="H976" t="s">
        <v>740</v>
      </c>
    </row>
    <row r="977" spans="1:8" hidden="1">
      <c r="A977" t="s">
        <v>11</v>
      </c>
      <c r="B977">
        <v>2023</v>
      </c>
      <c r="C977" t="s">
        <v>21</v>
      </c>
      <c r="D977" t="s">
        <v>203</v>
      </c>
      <c r="F977" t="s">
        <v>181</v>
      </c>
      <c r="G977">
        <v>1</v>
      </c>
      <c r="H977" t="s">
        <v>805</v>
      </c>
    </row>
    <row r="978" spans="1:8" hidden="1">
      <c r="A978" t="s">
        <v>11</v>
      </c>
      <c r="B978">
        <v>2023</v>
      </c>
      <c r="C978" t="s">
        <v>21</v>
      </c>
      <c r="D978" t="s">
        <v>180</v>
      </c>
      <c r="E978" t="s">
        <v>806</v>
      </c>
      <c r="F978" t="s">
        <v>181</v>
      </c>
      <c r="G978">
        <v>1</v>
      </c>
      <c r="H978" t="s">
        <v>201</v>
      </c>
    </row>
    <row r="979" spans="1:8" hidden="1">
      <c r="A979" t="s">
        <v>11</v>
      </c>
      <c r="B979">
        <v>2023</v>
      </c>
      <c r="C979" t="s">
        <v>21</v>
      </c>
      <c r="D979" t="s">
        <v>180</v>
      </c>
      <c r="E979" t="s">
        <v>807</v>
      </c>
      <c r="F979" t="s">
        <v>181</v>
      </c>
      <c r="G979">
        <v>1</v>
      </c>
      <c r="H979" t="s">
        <v>201</v>
      </c>
    </row>
    <row r="980" spans="1:8" hidden="1">
      <c r="A980" t="s">
        <v>11</v>
      </c>
      <c r="B980">
        <v>2023</v>
      </c>
      <c r="C980" t="s">
        <v>21</v>
      </c>
      <c r="D980" t="s">
        <v>180</v>
      </c>
      <c r="E980" t="s">
        <v>808</v>
      </c>
      <c r="F980" t="s">
        <v>181</v>
      </c>
      <c r="G980">
        <v>1</v>
      </c>
      <c r="H980" t="s">
        <v>804</v>
      </c>
    </row>
    <row r="981" spans="1:8" hidden="1">
      <c r="A981" t="s">
        <v>11</v>
      </c>
      <c r="B981">
        <v>2023</v>
      </c>
      <c r="C981" t="s">
        <v>21</v>
      </c>
      <c r="D981" t="s">
        <v>180</v>
      </c>
      <c r="E981" t="s">
        <v>809</v>
      </c>
      <c r="F981" t="s">
        <v>181</v>
      </c>
      <c r="G981">
        <v>4</v>
      </c>
      <c r="H981" t="s">
        <v>285</v>
      </c>
    </row>
    <row r="982" spans="1:8" hidden="1">
      <c r="A982" t="s">
        <v>11</v>
      </c>
      <c r="B982">
        <v>2023</v>
      </c>
      <c r="C982" t="s">
        <v>21</v>
      </c>
      <c r="D982" t="s">
        <v>180</v>
      </c>
      <c r="E982" t="s">
        <v>291</v>
      </c>
      <c r="F982" t="s">
        <v>181</v>
      </c>
      <c r="G982">
        <v>1</v>
      </c>
      <c r="H982" t="s">
        <v>216</v>
      </c>
    </row>
    <row r="983" spans="1:8" hidden="1">
      <c r="A983" t="s">
        <v>11</v>
      </c>
      <c r="B983">
        <v>2023</v>
      </c>
      <c r="C983" t="s">
        <v>21</v>
      </c>
      <c r="D983" t="s">
        <v>180</v>
      </c>
      <c r="E983" t="s">
        <v>810</v>
      </c>
      <c r="F983" t="s">
        <v>181</v>
      </c>
      <c r="G983">
        <v>1</v>
      </c>
      <c r="H983" t="s">
        <v>216</v>
      </c>
    </row>
    <row r="984" spans="1:8" hidden="1">
      <c r="A984" t="s">
        <v>11</v>
      </c>
      <c r="B984">
        <v>2023</v>
      </c>
      <c r="C984" t="s">
        <v>21</v>
      </c>
      <c r="D984" t="s">
        <v>180</v>
      </c>
      <c r="E984" t="s">
        <v>811</v>
      </c>
      <c r="F984" t="s">
        <v>181</v>
      </c>
      <c r="G984">
        <v>2</v>
      </c>
      <c r="H984" t="s">
        <v>216</v>
      </c>
    </row>
    <row r="985" spans="1:8" hidden="1">
      <c r="A985" t="s">
        <v>11</v>
      </c>
      <c r="B985">
        <v>2023</v>
      </c>
      <c r="C985" t="s">
        <v>21</v>
      </c>
      <c r="D985" t="s">
        <v>180</v>
      </c>
      <c r="E985" t="s">
        <v>812</v>
      </c>
      <c r="F985" t="s">
        <v>181</v>
      </c>
      <c r="G985">
        <v>1</v>
      </c>
      <c r="H985" t="s">
        <v>216</v>
      </c>
    </row>
    <row r="986" spans="1:8" hidden="1">
      <c r="A986" t="s">
        <v>11</v>
      </c>
      <c r="B986">
        <v>2023</v>
      </c>
      <c r="C986" t="s">
        <v>21</v>
      </c>
      <c r="D986" t="s">
        <v>180</v>
      </c>
      <c r="E986" t="s">
        <v>813</v>
      </c>
      <c r="F986" t="s">
        <v>181</v>
      </c>
      <c r="G986">
        <v>0.67</v>
      </c>
      <c r="H986" t="s">
        <v>216</v>
      </c>
    </row>
    <row r="987" spans="1:8" hidden="1">
      <c r="A987" t="s">
        <v>11</v>
      </c>
      <c r="B987">
        <v>2023</v>
      </c>
      <c r="C987" t="s">
        <v>21</v>
      </c>
      <c r="D987" t="s">
        <v>180</v>
      </c>
      <c r="E987" t="s">
        <v>814</v>
      </c>
      <c r="F987" t="s">
        <v>181</v>
      </c>
      <c r="G987">
        <v>1</v>
      </c>
      <c r="H987" t="s">
        <v>216</v>
      </c>
    </row>
    <row r="988" spans="1:8" hidden="1">
      <c r="A988" t="s">
        <v>11</v>
      </c>
      <c r="B988">
        <v>2023</v>
      </c>
      <c r="C988" t="s">
        <v>21</v>
      </c>
      <c r="D988" t="s">
        <v>188</v>
      </c>
      <c r="F988" t="s">
        <v>181</v>
      </c>
      <c r="G988">
        <v>1</v>
      </c>
      <c r="H988" t="s">
        <v>815</v>
      </c>
    </row>
    <row r="989" spans="1:8" hidden="1">
      <c r="A989" t="s">
        <v>11</v>
      </c>
      <c r="B989">
        <v>2023</v>
      </c>
      <c r="C989" t="s">
        <v>21</v>
      </c>
      <c r="D989" t="s">
        <v>191</v>
      </c>
      <c r="F989" t="s">
        <v>181</v>
      </c>
      <c r="G989">
        <v>0.83</v>
      </c>
      <c r="H989" t="s">
        <v>816</v>
      </c>
    </row>
    <row r="990" spans="1:8" hidden="1">
      <c r="A990" t="s">
        <v>11</v>
      </c>
      <c r="B990">
        <v>2023</v>
      </c>
      <c r="C990" t="s">
        <v>21</v>
      </c>
      <c r="D990" t="s">
        <v>197</v>
      </c>
      <c r="F990" t="s">
        <v>181</v>
      </c>
      <c r="G990">
        <v>0.67</v>
      </c>
      <c r="H990" t="s">
        <v>817</v>
      </c>
    </row>
    <row r="991" spans="1:8" hidden="1">
      <c r="A991" t="s">
        <v>11</v>
      </c>
      <c r="B991">
        <v>2023</v>
      </c>
      <c r="C991" t="s">
        <v>21</v>
      </c>
      <c r="D991" t="s">
        <v>199</v>
      </c>
      <c r="F991" t="s">
        <v>181</v>
      </c>
      <c r="G991">
        <v>0.33</v>
      </c>
      <c r="H991" t="s">
        <v>817</v>
      </c>
    </row>
    <row r="992" spans="1:8" hidden="1">
      <c r="A992" t="s">
        <v>11</v>
      </c>
      <c r="B992">
        <v>2023</v>
      </c>
      <c r="C992" t="s">
        <v>21</v>
      </c>
      <c r="D992" t="s">
        <v>191</v>
      </c>
      <c r="F992" t="s">
        <v>181</v>
      </c>
      <c r="G992">
        <v>1.5</v>
      </c>
      <c r="H992" t="s">
        <v>244</v>
      </c>
    </row>
    <row r="993" spans="1:8" hidden="1">
      <c r="A993" t="s">
        <v>11</v>
      </c>
      <c r="B993">
        <v>2023</v>
      </c>
      <c r="C993" t="s">
        <v>21</v>
      </c>
      <c r="D993" t="s">
        <v>180</v>
      </c>
      <c r="E993" t="s">
        <v>818</v>
      </c>
      <c r="F993" t="s">
        <v>181</v>
      </c>
      <c r="G993">
        <v>1</v>
      </c>
      <c r="H993" t="s">
        <v>244</v>
      </c>
    </row>
    <row r="994" spans="1:8" hidden="1">
      <c r="A994" t="s">
        <v>11</v>
      </c>
      <c r="B994">
        <v>2023</v>
      </c>
      <c r="C994" t="s">
        <v>21</v>
      </c>
      <c r="D994" t="s">
        <v>652</v>
      </c>
      <c r="F994" t="s">
        <v>181</v>
      </c>
      <c r="G994">
        <v>1</v>
      </c>
      <c r="H994" t="s">
        <v>244</v>
      </c>
    </row>
    <row r="995" spans="1:8" hidden="1">
      <c r="A995" t="s">
        <v>11</v>
      </c>
      <c r="B995">
        <v>2023</v>
      </c>
      <c r="C995" t="s">
        <v>21</v>
      </c>
      <c r="D995" t="s">
        <v>199</v>
      </c>
      <c r="F995" t="s">
        <v>181</v>
      </c>
      <c r="G995">
        <v>0.5</v>
      </c>
      <c r="H995" t="s">
        <v>244</v>
      </c>
    </row>
    <row r="996" spans="1:8" hidden="1">
      <c r="A996" t="s">
        <v>11</v>
      </c>
      <c r="B996">
        <v>2023</v>
      </c>
      <c r="C996" t="s">
        <v>21</v>
      </c>
      <c r="D996" t="s">
        <v>180</v>
      </c>
      <c r="E996" t="s">
        <v>819</v>
      </c>
      <c r="F996" t="s">
        <v>181</v>
      </c>
      <c r="G996">
        <v>1</v>
      </c>
      <c r="H996" t="s">
        <v>244</v>
      </c>
    </row>
    <row r="997" spans="1:8" hidden="1">
      <c r="A997" t="s">
        <v>11</v>
      </c>
      <c r="B997">
        <v>2023</v>
      </c>
      <c r="C997" t="s">
        <v>21</v>
      </c>
      <c r="D997" t="s">
        <v>180</v>
      </c>
      <c r="E997" t="s">
        <v>820</v>
      </c>
      <c r="F997" t="s">
        <v>181</v>
      </c>
      <c r="G997">
        <v>1</v>
      </c>
      <c r="H997" t="s">
        <v>244</v>
      </c>
    </row>
    <row r="998" spans="1:8" hidden="1">
      <c r="A998" t="s">
        <v>11</v>
      </c>
      <c r="B998">
        <v>2023</v>
      </c>
      <c r="C998" t="s">
        <v>21</v>
      </c>
      <c r="D998" t="s">
        <v>180</v>
      </c>
      <c r="F998" t="s">
        <v>208</v>
      </c>
      <c r="G998">
        <v>1.5</v>
      </c>
      <c r="H998" t="s">
        <v>821</v>
      </c>
    </row>
    <row r="999" spans="1:8" hidden="1">
      <c r="A999" t="s">
        <v>11</v>
      </c>
      <c r="B999">
        <v>2023</v>
      </c>
      <c r="C999" t="s">
        <v>21</v>
      </c>
      <c r="D999" t="s">
        <v>193</v>
      </c>
      <c r="F999" t="s">
        <v>181</v>
      </c>
      <c r="G999">
        <v>3</v>
      </c>
      <c r="H999" t="s">
        <v>802</v>
      </c>
    </row>
    <row r="1000" spans="1:8" hidden="1">
      <c r="A1000" t="s">
        <v>11</v>
      </c>
      <c r="B1000">
        <v>2023</v>
      </c>
      <c r="C1000" t="s">
        <v>21</v>
      </c>
      <c r="D1000" t="s">
        <v>188</v>
      </c>
      <c r="F1000" t="s">
        <v>208</v>
      </c>
      <c r="G1000">
        <v>9.91</v>
      </c>
      <c r="H1000" t="s">
        <v>822</v>
      </c>
    </row>
    <row r="1001" spans="1:8" hidden="1">
      <c r="A1001" t="s">
        <v>11</v>
      </c>
      <c r="B1001">
        <v>2023</v>
      </c>
      <c r="C1001" t="s">
        <v>21</v>
      </c>
      <c r="D1001" t="s">
        <v>188</v>
      </c>
      <c r="F1001" t="s">
        <v>208</v>
      </c>
      <c r="G1001">
        <v>2.75</v>
      </c>
      <c r="H1001" t="s">
        <v>823</v>
      </c>
    </row>
    <row r="1002" spans="1:8" hidden="1">
      <c r="A1002" t="s">
        <v>11</v>
      </c>
      <c r="B1002">
        <v>2023</v>
      </c>
      <c r="C1002" t="s">
        <v>21</v>
      </c>
      <c r="D1002" t="s">
        <v>188</v>
      </c>
      <c r="F1002" t="s">
        <v>208</v>
      </c>
      <c r="G1002">
        <v>3.52</v>
      </c>
      <c r="H1002" t="s">
        <v>824</v>
      </c>
    </row>
    <row r="1003" spans="1:8" hidden="1">
      <c r="A1003" t="s">
        <v>11</v>
      </c>
      <c r="B1003">
        <v>2023</v>
      </c>
      <c r="C1003" t="s">
        <v>21</v>
      </c>
      <c r="D1003" t="s">
        <v>197</v>
      </c>
      <c r="F1003" t="s">
        <v>208</v>
      </c>
      <c r="G1003">
        <v>0.5</v>
      </c>
      <c r="H1003" t="s">
        <v>825</v>
      </c>
    </row>
    <row r="1004" spans="1:8" hidden="1">
      <c r="A1004" t="s">
        <v>11</v>
      </c>
      <c r="B1004">
        <v>2023</v>
      </c>
      <c r="C1004" t="s">
        <v>21</v>
      </c>
      <c r="D1004" t="s">
        <v>180</v>
      </c>
      <c r="F1004" t="s">
        <v>208</v>
      </c>
      <c r="G1004">
        <v>0.25</v>
      </c>
      <c r="H1004" t="s">
        <v>826</v>
      </c>
    </row>
    <row r="1005" spans="1:8" hidden="1">
      <c r="A1005" t="s">
        <v>11</v>
      </c>
      <c r="B1005">
        <v>2023</v>
      </c>
      <c r="C1005" t="s">
        <v>27</v>
      </c>
      <c r="D1005" t="s">
        <v>180</v>
      </c>
      <c r="E1005" t="s">
        <v>799</v>
      </c>
      <c r="F1005" t="s">
        <v>181</v>
      </c>
      <c r="G1005">
        <v>6</v>
      </c>
      <c r="H1005" t="s">
        <v>216</v>
      </c>
    </row>
    <row r="1006" spans="1:8" hidden="1">
      <c r="A1006" t="s">
        <v>11</v>
      </c>
      <c r="B1006">
        <v>2023</v>
      </c>
      <c r="C1006" t="s">
        <v>27</v>
      </c>
      <c r="D1006" t="s">
        <v>180</v>
      </c>
      <c r="E1006" t="s">
        <v>339</v>
      </c>
      <c r="F1006" t="s">
        <v>181</v>
      </c>
      <c r="G1006">
        <v>2</v>
      </c>
      <c r="H1006" t="s">
        <v>216</v>
      </c>
    </row>
    <row r="1007" spans="1:8" hidden="1">
      <c r="A1007" t="s">
        <v>11</v>
      </c>
      <c r="B1007">
        <v>2023</v>
      </c>
      <c r="C1007" t="s">
        <v>27</v>
      </c>
      <c r="D1007" t="s">
        <v>184</v>
      </c>
      <c r="E1007" t="s">
        <v>827</v>
      </c>
      <c r="F1007" t="s">
        <v>181</v>
      </c>
      <c r="G1007">
        <v>3</v>
      </c>
      <c r="H1007" t="s">
        <v>216</v>
      </c>
    </row>
    <row r="1008" spans="1:8" hidden="1">
      <c r="A1008" t="s">
        <v>11</v>
      </c>
      <c r="B1008">
        <v>2023</v>
      </c>
      <c r="C1008" t="s">
        <v>27</v>
      </c>
      <c r="D1008" t="s">
        <v>180</v>
      </c>
      <c r="E1008" t="s">
        <v>800</v>
      </c>
      <c r="F1008" t="s">
        <v>181</v>
      </c>
      <c r="G1008">
        <v>1</v>
      </c>
      <c r="H1008" t="s">
        <v>216</v>
      </c>
    </row>
    <row r="1009" spans="1:8" hidden="1">
      <c r="A1009" t="s">
        <v>11</v>
      </c>
      <c r="B1009">
        <v>2023</v>
      </c>
      <c r="C1009" t="s">
        <v>27</v>
      </c>
      <c r="D1009" t="s">
        <v>180</v>
      </c>
      <c r="E1009" t="s">
        <v>801</v>
      </c>
      <c r="F1009" t="s">
        <v>181</v>
      </c>
      <c r="G1009">
        <v>1</v>
      </c>
      <c r="H1009" t="s">
        <v>216</v>
      </c>
    </row>
    <row r="1010" spans="1:8" hidden="1">
      <c r="A1010" t="s">
        <v>11</v>
      </c>
      <c r="B1010">
        <v>2023</v>
      </c>
      <c r="C1010" t="s">
        <v>27</v>
      </c>
      <c r="D1010" t="s">
        <v>188</v>
      </c>
      <c r="E1010" t="s">
        <v>827</v>
      </c>
      <c r="F1010" t="s">
        <v>181</v>
      </c>
      <c r="G1010">
        <v>6</v>
      </c>
      <c r="H1010" t="s">
        <v>802</v>
      </c>
    </row>
    <row r="1011" spans="1:8" hidden="1">
      <c r="A1011" t="s">
        <v>11</v>
      </c>
      <c r="B1011">
        <v>2023</v>
      </c>
      <c r="C1011" t="s">
        <v>27</v>
      </c>
      <c r="D1011" t="s">
        <v>180</v>
      </c>
      <c r="E1011" t="s">
        <v>803</v>
      </c>
      <c r="F1011" t="s">
        <v>181</v>
      </c>
      <c r="G1011">
        <v>1</v>
      </c>
      <c r="H1011" t="s">
        <v>804</v>
      </c>
    </row>
    <row r="1012" spans="1:8" hidden="1">
      <c r="A1012" t="s">
        <v>11</v>
      </c>
      <c r="B1012">
        <v>2023</v>
      </c>
      <c r="C1012" t="s">
        <v>27</v>
      </c>
      <c r="D1012" t="s">
        <v>180</v>
      </c>
      <c r="E1012" t="s">
        <v>797</v>
      </c>
      <c r="F1012" t="s">
        <v>181</v>
      </c>
      <c r="G1012">
        <v>3</v>
      </c>
      <c r="H1012" t="s">
        <v>802</v>
      </c>
    </row>
    <row r="1013" spans="1:8" hidden="1">
      <c r="A1013" t="s">
        <v>11</v>
      </c>
      <c r="B1013">
        <v>2023</v>
      </c>
      <c r="C1013" t="s">
        <v>27</v>
      </c>
      <c r="D1013" t="s">
        <v>191</v>
      </c>
      <c r="E1013" t="s">
        <v>827</v>
      </c>
      <c r="F1013" t="s">
        <v>181</v>
      </c>
      <c r="G1013">
        <v>3</v>
      </c>
      <c r="H1013" t="s">
        <v>802</v>
      </c>
    </row>
    <row r="1014" spans="1:8" hidden="1">
      <c r="A1014" t="s">
        <v>11</v>
      </c>
      <c r="B1014">
        <v>2023</v>
      </c>
      <c r="C1014" t="s">
        <v>27</v>
      </c>
      <c r="D1014" t="s">
        <v>200</v>
      </c>
      <c r="E1014" t="s">
        <v>827</v>
      </c>
      <c r="F1014" t="s">
        <v>181</v>
      </c>
      <c r="G1014">
        <v>1</v>
      </c>
      <c r="H1014" t="s">
        <v>804</v>
      </c>
    </row>
    <row r="1015" spans="1:8" hidden="1">
      <c r="A1015" t="s">
        <v>11</v>
      </c>
      <c r="B1015">
        <v>2023</v>
      </c>
      <c r="C1015" t="s">
        <v>27</v>
      </c>
      <c r="D1015" t="s">
        <v>199</v>
      </c>
      <c r="E1015" t="s">
        <v>827</v>
      </c>
      <c r="F1015" t="s">
        <v>181</v>
      </c>
      <c r="G1015">
        <v>0.25</v>
      </c>
      <c r="H1015" t="s">
        <v>202</v>
      </c>
    </row>
    <row r="1016" spans="1:8" hidden="1">
      <c r="A1016" t="s">
        <v>11</v>
      </c>
      <c r="B1016">
        <v>2023</v>
      </c>
      <c r="C1016" t="s">
        <v>27</v>
      </c>
      <c r="D1016" t="s">
        <v>197</v>
      </c>
      <c r="E1016" t="s">
        <v>827</v>
      </c>
      <c r="F1016" t="s">
        <v>181</v>
      </c>
      <c r="G1016">
        <v>0.25</v>
      </c>
      <c r="H1016" t="s">
        <v>202</v>
      </c>
    </row>
    <row r="1017" spans="1:8" hidden="1">
      <c r="A1017" t="s">
        <v>11</v>
      </c>
      <c r="B1017">
        <v>2023</v>
      </c>
      <c r="C1017" t="s">
        <v>27</v>
      </c>
      <c r="D1017" t="s">
        <v>199</v>
      </c>
      <c r="E1017" t="s">
        <v>827</v>
      </c>
      <c r="F1017" t="s">
        <v>181</v>
      </c>
      <c r="G1017">
        <v>0.75</v>
      </c>
      <c r="H1017" t="s">
        <v>740</v>
      </c>
    </row>
    <row r="1018" spans="1:8" hidden="1">
      <c r="A1018" t="s">
        <v>11</v>
      </c>
      <c r="B1018">
        <v>2023</v>
      </c>
      <c r="C1018" t="s">
        <v>27</v>
      </c>
      <c r="D1018" t="s">
        <v>197</v>
      </c>
      <c r="E1018" t="s">
        <v>827</v>
      </c>
      <c r="F1018" t="s">
        <v>181</v>
      </c>
      <c r="G1018">
        <v>0.75</v>
      </c>
      <c r="H1018" t="s">
        <v>740</v>
      </c>
    </row>
    <row r="1019" spans="1:8" hidden="1">
      <c r="A1019" t="s">
        <v>11</v>
      </c>
      <c r="B1019">
        <v>2023</v>
      </c>
      <c r="C1019" t="s">
        <v>27</v>
      </c>
      <c r="D1019" t="s">
        <v>203</v>
      </c>
      <c r="E1019" t="s">
        <v>827</v>
      </c>
      <c r="F1019" t="s">
        <v>181</v>
      </c>
      <c r="G1019">
        <v>1</v>
      </c>
      <c r="H1019" t="s">
        <v>805</v>
      </c>
    </row>
    <row r="1020" spans="1:8" hidden="1">
      <c r="A1020" t="s">
        <v>11</v>
      </c>
      <c r="B1020">
        <v>2023</v>
      </c>
      <c r="C1020" t="s">
        <v>27</v>
      </c>
      <c r="D1020" t="s">
        <v>180</v>
      </c>
      <c r="E1020" t="s">
        <v>806</v>
      </c>
      <c r="F1020" t="s">
        <v>181</v>
      </c>
      <c r="G1020">
        <v>1</v>
      </c>
      <c r="H1020" t="s">
        <v>201</v>
      </c>
    </row>
    <row r="1021" spans="1:8" hidden="1">
      <c r="A1021" t="s">
        <v>11</v>
      </c>
      <c r="B1021">
        <v>2023</v>
      </c>
      <c r="C1021" t="s">
        <v>27</v>
      </c>
      <c r="D1021" t="s">
        <v>180</v>
      </c>
      <c r="E1021" t="s">
        <v>807</v>
      </c>
      <c r="F1021" t="s">
        <v>181</v>
      </c>
      <c r="G1021">
        <v>1</v>
      </c>
      <c r="H1021" t="s">
        <v>201</v>
      </c>
    </row>
    <row r="1022" spans="1:8" hidden="1">
      <c r="A1022" t="s">
        <v>11</v>
      </c>
      <c r="B1022">
        <v>2023</v>
      </c>
      <c r="C1022" t="s">
        <v>27</v>
      </c>
      <c r="D1022" t="s">
        <v>180</v>
      </c>
      <c r="E1022" t="s">
        <v>808</v>
      </c>
      <c r="F1022" t="s">
        <v>181</v>
      </c>
      <c r="G1022">
        <v>1</v>
      </c>
      <c r="H1022" t="s">
        <v>804</v>
      </c>
    </row>
    <row r="1023" spans="1:8" hidden="1">
      <c r="A1023" t="s">
        <v>11</v>
      </c>
      <c r="B1023">
        <v>2023</v>
      </c>
      <c r="C1023" t="s">
        <v>27</v>
      </c>
      <c r="D1023" t="s">
        <v>180</v>
      </c>
      <c r="E1023" t="s">
        <v>809</v>
      </c>
      <c r="F1023" t="s">
        <v>181</v>
      </c>
      <c r="G1023">
        <v>4</v>
      </c>
      <c r="H1023" t="s">
        <v>285</v>
      </c>
    </row>
    <row r="1024" spans="1:8" hidden="1">
      <c r="A1024" t="s">
        <v>11</v>
      </c>
      <c r="B1024">
        <v>2023</v>
      </c>
      <c r="C1024" t="s">
        <v>27</v>
      </c>
      <c r="D1024" t="s">
        <v>180</v>
      </c>
      <c r="E1024" t="s">
        <v>291</v>
      </c>
      <c r="F1024" t="s">
        <v>181</v>
      </c>
      <c r="G1024">
        <v>1</v>
      </c>
      <c r="H1024" t="s">
        <v>216</v>
      </c>
    </row>
    <row r="1025" spans="1:8" hidden="1">
      <c r="A1025" t="s">
        <v>11</v>
      </c>
      <c r="B1025">
        <v>2023</v>
      </c>
      <c r="C1025" t="s">
        <v>27</v>
      </c>
      <c r="D1025" t="s">
        <v>180</v>
      </c>
      <c r="E1025" t="s">
        <v>810</v>
      </c>
      <c r="F1025" t="s">
        <v>181</v>
      </c>
      <c r="G1025">
        <v>1</v>
      </c>
      <c r="H1025" t="s">
        <v>216</v>
      </c>
    </row>
    <row r="1026" spans="1:8" hidden="1">
      <c r="A1026" t="s">
        <v>11</v>
      </c>
      <c r="B1026">
        <v>2023</v>
      </c>
      <c r="C1026" t="s">
        <v>27</v>
      </c>
      <c r="D1026" t="s">
        <v>180</v>
      </c>
      <c r="E1026" t="s">
        <v>811</v>
      </c>
      <c r="F1026" t="s">
        <v>181</v>
      </c>
      <c r="G1026">
        <v>2</v>
      </c>
      <c r="H1026" t="s">
        <v>216</v>
      </c>
    </row>
    <row r="1027" spans="1:8" hidden="1">
      <c r="A1027" t="s">
        <v>11</v>
      </c>
      <c r="B1027">
        <v>2023</v>
      </c>
      <c r="C1027" t="s">
        <v>27</v>
      </c>
      <c r="D1027" t="s">
        <v>180</v>
      </c>
      <c r="E1027" t="s">
        <v>812</v>
      </c>
      <c r="F1027" t="s">
        <v>181</v>
      </c>
      <c r="G1027">
        <v>1</v>
      </c>
      <c r="H1027" t="s">
        <v>216</v>
      </c>
    </row>
    <row r="1028" spans="1:8" hidden="1">
      <c r="A1028" t="s">
        <v>11</v>
      </c>
      <c r="B1028">
        <v>2023</v>
      </c>
      <c r="C1028" t="s">
        <v>27</v>
      </c>
      <c r="D1028" t="s">
        <v>180</v>
      </c>
      <c r="E1028" t="s">
        <v>813</v>
      </c>
      <c r="F1028" t="s">
        <v>181</v>
      </c>
      <c r="G1028">
        <v>0.67</v>
      </c>
      <c r="H1028" t="s">
        <v>216</v>
      </c>
    </row>
    <row r="1029" spans="1:8" hidden="1">
      <c r="A1029" t="s">
        <v>11</v>
      </c>
      <c r="B1029">
        <v>2023</v>
      </c>
      <c r="C1029" t="s">
        <v>27</v>
      </c>
      <c r="D1029" t="s">
        <v>180</v>
      </c>
      <c r="E1029" t="s">
        <v>814</v>
      </c>
      <c r="F1029" t="s">
        <v>181</v>
      </c>
      <c r="G1029">
        <v>1</v>
      </c>
      <c r="H1029" t="s">
        <v>216</v>
      </c>
    </row>
    <row r="1030" spans="1:8" hidden="1">
      <c r="A1030" t="s">
        <v>11</v>
      </c>
      <c r="B1030">
        <v>2023</v>
      </c>
      <c r="C1030" t="s">
        <v>27</v>
      </c>
      <c r="D1030" t="s">
        <v>188</v>
      </c>
      <c r="E1030" t="s">
        <v>827</v>
      </c>
      <c r="F1030" t="s">
        <v>181</v>
      </c>
      <c r="G1030">
        <v>1</v>
      </c>
      <c r="H1030" t="s">
        <v>815</v>
      </c>
    </row>
    <row r="1031" spans="1:8" hidden="1">
      <c r="A1031" t="s">
        <v>11</v>
      </c>
      <c r="B1031">
        <v>2023</v>
      </c>
      <c r="C1031" t="s">
        <v>27</v>
      </c>
      <c r="D1031" t="s">
        <v>191</v>
      </c>
      <c r="E1031" t="s">
        <v>827</v>
      </c>
      <c r="F1031" t="s">
        <v>181</v>
      </c>
      <c r="G1031">
        <v>0.83</v>
      </c>
      <c r="H1031" t="s">
        <v>816</v>
      </c>
    </row>
    <row r="1032" spans="1:8" hidden="1">
      <c r="A1032" t="s">
        <v>11</v>
      </c>
      <c r="B1032">
        <v>2023</v>
      </c>
      <c r="C1032" t="s">
        <v>27</v>
      </c>
      <c r="D1032" t="s">
        <v>197</v>
      </c>
      <c r="E1032" t="s">
        <v>827</v>
      </c>
      <c r="F1032" t="s">
        <v>181</v>
      </c>
      <c r="G1032">
        <v>0.67</v>
      </c>
      <c r="H1032" t="s">
        <v>817</v>
      </c>
    </row>
    <row r="1033" spans="1:8" hidden="1">
      <c r="A1033" t="s">
        <v>11</v>
      </c>
      <c r="B1033">
        <v>2023</v>
      </c>
      <c r="C1033" t="s">
        <v>27</v>
      </c>
      <c r="D1033" t="s">
        <v>199</v>
      </c>
      <c r="E1033" t="s">
        <v>827</v>
      </c>
      <c r="F1033" t="s">
        <v>181</v>
      </c>
      <c r="G1033">
        <v>0.33</v>
      </c>
      <c r="H1033" t="s">
        <v>817</v>
      </c>
    </row>
    <row r="1034" spans="1:8" hidden="1">
      <c r="A1034" t="s">
        <v>11</v>
      </c>
      <c r="B1034">
        <v>2023</v>
      </c>
      <c r="C1034" t="s">
        <v>27</v>
      </c>
      <c r="D1034" t="s">
        <v>193</v>
      </c>
      <c r="E1034" t="s">
        <v>827</v>
      </c>
      <c r="F1034" t="s">
        <v>181</v>
      </c>
      <c r="G1034">
        <v>3</v>
      </c>
      <c r="H1034" t="s">
        <v>802</v>
      </c>
    </row>
    <row r="1035" spans="1:8" hidden="1">
      <c r="A1035" t="s">
        <v>11</v>
      </c>
      <c r="B1035">
        <v>2023</v>
      </c>
      <c r="C1035" t="s">
        <v>27</v>
      </c>
      <c r="D1035" t="s">
        <v>188</v>
      </c>
      <c r="E1035" t="s">
        <v>827</v>
      </c>
      <c r="F1035" t="s">
        <v>208</v>
      </c>
      <c r="G1035">
        <v>12.47</v>
      </c>
      <c r="H1035" t="s">
        <v>822</v>
      </c>
    </row>
    <row r="1036" spans="1:8" hidden="1">
      <c r="A1036" t="s">
        <v>11</v>
      </c>
      <c r="B1036">
        <v>2023</v>
      </c>
      <c r="C1036" t="s">
        <v>27</v>
      </c>
      <c r="D1036" t="s">
        <v>188</v>
      </c>
      <c r="E1036" t="s">
        <v>827</v>
      </c>
      <c r="F1036" t="s">
        <v>208</v>
      </c>
      <c r="G1036">
        <v>9.1999999999999993</v>
      </c>
      <c r="H1036" t="s">
        <v>823</v>
      </c>
    </row>
    <row r="1037" spans="1:8" hidden="1">
      <c r="A1037" t="s">
        <v>11</v>
      </c>
      <c r="B1037">
        <v>2023</v>
      </c>
      <c r="C1037" t="s">
        <v>27</v>
      </c>
      <c r="D1037" t="s">
        <v>188</v>
      </c>
      <c r="E1037" t="s">
        <v>827</v>
      </c>
      <c r="F1037" t="s">
        <v>208</v>
      </c>
      <c r="G1037">
        <v>14.48</v>
      </c>
      <c r="H1037" t="s">
        <v>824</v>
      </c>
    </row>
    <row r="1038" spans="1:8" hidden="1">
      <c r="A1038" t="s">
        <v>11</v>
      </c>
      <c r="B1038">
        <v>2023</v>
      </c>
      <c r="C1038" t="s">
        <v>27</v>
      </c>
      <c r="D1038" t="s">
        <v>191</v>
      </c>
      <c r="F1038" t="s">
        <v>181</v>
      </c>
      <c r="G1038">
        <v>2</v>
      </c>
      <c r="H1038" t="s">
        <v>828</v>
      </c>
    </row>
    <row r="1039" spans="1:8" hidden="1">
      <c r="A1039" t="s">
        <v>11</v>
      </c>
      <c r="B1039">
        <v>2023</v>
      </c>
      <c r="C1039" t="s">
        <v>27</v>
      </c>
      <c r="D1039" t="s">
        <v>184</v>
      </c>
      <c r="F1039" t="s">
        <v>208</v>
      </c>
      <c r="G1039">
        <v>2</v>
      </c>
      <c r="H1039" t="s">
        <v>829</v>
      </c>
    </row>
    <row r="1040" spans="1:8" hidden="1">
      <c r="A1040" t="s">
        <v>11</v>
      </c>
      <c r="B1040">
        <v>2023</v>
      </c>
      <c r="C1040" t="s">
        <v>27</v>
      </c>
      <c r="D1040" t="s">
        <v>191</v>
      </c>
      <c r="F1040" t="s">
        <v>208</v>
      </c>
      <c r="G1040">
        <v>2.5</v>
      </c>
      <c r="H1040" t="s">
        <v>828</v>
      </c>
    </row>
    <row r="1041" spans="1:8" hidden="1">
      <c r="A1041" t="s">
        <v>11</v>
      </c>
      <c r="B1041">
        <v>2023</v>
      </c>
      <c r="C1041" t="s">
        <v>27</v>
      </c>
      <c r="D1041" t="s">
        <v>199</v>
      </c>
      <c r="F1041" t="s">
        <v>208</v>
      </c>
      <c r="G1041">
        <v>2.4500000000000002</v>
      </c>
      <c r="H1041" t="s">
        <v>830</v>
      </c>
    </row>
    <row r="1042" spans="1:8" hidden="1">
      <c r="A1042" t="s">
        <v>11</v>
      </c>
      <c r="B1042">
        <v>2023</v>
      </c>
      <c r="C1042" t="s">
        <v>27</v>
      </c>
      <c r="D1042" t="s">
        <v>199</v>
      </c>
      <c r="F1042" t="s">
        <v>208</v>
      </c>
      <c r="G1042">
        <v>1.5</v>
      </c>
      <c r="H1042" t="s">
        <v>831</v>
      </c>
    </row>
    <row r="1043" spans="1:8" hidden="1">
      <c r="A1043" t="s">
        <v>11</v>
      </c>
      <c r="B1043">
        <v>2023</v>
      </c>
      <c r="C1043" t="s">
        <v>27</v>
      </c>
      <c r="D1043" t="s">
        <v>193</v>
      </c>
      <c r="F1043" t="s">
        <v>208</v>
      </c>
      <c r="G1043">
        <v>4.75</v>
      </c>
      <c r="H1043" t="s">
        <v>832</v>
      </c>
    </row>
    <row r="1044" spans="1:8" hidden="1">
      <c r="A1044" t="s">
        <v>11</v>
      </c>
      <c r="B1044">
        <v>2023</v>
      </c>
      <c r="C1044" t="s">
        <v>27</v>
      </c>
      <c r="D1044" t="s">
        <v>203</v>
      </c>
      <c r="F1044" t="s">
        <v>208</v>
      </c>
      <c r="G1044">
        <v>3.35</v>
      </c>
      <c r="H1044" t="s">
        <v>833</v>
      </c>
    </row>
    <row r="1045" spans="1:8" hidden="1">
      <c r="A1045" t="s">
        <v>11</v>
      </c>
      <c r="B1045">
        <v>2023</v>
      </c>
      <c r="C1045" t="s">
        <v>28</v>
      </c>
      <c r="D1045" t="s">
        <v>180</v>
      </c>
      <c r="E1045" t="s">
        <v>799</v>
      </c>
      <c r="F1045" t="s">
        <v>181</v>
      </c>
      <c r="G1045">
        <v>6</v>
      </c>
      <c r="H1045" t="s">
        <v>216</v>
      </c>
    </row>
    <row r="1046" spans="1:8" hidden="1">
      <c r="A1046" t="s">
        <v>11</v>
      </c>
      <c r="B1046">
        <v>2023</v>
      </c>
      <c r="C1046" t="s">
        <v>28</v>
      </c>
      <c r="D1046" t="s">
        <v>180</v>
      </c>
      <c r="E1046" t="s">
        <v>339</v>
      </c>
      <c r="F1046" t="s">
        <v>181</v>
      </c>
      <c r="G1046">
        <v>2</v>
      </c>
      <c r="H1046" t="s">
        <v>216</v>
      </c>
    </row>
    <row r="1047" spans="1:8" hidden="1">
      <c r="A1047" t="s">
        <v>11</v>
      </c>
      <c r="B1047">
        <v>2023</v>
      </c>
      <c r="C1047" t="s">
        <v>28</v>
      </c>
      <c r="D1047" t="s">
        <v>184</v>
      </c>
      <c r="E1047" t="s">
        <v>827</v>
      </c>
      <c r="F1047" t="s">
        <v>181</v>
      </c>
      <c r="G1047">
        <v>3</v>
      </c>
      <c r="H1047" t="s">
        <v>216</v>
      </c>
    </row>
    <row r="1048" spans="1:8" hidden="1">
      <c r="A1048" t="s">
        <v>11</v>
      </c>
      <c r="B1048">
        <v>2023</v>
      </c>
      <c r="C1048" t="s">
        <v>28</v>
      </c>
      <c r="D1048" t="s">
        <v>180</v>
      </c>
      <c r="E1048" t="s">
        <v>800</v>
      </c>
      <c r="F1048" t="s">
        <v>181</v>
      </c>
      <c r="G1048">
        <v>1</v>
      </c>
      <c r="H1048" t="s">
        <v>216</v>
      </c>
    </row>
    <row r="1049" spans="1:8" hidden="1">
      <c r="A1049" t="s">
        <v>11</v>
      </c>
      <c r="B1049">
        <v>2023</v>
      </c>
      <c r="C1049" t="s">
        <v>28</v>
      </c>
      <c r="D1049" t="s">
        <v>180</v>
      </c>
      <c r="E1049" t="s">
        <v>801</v>
      </c>
      <c r="F1049" t="s">
        <v>181</v>
      </c>
      <c r="G1049">
        <v>1</v>
      </c>
      <c r="H1049" t="s">
        <v>216</v>
      </c>
    </row>
    <row r="1050" spans="1:8" hidden="1">
      <c r="A1050" t="s">
        <v>11</v>
      </c>
      <c r="B1050">
        <v>2023</v>
      </c>
      <c r="C1050" t="s">
        <v>28</v>
      </c>
      <c r="D1050" t="s">
        <v>188</v>
      </c>
      <c r="E1050" t="s">
        <v>827</v>
      </c>
      <c r="F1050" t="s">
        <v>181</v>
      </c>
      <c r="G1050">
        <v>6</v>
      </c>
      <c r="H1050" t="s">
        <v>802</v>
      </c>
    </row>
    <row r="1051" spans="1:8" hidden="1">
      <c r="A1051" t="s">
        <v>11</v>
      </c>
      <c r="B1051">
        <v>2023</v>
      </c>
      <c r="C1051" t="s">
        <v>28</v>
      </c>
      <c r="D1051" t="s">
        <v>180</v>
      </c>
      <c r="E1051" t="s">
        <v>803</v>
      </c>
      <c r="F1051" t="s">
        <v>181</v>
      </c>
      <c r="G1051">
        <v>1</v>
      </c>
      <c r="H1051" t="s">
        <v>804</v>
      </c>
    </row>
    <row r="1052" spans="1:8" hidden="1">
      <c r="A1052" t="s">
        <v>11</v>
      </c>
      <c r="B1052">
        <v>2023</v>
      </c>
      <c r="C1052" t="s">
        <v>28</v>
      </c>
      <c r="D1052" t="s">
        <v>180</v>
      </c>
      <c r="E1052" t="s">
        <v>797</v>
      </c>
      <c r="F1052" t="s">
        <v>181</v>
      </c>
      <c r="G1052">
        <v>3</v>
      </c>
      <c r="H1052" t="s">
        <v>802</v>
      </c>
    </row>
    <row r="1053" spans="1:8" hidden="1">
      <c r="A1053" t="s">
        <v>11</v>
      </c>
      <c r="B1053">
        <v>2023</v>
      </c>
      <c r="C1053" t="s">
        <v>28</v>
      </c>
      <c r="D1053" t="s">
        <v>191</v>
      </c>
      <c r="E1053" t="s">
        <v>827</v>
      </c>
      <c r="F1053" t="s">
        <v>181</v>
      </c>
      <c r="G1053">
        <v>3</v>
      </c>
      <c r="H1053" t="s">
        <v>802</v>
      </c>
    </row>
    <row r="1054" spans="1:8" hidden="1">
      <c r="A1054" t="s">
        <v>11</v>
      </c>
      <c r="B1054">
        <v>2023</v>
      </c>
      <c r="C1054" t="s">
        <v>28</v>
      </c>
      <c r="D1054" t="s">
        <v>200</v>
      </c>
      <c r="E1054" t="s">
        <v>827</v>
      </c>
      <c r="F1054" t="s">
        <v>181</v>
      </c>
      <c r="G1054">
        <v>1</v>
      </c>
      <c r="H1054" t="s">
        <v>804</v>
      </c>
    </row>
    <row r="1055" spans="1:8" hidden="1">
      <c r="A1055" t="s">
        <v>11</v>
      </c>
      <c r="B1055">
        <v>2023</v>
      </c>
      <c r="C1055" t="s">
        <v>28</v>
      </c>
      <c r="D1055" t="s">
        <v>199</v>
      </c>
      <c r="E1055" t="s">
        <v>827</v>
      </c>
      <c r="F1055" t="s">
        <v>181</v>
      </c>
      <c r="G1055">
        <v>0.25</v>
      </c>
      <c r="H1055" t="s">
        <v>202</v>
      </c>
    </row>
    <row r="1056" spans="1:8" hidden="1">
      <c r="A1056" t="s">
        <v>11</v>
      </c>
      <c r="B1056">
        <v>2023</v>
      </c>
      <c r="C1056" t="s">
        <v>28</v>
      </c>
      <c r="D1056" t="s">
        <v>197</v>
      </c>
      <c r="E1056" t="s">
        <v>827</v>
      </c>
      <c r="F1056" t="s">
        <v>181</v>
      </c>
      <c r="G1056">
        <v>0.25</v>
      </c>
      <c r="H1056" t="s">
        <v>202</v>
      </c>
    </row>
    <row r="1057" spans="1:8" hidden="1">
      <c r="A1057" t="s">
        <v>11</v>
      </c>
      <c r="B1057">
        <v>2023</v>
      </c>
      <c r="C1057" t="s">
        <v>28</v>
      </c>
      <c r="D1057" t="s">
        <v>199</v>
      </c>
      <c r="F1057" t="s">
        <v>181</v>
      </c>
      <c r="G1057">
        <v>0.75</v>
      </c>
      <c r="H1057" t="s">
        <v>740</v>
      </c>
    </row>
    <row r="1058" spans="1:8" hidden="1">
      <c r="A1058" t="s">
        <v>11</v>
      </c>
      <c r="B1058">
        <v>2023</v>
      </c>
      <c r="C1058" t="s">
        <v>28</v>
      </c>
      <c r="D1058" t="s">
        <v>197</v>
      </c>
      <c r="E1058" t="s">
        <v>827</v>
      </c>
      <c r="F1058" t="s">
        <v>181</v>
      </c>
      <c r="G1058">
        <v>0.75</v>
      </c>
      <c r="H1058" t="s">
        <v>740</v>
      </c>
    </row>
    <row r="1059" spans="1:8" hidden="1">
      <c r="A1059" t="s">
        <v>11</v>
      </c>
      <c r="B1059">
        <v>2023</v>
      </c>
      <c r="C1059" t="s">
        <v>28</v>
      </c>
      <c r="D1059" t="s">
        <v>203</v>
      </c>
      <c r="E1059" t="s">
        <v>827</v>
      </c>
      <c r="F1059" t="s">
        <v>181</v>
      </c>
      <c r="G1059">
        <v>1</v>
      </c>
      <c r="H1059" t="s">
        <v>805</v>
      </c>
    </row>
    <row r="1060" spans="1:8" hidden="1">
      <c r="A1060" t="s">
        <v>11</v>
      </c>
      <c r="B1060">
        <v>2023</v>
      </c>
      <c r="C1060" t="s">
        <v>28</v>
      </c>
      <c r="D1060" t="s">
        <v>180</v>
      </c>
      <c r="E1060" t="s">
        <v>806</v>
      </c>
      <c r="F1060" t="s">
        <v>181</v>
      </c>
      <c r="G1060">
        <v>1</v>
      </c>
      <c r="H1060" t="s">
        <v>201</v>
      </c>
    </row>
    <row r="1061" spans="1:8" hidden="1">
      <c r="A1061" t="s">
        <v>11</v>
      </c>
      <c r="B1061">
        <v>2023</v>
      </c>
      <c r="C1061" t="s">
        <v>28</v>
      </c>
      <c r="D1061" t="s">
        <v>180</v>
      </c>
      <c r="E1061" t="s">
        <v>807</v>
      </c>
      <c r="F1061" t="s">
        <v>181</v>
      </c>
      <c r="G1061">
        <v>1</v>
      </c>
      <c r="H1061" t="s">
        <v>201</v>
      </c>
    </row>
    <row r="1062" spans="1:8" hidden="1">
      <c r="A1062" t="s">
        <v>11</v>
      </c>
      <c r="B1062">
        <v>2023</v>
      </c>
      <c r="C1062" t="s">
        <v>28</v>
      </c>
      <c r="D1062" t="s">
        <v>180</v>
      </c>
      <c r="E1062" t="s">
        <v>808</v>
      </c>
      <c r="F1062" t="s">
        <v>181</v>
      </c>
      <c r="G1062">
        <v>1</v>
      </c>
      <c r="H1062" t="s">
        <v>804</v>
      </c>
    </row>
    <row r="1063" spans="1:8" hidden="1">
      <c r="A1063" t="s">
        <v>11</v>
      </c>
      <c r="B1063">
        <v>2023</v>
      </c>
      <c r="C1063" t="s">
        <v>28</v>
      </c>
      <c r="D1063" t="s">
        <v>180</v>
      </c>
      <c r="E1063" t="s">
        <v>809</v>
      </c>
      <c r="F1063" t="s">
        <v>181</v>
      </c>
      <c r="G1063">
        <v>4</v>
      </c>
      <c r="H1063" t="s">
        <v>285</v>
      </c>
    </row>
    <row r="1064" spans="1:8" hidden="1">
      <c r="A1064" t="s">
        <v>11</v>
      </c>
      <c r="B1064">
        <v>2023</v>
      </c>
      <c r="C1064" t="s">
        <v>28</v>
      </c>
      <c r="D1064" t="s">
        <v>180</v>
      </c>
      <c r="E1064" t="s">
        <v>291</v>
      </c>
      <c r="F1064" t="s">
        <v>181</v>
      </c>
      <c r="G1064">
        <v>1</v>
      </c>
      <c r="H1064" t="s">
        <v>216</v>
      </c>
    </row>
    <row r="1065" spans="1:8" hidden="1">
      <c r="A1065" t="s">
        <v>11</v>
      </c>
      <c r="B1065">
        <v>2023</v>
      </c>
      <c r="C1065" t="s">
        <v>28</v>
      </c>
      <c r="D1065" t="s">
        <v>180</v>
      </c>
      <c r="E1065" t="s">
        <v>810</v>
      </c>
      <c r="F1065" t="s">
        <v>181</v>
      </c>
      <c r="G1065">
        <v>1</v>
      </c>
      <c r="H1065" t="s">
        <v>216</v>
      </c>
    </row>
    <row r="1066" spans="1:8" hidden="1">
      <c r="A1066" t="s">
        <v>11</v>
      </c>
      <c r="B1066">
        <v>2023</v>
      </c>
      <c r="C1066" t="s">
        <v>28</v>
      </c>
      <c r="D1066" t="s">
        <v>180</v>
      </c>
      <c r="E1066" t="s">
        <v>811</v>
      </c>
      <c r="F1066" t="s">
        <v>181</v>
      </c>
      <c r="G1066">
        <v>2</v>
      </c>
      <c r="H1066" t="s">
        <v>216</v>
      </c>
    </row>
    <row r="1067" spans="1:8" hidden="1">
      <c r="A1067" t="s">
        <v>11</v>
      </c>
      <c r="B1067">
        <v>2023</v>
      </c>
      <c r="C1067" t="s">
        <v>28</v>
      </c>
      <c r="D1067" t="s">
        <v>180</v>
      </c>
      <c r="E1067" t="s">
        <v>812</v>
      </c>
      <c r="F1067" t="s">
        <v>181</v>
      </c>
      <c r="G1067">
        <v>1</v>
      </c>
      <c r="H1067" t="s">
        <v>216</v>
      </c>
    </row>
    <row r="1068" spans="1:8" hidden="1">
      <c r="A1068" t="s">
        <v>11</v>
      </c>
      <c r="B1068">
        <v>2023</v>
      </c>
      <c r="C1068" t="s">
        <v>28</v>
      </c>
      <c r="D1068" t="s">
        <v>180</v>
      </c>
      <c r="E1068" t="s">
        <v>813</v>
      </c>
      <c r="F1068" t="s">
        <v>181</v>
      </c>
      <c r="G1068">
        <v>0.67</v>
      </c>
      <c r="H1068" t="s">
        <v>216</v>
      </c>
    </row>
    <row r="1069" spans="1:8" hidden="1">
      <c r="A1069" t="s">
        <v>11</v>
      </c>
      <c r="B1069">
        <v>2023</v>
      </c>
      <c r="C1069" t="s">
        <v>28</v>
      </c>
      <c r="D1069" t="s">
        <v>180</v>
      </c>
      <c r="E1069" t="s">
        <v>814</v>
      </c>
      <c r="F1069" t="s">
        <v>181</v>
      </c>
      <c r="G1069">
        <v>1</v>
      </c>
      <c r="H1069" t="s">
        <v>216</v>
      </c>
    </row>
    <row r="1070" spans="1:8" hidden="1">
      <c r="A1070" t="s">
        <v>11</v>
      </c>
      <c r="B1070">
        <v>2023</v>
      </c>
      <c r="C1070" t="s">
        <v>28</v>
      </c>
      <c r="D1070" t="s">
        <v>188</v>
      </c>
      <c r="E1070" t="s">
        <v>827</v>
      </c>
      <c r="F1070" t="s">
        <v>181</v>
      </c>
      <c r="G1070">
        <v>1</v>
      </c>
      <c r="H1070" t="s">
        <v>815</v>
      </c>
    </row>
    <row r="1071" spans="1:8" hidden="1">
      <c r="A1071" t="s">
        <v>11</v>
      </c>
      <c r="B1071">
        <v>2023</v>
      </c>
      <c r="C1071" t="s">
        <v>28</v>
      </c>
      <c r="D1071" t="s">
        <v>193</v>
      </c>
      <c r="F1071" t="s">
        <v>181</v>
      </c>
      <c r="G1071">
        <v>3.75</v>
      </c>
      <c r="H1071" t="s">
        <v>834</v>
      </c>
    </row>
    <row r="1072" spans="1:8" hidden="1">
      <c r="A1072" t="s">
        <v>11</v>
      </c>
      <c r="B1072">
        <v>2023</v>
      </c>
      <c r="C1072" t="s">
        <v>28</v>
      </c>
      <c r="D1072" t="s">
        <v>199</v>
      </c>
      <c r="F1072" t="s">
        <v>181</v>
      </c>
      <c r="G1072">
        <v>2.5</v>
      </c>
      <c r="H1072" t="s">
        <v>835</v>
      </c>
    </row>
    <row r="1073" spans="1:8" hidden="1">
      <c r="A1073" t="s">
        <v>11</v>
      </c>
      <c r="B1073">
        <v>2023</v>
      </c>
      <c r="C1073" t="s">
        <v>28</v>
      </c>
      <c r="D1073" t="s">
        <v>191</v>
      </c>
      <c r="F1073" t="s">
        <v>181</v>
      </c>
      <c r="G1073">
        <v>1.5</v>
      </c>
      <c r="H1073" t="s">
        <v>836</v>
      </c>
    </row>
    <row r="1074" spans="1:8" hidden="1">
      <c r="A1074" t="s">
        <v>11</v>
      </c>
      <c r="B1074">
        <v>2023</v>
      </c>
      <c r="C1074" t="s">
        <v>28</v>
      </c>
      <c r="D1074" t="s">
        <v>184</v>
      </c>
      <c r="F1074" t="s">
        <v>181</v>
      </c>
      <c r="G1074">
        <v>1</v>
      </c>
      <c r="H1074" t="s">
        <v>837</v>
      </c>
    </row>
    <row r="1075" spans="1:8" hidden="1">
      <c r="A1075" t="s">
        <v>11</v>
      </c>
      <c r="B1075">
        <v>2023</v>
      </c>
      <c r="C1075" t="s">
        <v>28</v>
      </c>
      <c r="D1075" t="s">
        <v>188</v>
      </c>
      <c r="E1075" t="s">
        <v>827</v>
      </c>
      <c r="F1075" t="s">
        <v>208</v>
      </c>
      <c r="G1075">
        <v>9.42</v>
      </c>
      <c r="H1075" t="s">
        <v>822</v>
      </c>
    </row>
    <row r="1076" spans="1:8" hidden="1">
      <c r="A1076" t="s">
        <v>11</v>
      </c>
      <c r="B1076">
        <v>2023</v>
      </c>
      <c r="C1076" t="s">
        <v>28</v>
      </c>
      <c r="D1076" t="s">
        <v>188</v>
      </c>
      <c r="E1076" t="s">
        <v>827</v>
      </c>
      <c r="F1076" t="s">
        <v>208</v>
      </c>
      <c r="G1076">
        <v>3.88</v>
      </c>
      <c r="H1076" t="s">
        <v>823</v>
      </c>
    </row>
    <row r="1077" spans="1:8" hidden="1">
      <c r="A1077" t="s">
        <v>11</v>
      </c>
      <c r="B1077">
        <v>2023</v>
      </c>
      <c r="C1077" t="s">
        <v>28</v>
      </c>
      <c r="D1077" t="s">
        <v>188</v>
      </c>
      <c r="E1077" t="s">
        <v>827</v>
      </c>
      <c r="F1077" t="s">
        <v>208</v>
      </c>
      <c r="G1077">
        <v>3.5</v>
      </c>
      <c r="H1077" t="s">
        <v>824</v>
      </c>
    </row>
    <row r="1078" spans="1:8" hidden="1">
      <c r="A1078" t="s">
        <v>11</v>
      </c>
      <c r="B1078">
        <v>2023</v>
      </c>
      <c r="C1078" t="s">
        <v>28</v>
      </c>
      <c r="D1078" t="s">
        <v>199</v>
      </c>
      <c r="F1078" t="s">
        <v>208</v>
      </c>
      <c r="G1078">
        <v>3.33</v>
      </c>
      <c r="H1078" t="s">
        <v>838</v>
      </c>
    </row>
    <row r="1079" spans="1:8" hidden="1">
      <c r="A1079" t="s">
        <v>11</v>
      </c>
      <c r="B1079">
        <v>2023</v>
      </c>
      <c r="C1079" t="s">
        <v>28</v>
      </c>
      <c r="D1079" t="s">
        <v>191</v>
      </c>
      <c r="F1079" t="s">
        <v>208</v>
      </c>
      <c r="G1079">
        <v>2.25</v>
      </c>
      <c r="H1079" t="s">
        <v>839</v>
      </c>
    </row>
    <row r="1080" spans="1:8" hidden="1">
      <c r="A1080" t="s">
        <v>11</v>
      </c>
      <c r="B1080">
        <v>2023</v>
      </c>
      <c r="C1080" t="s">
        <v>28</v>
      </c>
      <c r="D1080" t="s">
        <v>197</v>
      </c>
      <c r="F1080" t="s">
        <v>208</v>
      </c>
      <c r="G1080">
        <v>0.25</v>
      </c>
      <c r="H1080" t="s">
        <v>840</v>
      </c>
    </row>
    <row r="1081" spans="1:8" hidden="1">
      <c r="A1081" t="s">
        <v>11</v>
      </c>
      <c r="B1081">
        <v>2023</v>
      </c>
      <c r="C1081" t="s">
        <v>28</v>
      </c>
      <c r="D1081" t="s">
        <v>203</v>
      </c>
      <c r="F1081" t="s">
        <v>208</v>
      </c>
      <c r="G1081">
        <v>0.5</v>
      </c>
      <c r="H1081" t="s">
        <v>841</v>
      </c>
    </row>
    <row r="1082" spans="1:8" hidden="1">
      <c r="A1082" t="s">
        <v>11</v>
      </c>
      <c r="B1082">
        <v>2023</v>
      </c>
      <c r="C1082" t="s">
        <v>28</v>
      </c>
      <c r="D1082" t="s">
        <v>184</v>
      </c>
      <c r="F1082" t="s">
        <v>208</v>
      </c>
      <c r="G1082">
        <v>2.25</v>
      </c>
      <c r="H1082" t="s">
        <v>842</v>
      </c>
    </row>
    <row r="1083" spans="1:8" hidden="1">
      <c r="A1083" t="s">
        <v>11</v>
      </c>
      <c r="B1083">
        <v>2023</v>
      </c>
      <c r="C1083" t="s">
        <v>28</v>
      </c>
      <c r="D1083" t="s">
        <v>184</v>
      </c>
      <c r="F1083" t="s">
        <v>208</v>
      </c>
      <c r="G1083">
        <v>0.83</v>
      </c>
      <c r="H1083" t="s">
        <v>843</v>
      </c>
    </row>
    <row r="1084" spans="1:8" hidden="1">
      <c r="A1084" t="s">
        <v>11</v>
      </c>
      <c r="B1084">
        <v>2023</v>
      </c>
      <c r="C1084" t="s">
        <v>31</v>
      </c>
      <c r="D1084" t="s">
        <v>184</v>
      </c>
      <c r="F1084" t="s">
        <v>181</v>
      </c>
      <c r="G1084">
        <v>3</v>
      </c>
      <c r="H1084" t="s">
        <v>216</v>
      </c>
    </row>
    <row r="1085" spans="1:8" hidden="1">
      <c r="A1085" t="s">
        <v>11</v>
      </c>
      <c r="B1085">
        <v>2023</v>
      </c>
      <c r="C1085" t="s">
        <v>31</v>
      </c>
      <c r="D1085" t="s">
        <v>180</v>
      </c>
      <c r="E1085" t="s">
        <v>799</v>
      </c>
      <c r="F1085" t="s">
        <v>181</v>
      </c>
      <c r="G1085">
        <v>6</v>
      </c>
      <c r="H1085" t="s">
        <v>216</v>
      </c>
    </row>
    <row r="1086" spans="1:8" hidden="1">
      <c r="A1086" t="s">
        <v>11</v>
      </c>
      <c r="B1086">
        <v>2023</v>
      </c>
      <c r="C1086" t="s">
        <v>31</v>
      </c>
      <c r="D1086" t="s">
        <v>180</v>
      </c>
      <c r="E1086" t="s">
        <v>339</v>
      </c>
      <c r="F1086" t="s">
        <v>181</v>
      </c>
      <c r="G1086">
        <v>2</v>
      </c>
      <c r="H1086" t="s">
        <v>216</v>
      </c>
    </row>
    <row r="1087" spans="1:8" hidden="1">
      <c r="A1087" t="s">
        <v>11</v>
      </c>
      <c r="B1087">
        <v>2023</v>
      </c>
      <c r="C1087" t="s">
        <v>31</v>
      </c>
      <c r="D1087" t="s">
        <v>184</v>
      </c>
      <c r="E1087" t="s">
        <v>827</v>
      </c>
      <c r="F1087" t="s">
        <v>181</v>
      </c>
      <c r="G1087">
        <v>3</v>
      </c>
      <c r="H1087" t="s">
        <v>216</v>
      </c>
    </row>
    <row r="1088" spans="1:8" hidden="1">
      <c r="A1088" t="s">
        <v>11</v>
      </c>
      <c r="B1088">
        <v>2023</v>
      </c>
      <c r="C1088" t="s">
        <v>31</v>
      </c>
      <c r="D1088" t="s">
        <v>180</v>
      </c>
      <c r="E1088" t="s">
        <v>800</v>
      </c>
      <c r="F1088" t="s">
        <v>181</v>
      </c>
      <c r="G1088">
        <v>1</v>
      </c>
      <c r="H1088" t="s">
        <v>216</v>
      </c>
    </row>
    <row r="1089" spans="1:8" hidden="1">
      <c r="A1089" t="s">
        <v>11</v>
      </c>
      <c r="B1089">
        <v>2023</v>
      </c>
      <c r="C1089" t="s">
        <v>31</v>
      </c>
      <c r="D1089" t="s">
        <v>180</v>
      </c>
      <c r="E1089" t="s">
        <v>801</v>
      </c>
      <c r="F1089" t="s">
        <v>181</v>
      </c>
      <c r="G1089">
        <v>1</v>
      </c>
      <c r="H1089" t="s">
        <v>216</v>
      </c>
    </row>
    <row r="1090" spans="1:8" hidden="1">
      <c r="A1090" t="s">
        <v>11</v>
      </c>
      <c r="B1090">
        <v>2023</v>
      </c>
      <c r="C1090" t="s">
        <v>31</v>
      </c>
      <c r="D1090" t="s">
        <v>188</v>
      </c>
      <c r="E1090" t="s">
        <v>827</v>
      </c>
      <c r="F1090" t="s">
        <v>181</v>
      </c>
      <c r="G1090">
        <v>6</v>
      </c>
      <c r="H1090" t="s">
        <v>802</v>
      </c>
    </row>
    <row r="1091" spans="1:8" hidden="1">
      <c r="A1091" t="s">
        <v>11</v>
      </c>
      <c r="B1091">
        <v>2023</v>
      </c>
      <c r="C1091" t="s">
        <v>31</v>
      </c>
      <c r="D1091" t="s">
        <v>180</v>
      </c>
      <c r="E1091" t="s">
        <v>803</v>
      </c>
      <c r="F1091" t="s">
        <v>181</v>
      </c>
      <c r="G1091">
        <v>1</v>
      </c>
      <c r="H1091" t="s">
        <v>804</v>
      </c>
    </row>
    <row r="1092" spans="1:8" hidden="1">
      <c r="A1092" t="s">
        <v>11</v>
      </c>
      <c r="B1092">
        <v>2023</v>
      </c>
      <c r="C1092" t="s">
        <v>31</v>
      </c>
      <c r="D1092" t="s">
        <v>180</v>
      </c>
      <c r="E1092" t="s">
        <v>797</v>
      </c>
      <c r="F1092" t="s">
        <v>181</v>
      </c>
      <c r="G1092">
        <v>3</v>
      </c>
      <c r="H1092" t="s">
        <v>802</v>
      </c>
    </row>
    <row r="1093" spans="1:8" hidden="1">
      <c r="A1093" t="s">
        <v>11</v>
      </c>
      <c r="B1093">
        <v>2023</v>
      </c>
      <c r="C1093" t="s">
        <v>31</v>
      </c>
      <c r="D1093" t="s">
        <v>191</v>
      </c>
      <c r="E1093" t="s">
        <v>827</v>
      </c>
      <c r="F1093" t="s">
        <v>181</v>
      </c>
      <c r="G1093">
        <v>3</v>
      </c>
      <c r="H1093" t="s">
        <v>802</v>
      </c>
    </row>
    <row r="1094" spans="1:8" hidden="1">
      <c r="A1094" t="s">
        <v>11</v>
      </c>
      <c r="B1094">
        <v>2023</v>
      </c>
      <c r="C1094" t="s">
        <v>31</v>
      </c>
      <c r="D1094" t="s">
        <v>200</v>
      </c>
      <c r="E1094" t="s">
        <v>827</v>
      </c>
      <c r="F1094" t="s">
        <v>181</v>
      </c>
      <c r="G1094">
        <v>1</v>
      </c>
      <c r="H1094" t="s">
        <v>804</v>
      </c>
    </row>
    <row r="1095" spans="1:8" hidden="1">
      <c r="A1095" t="s">
        <v>11</v>
      </c>
      <c r="B1095">
        <v>2023</v>
      </c>
      <c r="C1095" t="s">
        <v>31</v>
      </c>
      <c r="D1095" t="s">
        <v>199</v>
      </c>
      <c r="E1095" t="s">
        <v>827</v>
      </c>
      <c r="F1095" t="s">
        <v>181</v>
      </c>
      <c r="G1095">
        <v>0.25</v>
      </c>
      <c r="H1095" t="s">
        <v>202</v>
      </c>
    </row>
    <row r="1096" spans="1:8" hidden="1">
      <c r="A1096" t="s">
        <v>11</v>
      </c>
      <c r="B1096">
        <v>2023</v>
      </c>
      <c r="C1096" t="s">
        <v>31</v>
      </c>
      <c r="D1096" t="s">
        <v>197</v>
      </c>
      <c r="E1096" t="s">
        <v>827</v>
      </c>
      <c r="F1096" t="s">
        <v>181</v>
      </c>
      <c r="G1096">
        <v>0.25</v>
      </c>
      <c r="H1096" t="s">
        <v>202</v>
      </c>
    </row>
    <row r="1097" spans="1:8" hidden="1">
      <c r="A1097" t="s">
        <v>11</v>
      </c>
      <c r="B1097">
        <v>2023</v>
      </c>
      <c r="C1097" t="s">
        <v>31</v>
      </c>
      <c r="D1097" t="s">
        <v>199</v>
      </c>
      <c r="E1097" t="s">
        <v>827</v>
      </c>
      <c r="F1097" t="s">
        <v>181</v>
      </c>
      <c r="G1097">
        <v>0.75</v>
      </c>
      <c r="H1097" t="s">
        <v>740</v>
      </c>
    </row>
    <row r="1098" spans="1:8" hidden="1">
      <c r="A1098" t="s">
        <v>11</v>
      </c>
      <c r="B1098">
        <v>2023</v>
      </c>
      <c r="C1098" t="s">
        <v>31</v>
      </c>
      <c r="D1098" t="s">
        <v>197</v>
      </c>
      <c r="E1098" t="s">
        <v>827</v>
      </c>
      <c r="F1098" t="s">
        <v>181</v>
      </c>
      <c r="G1098">
        <v>0.75</v>
      </c>
      <c r="H1098" t="s">
        <v>740</v>
      </c>
    </row>
    <row r="1099" spans="1:8" hidden="1">
      <c r="A1099" t="s">
        <v>11</v>
      </c>
      <c r="B1099">
        <v>2023</v>
      </c>
      <c r="C1099" t="s">
        <v>31</v>
      </c>
      <c r="D1099" t="s">
        <v>203</v>
      </c>
      <c r="E1099" t="s">
        <v>827</v>
      </c>
      <c r="F1099" t="s">
        <v>181</v>
      </c>
      <c r="G1099">
        <v>1</v>
      </c>
      <c r="H1099" t="s">
        <v>805</v>
      </c>
    </row>
    <row r="1100" spans="1:8" hidden="1">
      <c r="A1100" t="s">
        <v>11</v>
      </c>
      <c r="B1100">
        <v>2023</v>
      </c>
      <c r="C1100" t="s">
        <v>31</v>
      </c>
      <c r="D1100" t="s">
        <v>180</v>
      </c>
      <c r="E1100" t="s">
        <v>806</v>
      </c>
      <c r="F1100" t="s">
        <v>181</v>
      </c>
      <c r="G1100">
        <v>1</v>
      </c>
      <c r="H1100" t="s">
        <v>201</v>
      </c>
    </row>
    <row r="1101" spans="1:8" hidden="1">
      <c r="A1101" t="s">
        <v>11</v>
      </c>
      <c r="B1101">
        <v>2023</v>
      </c>
      <c r="C1101" t="s">
        <v>31</v>
      </c>
      <c r="D1101" t="s">
        <v>180</v>
      </c>
      <c r="E1101" t="s">
        <v>807</v>
      </c>
      <c r="F1101" t="s">
        <v>181</v>
      </c>
      <c r="G1101">
        <v>1</v>
      </c>
      <c r="H1101" t="s">
        <v>201</v>
      </c>
    </row>
    <row r="1102" spans="1:8" hidden="1">
      <c r="A1102" t="s">
        <v>11</v>
      </c>
      <c r="B1102">
        <v>2023</v>
      </c>
      <c r="C1102" t="s">
        <v>31</v>
      </c>
      <c r="D1102" t="s">
        <v>180</v>
      </c>
      <c r="E1102" t="s">
        <v>808</v>
      </c>
      <c r="F1102" t="s">
        <v>181</v>
      </c>
      <c r="G1102">
        <v>1</v>
      </c>
      <c r="H1102" t="s">
        <v>804</v>
      </c>
    </row>
    <row r="1103" spans="1:8" hidden="1">
      <c r="A1103" t="s">
        <v>11</v>
      </c>
      <c r="B1103">
        <v>2023</v>
      </c>
      <c r="C1103" t="s">
        <v>31</v>
      </c>
      <c r="D1103" t="s">
        <v>180</v>
      </c>
      <c r="E1103" t="s">
        <v>809</v>
      </c>
      <c r="F1103" t="s">
        <v>181</v>
      </c>
      <c r="G1103">
        <v>4</v>
      </c>
      <c r="H1103" t="s">
        <v>285</v>
      </c>
    </row>
    <row r="1104" spans="1:8" hidden="1">
      <c r="A1104" t="s">
        <v>11</v>
      </c>
      <c r="B1104">
        <v>2023</v>
      </c>
      <c r="C1104" t="s">
        <v>31</v>
      </c>
      <c r="D1104" t="s">
        <v>180</v>
      </c>
      <c r="E1104" t="s">
        <v>291</v>
      </c>
      <c r="F1104" t="s">
        <v>181</v>
      </c>
      <c r="G1104">
        <v>1</v>
      </c>
      <c r="H1104" t="s">
        <v>216</v>
      </c>
    </row>
    <row r="1105" spans="1:8" hidden="1">
      <c r="A1105" t="s">
        <v>11</v>
      </c>
      <c r="B1105">
        <v>2023</v>
      </c>
      <c r="C1105" t="s">
        <v>31</v>
      </c>
      <c r="D1105" t="s">
        <v>180</v>
      </c>
      <c r="E1105" t="s">
        <v>810</v>
      </c>
      <c r="F1105" t="s">
        <v>181</v>
      </c>
      <c r="G1105">
        <v>1</v>
      </c>
      <c r="H1105" t="s">
        <v>216</v>
      </c>
    </row>
    <row r="1106" spans="1:8" hidden="1">
      <c r="A1106" t="s">
        <v>11</v>
      </c>
      <c r="B1106">
        <v>2023</v>
      </c>
      <c r="C1106" t="s">
        <v>31</v>
      </c>
      <c r="D1106" t="s">
        <v>180</v>
      </c>
      <c r="E1106" t="s">
        <v>811</v>
      </c>
      <c r="F1106" t="s">
        <v>181</v>
      </c>
      <c r="G1106">
        <v>2</v>
      </c>
      <c r="H1106" t="s">
        <v>216</v>
      </c>
    </row>
    <row r="1107" spans="1:8" hidden="1">
      <c r="A1107" t="s">
        <v>11</v>
      </c>
      <c r="B1107">
        <v>2023</v>
      </c>
      <c r="C1107" t="s">
        <v>31</v>
      </c>
      <c r="D1107" t="s">
        <v>180</v>
      </c>
      <c r="E1107" t="s">
        <v>812</v>
      </c>
      <c r="F1107" t="s">
        <v>181</v>
      </c>
      <c r="G1107">
        <v>1</v>
      </c>
      <c r="H1107" t="s">
        <v>216</v>
      </c>
    </row>
    <row r="1108" spans="1:8" hidden="1">
      <c r="A1108" t="s">
        <v>11</v>
      </c>
      <c r="B1108">
        <v>2023</v>
      </c>
      <c r="C1108" t="s">
        <v>31</v>
      </c>
      <c r="D1108" t="s">
        <v>180</v>
      </c>
      <c r="E1108" t="s">
        <v>813</v>
      </c>
      <c r="F1108" t="s">
        <v>181</v>
      </c>
      <c r="G1108">
        <v>0.67</v>
      </c>
      <c r="H1108" t="s">
        <v>216</v>
      </c>
    </row>
    <row r="1109" spans="1:8" hidden="1">
      <c r="A1109" t="s">
        <v>11</v>
      </c>
      <c r="B1109">
        <v>2023</v>
      </c>
      <c r="C1109" t="s">
        <v>31</v>
      </c>
      <c r="D1109" t="s">
        <v>180</v>
      </c>
      <c r="E1109" t="s">
        <v>814</v>
      </c>
      <c r="F1109" t="s">
        <v>181</v>
      </c>
      <c r="G1109">
        <v>1</v>
      </c>
      <c r="H1109" t="s">
        <v>216</v>
      </c>
    </row>
    <row r="1110" spans="1:8" hidden="1">
      <c r="A1110" t="s">
        <v>11</v>
      </c>
      <c r="B1110">
        <v>2023</v>
      </c>
      <c r="C1110" t="s">
        <v>31</v>
      </c>
      <c r="D1110" t="s">
        <v>188</v>
      </c>
      <c r="E1110" t="s">
        <v>827</v>
      </c>
      <c r="F1110" t="s">
        <v>181</v>
      </c>
      <c r="G1110">
        <v>1</v>
      </c>
      <c r="H1110" t="s">
        <v>815</v>
      </c>
    </row>
    <row r="1111" spans="1:8" hidden="1">
      <c r="A1111" t="s">
        <v>11</v>
      </c>
      <c r="B1111">
        <v>2023</v>
      </c>
      <c r="C1111" t="s">
        <v>31</v>
      </c>
      <c r="D1111" t="s">
        <v>193</v>
      </c>
      <c r="E1111" t="s">
        <v>827</v>
      </c>
      <c r="F1111" t="s">
        <v>181</v>
      </c>
      <c r="G1111">
        <v>4</v>
      </c>
      <c r="H1111" t="s">
        <v>834</v>
      </c>
    </row>
    <row r="1112" spans="1:8" hidden="1">
      <c r="A1112" t="s">
        <v>11</v>
      </c>
      <c r="B1112">
        <v>2023</v>
      </c>
      <c r="C1112" t="s">
        <v>31</v>
      </c>
      <c r="D1112" t="s">
        <v>199</v>
      </c>
      <c r="E1112" t="s">
        <v>827</v>
      </c>
      <c r="F1112" t="s">
        <v>181</v>
      </c>
      <c r="G1112">
        <v>3</v>
      </c>
      <c r="H1112" t="s">
        <v>835</v>
      </c>
    </row>
    <row r="1113" spans="1:8" hidden="1">
      <c r="A1113" t="s">
        <v>11</v>
      </c>
      <c r="B1113">
        <v>2023</v>
      </c>
      <c r="C1113" t="s">
        <v>31</v>
      </c>
      <c r="D1113" t="s">
        <v>191</v>
      </c>
      <c r="E1113" t="s">
        <v>827</v>
      </c>
      <c r="F1113" t="s">
        <v>181</v>
      </c>
      <c r="G1113">
        <v>2</v>
      </c>
      <c r="H1113" t="s">
        <v>836</v>
      </c>
    </row>
    <row r="1114" spans="1:8" hidden="1">
      <c r="A1114" t="s">
        <v>11</v>
      </c>
      <c r="B1114">
        <v>2023</v>
      </c>
      <c r="C1114" t="s">
        <v>31</v>
      </c>
      <c r="D1114" t="s">
        <v>184</v>
      </c>
      <c r="E1114" t="s">
        <v>827</v>
      </c>
      <c r="F1114" t="s">
        <v>181</v>
      </c>
      <c r="G1114">
        <v>1</v>
      </c>
      <c r="H1114" t="s">
        <v>837</v>
      </c>
    </row>
    <row r="1115" spans="1:8" hidden="1">
      <c r="A1115" t="s">
        <v>11</v>
      </c>
      <c r="B1115">
        <v>2023</v>
      </c>
      <c r="C1115" t="s">
        <v>31</v>
      </c>
      <c r="D1115" t="s">
        <v>188</v>
      </c>
      <c r="E1115" t="s">
        <v>827</v>
      </c>
      <c r="F1115" t="s">
        <v>208</v>
      </c>
      <c r="G1115">
        <v>10.73</v>
      </c>
      <c r="H1115" t="s">
        <v>822</v>
      </c>
    </row>
    <row r="1116" spans="1:8" hidden="1">
      <c r="A1116" t="s">
        <v>11</v>
      </c>
      <c r="B1116">
        <v>2023</v>
      </c>
      <c r="C1116" t="s">
        <v>31</v>
      </c>
      <c r="D1116" t="s">
        <v>188</v>
      </c>
      <c r="E1116" t="s">
        <v>827</v>
      </c>
      <c r="F1116" t="s">
        <v>208</v>
      </c>
      <c r="G1116">
        <v>3.27</v>
      </c>
      <c r="H1116" t="s">
        <v>823</v>
      </c>
    </row>
    <row r="1117" spans="1:8" hidden="1">
      <c r="A1117" t="s">
        <v>11</v>
      </c>
      <c r="B1117">
        <v>2023</v>
      </c>
      <c r="C1117" t="s">
        <v>31</v>
      </c>
      <c r="D1117" t="s">
        <v>188</v>
      </c>
      <c r="E1117" t="s">
        <v>827</v>
      </c>
      <c r="F1117" t="s">
        <v>208</v>
      </c>
      <c r="G1117">
        <v>7.75</v>
      </c>
      <c r="H1117" t="s">
        <v>824</v>
      </c>
    </row>
    <row r="1118" spans="1:8" hidden="1">
      <c r="A1118" t="s">
        <v>11</v>
      </c>
      <c r="B1118">
        <v>2023</v>
      </c>
      <c r="C1118" t="s">
        <v>31</v>
      </c>
      <c r="D1118" t="s">
        <v>184</v>
      </c>
      <c r="F1118" t="s">
        <v>181</v>
      </c>
      <c r="G1118">
        <v>4.67</v>
      </c>
      <c r="H1118" t="s">
        <v>844</v>
      </c>
    </row>
    <row r="1119" spans="1:8" hidden="1">
      <c r="A1119" t="s">
        <v>11</v>
      </c>
      <c r="B1119">
        <v>2023</v>
      </c>
      <c r="C1119" t="s">
        <v>31</v>
      </c>
      <c r="D1119" t="s">
        <v>652</v>
      </c>
      <c r="F1119" t="s">
        <v>208</v>
      </c>
      <c r="G1119">
        <v>1.55</v>
      </c>
      <c r="H1119" t="s">
        <v>845</v>
      </c>
    </row>
    <row r="1120" spans="1:8" hidden="1">
      <c r="A1120" t="s">
        <v>11</v>
      </c>
      <c r="B1120">
        <v>2023</v>
      </c>
      <c r="C1120" t="s">
        <v>31</v>
      </c>
      <c r="D1120" t="s">
        <v>180</v>
      </c>
      <c r="E1120" t="s">
        <v>846</v>
      </c>
      <c r="F1120" t="s">
        <v>208</v>
      </c>
      <c r="G1120">
        <v>1.3</v>
      </c>
      <c r="H1120" t="s">
        <v>847</v>
      </c>
    </row>
    <row r="1121" spans="1:8" hidden="1">
      <c r="A1121" t="s">
        <v>11</v>
      </c>
      <c r="B1121">
        <v>2023</v>
      </c>
      <c r="C1121" t="s">
        <v>31</v>
      </c>
      <c r="D1121" t="s">
        <v>193</v>
      </c>
      <c r="F1121" t="s">
        <v>208</v>
      </c>
      <c r="G1121">
        <v>1</v>
      </c>
      <c r="H1121" t="s">
        <v>848</v>
      </c>
    </row>
    <row r="1122" spans="1:8" hidden="1">
      <c r="A1122" t="s">
        <v>11</v>
      </c>
      <c r="B1122">
        <v>2023</v>
      </c>
      <c r="C1122" t="s">
        <v>31</v>
      </c>
      <c r="D1122" t="s">
        <v>193</v>
      </c>
      <c r="F1122" t="s">
        <v>181</v>
      </c>
      <c r="G1122">
        <v>1</v>
      </c>
      <c r="H1122" t="s">
        <v>848</v>
      </c>
    </row>
    <row r="1123" spans="1:8" hidden="1">
      <c r="A1123" t="s">
        <v>11</v>
      </c>
      <c r="B1123">
        <v>2023</v>
      </c>
      <c r="C1123" t="s">
        <v>31</v>
      </c>
      <c r="D1123" t="s">
        <v>184</v>
      </c>
      <c r="F1123" t="s">
        <v>181</v>
      </c>
      <c r="G1123">
        <v>0.3</v>
      </c>
      <c r="H1123" t="s">
        <v>849</v>
      </c>
    </row>
    <row r="1124" spans="1:8" hidden="1">
      <c r="A1124" t="s">
        <v>11</v>
      </c>
      <c r="B1124">
        <v>2023</v>
      </c>
      <c r="C1124" t="s">
        <v>33</v>
      </c>
      <c r="D1124" t="s">
        <v>180</v>
      </c>
      <c r="E1124" t="s">
        <v>799</v>
      </c>
      <c r="F1124" t="s">
        <v>181</v>
      </c>
      <c r="G1124">
        <v>6</v>
      </c>
      <c r="H1124" t="s">
        <v>216</v>
      </c>
    </row>
    <row r="1125" spans="1:8" hidden="1">
      <c r="A1125" t="s">
        <v>11</v>
      </c>
      <c r="B1125">
        <v>2023</v>
      </c>
      <c r="C1125" t="s">
        <v>33</v>
      </c>
      <c r="D1125" t="s">
        <v>180</v>
      </c>
      <c r="E1125" t="s">
        <v>339</v>
      </c>
      <c r="F1125" t="s">
        <v>181</v>
      </c>
      <c r="G1125">
        <v>2</v>
      </c>
      <c r="H1125" t="s">
        <v>216</v>
      </c>
    </row>
    <row r="1126" spans="1:8" hidden="1">
      <c r="A1126" t="s">
        <v>11</v>
      </c>
      <c r="B1126">
        <v>2023</v>
      </c>
      <c r="C1126" t="s">
        <v>33</v>
      </c>
      <c r="D1126" t="s">
        <v>184</v>
      </c>
      <c r="E1126" t="s">
        <v>827</v>
      </c>
      <c r="F1126" t="s">
        <v>181</v>
      </c>
      <c r="G1126">
        <v>2</v>
      </c>
      <c r="H1126" t="s">
        <v>216</v>
      </c>
    </row>
    <row r="1127" spans="1:8" hidden="1">
      <c r="A1127" t="s">
        <v>11</v>
      </c>
      <c r="B1127">
        <v>2023</v>
      </c>
      <c r="C1127" t="s">
        <v>33</v>
      </c>
      <c r="D1127" t="s">
        <v>180</v>
      </c>
      <c r="E1127" t="s">
        <v>800</v>
      </c>
      <c r="F1127" t="s">
        <v>181</v>
      </c>
      <c r="G1127">
        <v>1</v>
      </c>
      <c r="H1127" t="s">
        <v>216</v>
      </c>
    </row>
    <row r="1128" spans="1:8" hidden="1">
      <c r="A1128" t="s">
        <v>11</v>
      </c>
      <c r="B1128">
        <v>2023</v>
      </c>
      <c r="C1128" t="s">
        <v>33</v>
      </c>
      <c r="D1128" t="s">
        <v>180</v>
      </c>
      <c r="E1128" t="s">
        <v>801</v>
      </c>
      <c r="F1128" t="s">
        <v>181</v>
      </c>
      <c r="G1128">
        <v>1</v>
      </c>
      <c r="H1128" t="s">
        <v>216</v>
      </c>
    </row>
    <row r="1129" spans="1:8" hidden="1">
      <c r="A1129" t="s">
        <v>11</v>
      </c>
      <c r="B1129">
        <v>2023</v>
      </c>
      <c r="C1129" t="s">
        <v>33</v>
      </c>
      <c r="D1129" t="s">
        <v>188</v>
      </c>
      <c r="E1129" t="s">
        <v>827</v>
      </c>
      <c r="F1129" t="s">
        <v>181</v>
      </c>
      <c r="G1129">
        <v>6</v>
      </c>
      <c r="H1129" t="s">
        <v>802</v>
      </c>
    </row>
    <row r="1130" spans="1:8" hidden="1">
      <c r="A1130" t="s">
        <v>11</v>
      </c>
      <c r="B1130">
        <v>2023</v>
      </c>
      <c r="C1130" t="s">
        <v>33</v>
      </c>
      <c r="D1130" t="s">
        <v>180</v>
      </c>
      <c r="E1130" t="s">
        <v>803</v>
      </c>
      <c r="F1130" t="s">
        <v>181</v>
      </c>
      <c r="G1130">
        <v>1</v>
      </c>
      <c r="H1130" t="s">
        <v>804</v>
      </c>
    </row>
    <row r="1131" spans="1:8" hidden="1">
      <c r="A1131" t="s">
        <v>11</v>
      </c>
      <c r="B1131">
        <v>2023</v>
      </c>
      <c r="C1131" t="s">
        <v>33</v>
      </c>
      <c r="D1131" t="s">
        <v>180</v>
      </c>
      <c r="E1131" t="s">
        <v>797</v>
      </c>
      <c r="F1131" t="s">
        <v>181</v>
      </c>
      <c r="G1131">
        <v>3</v>
      </c>
      <c r="H1131" t="s">
        <v>802</v>
      </c>
    </row>
    <row r="1132" spans="1:8" hidden="1">
      <c r="A1132" t="s">
        <v>11</v>
      </c>
      <c r="B1132">
        <v>2023</v>
      </c>
      <c r="C1132" t="s">
        <v>33</v>
      </c>
      <c r="D1132" t="s">
        <v>191</v>
      </c>
      <c r="E1132" t="s">
        <v>827</v>
      </c>
      <c r="F1132" t="s">
        <v>181</v>
      </c>
      <c r="G1132">
        <v>3</v>
      </c>
      <c r="H1132" t="s">
        <v>802</v>
      </c>
    </row>
    <row r="1133" spans="1:8" hidden="1">
      <c r="A1133" t="s">
        <v>11</v>
      </c>
      <c r="B1133">
        <v>2023</v>
      </c>
      <c r="C1133" t="s">
        <v>33</v>
      </c>
      <c r="D1133" t="s">
        <v>200</v>
      </c>
      <c r="E1133" t="s">
        <v>827</v>
      </c>
      <c r="F1133" t="s">
        <v>181</v>
      </c>
      <c r="G1133">
        <v>1</v>
      </c>
      <c r="H1133" t="s">
        <v>804</v>
      </c>
    </row>
    <row r="1134" spans="1:8" hidden="1">
      <c r="A1134" t="s">
        <v>11</v>
      </c>
      <c r="B1134">
        <v>2023</v>
      </c>
      <c r="C1134" t="s">
        <v>33</v>
      </c>
      <c r="D1134" t="s">
        <v>199</v>
      </c>
      <c r="E1134" t="s">
        <v>827</v>
      </c>
      <c r="F1134" t="s">
        <v>181</v>
      </c>
      <c r="G1134">
        <v>0.25</v>
      </c>
      <c r="H1134" t="s">
        <v>202</v>
      </c>
    </row>
    <row r="1135" spans="1:8" hidden="1">
      <c r="A1135" t="s">
        <v>11</v>
      </c>
      <c r="B1135">
        <v>2023</v>
      </c>
      <c r="C1135" t="s">
        <v>33</v>
      </c>
      <c r="D1135" t="s">
        <v>197</v>
      </c>
      <c r="E1135" t="s">
        <v>827</v>
      </c>
      <c r="F1135" t="s">
        <v>181</v>
      </c>
      <c r="G1135">
        <v>0.25</v>
      </c>
      <c r="H1135" t="s">
        <v>202</v>
      </c>
    </row>
    <row r="1136" spans="1:8" hidden="1">
      <c r="A1136" t="s">
        <v>11</v>
      </c>
      <c r="B1136">
        <v>2023</v>
      </c>
      <c r="C1136" t="s">
        <v>33</v>
      </c>
      <c r="D1136" t="s">
        <v>199</v>
      </c>
      <c r="E1136" t="s">
        <v>827</v>
      </c>
      <c r="F1136" t="s">
        <v>181</v>
      </c>
      <c r="G1136">
        <v>0.75</v>
      </c>
      <c r="H1136" t="s">
        <v>740</v>
      </c>
    </row>
    <row r="1137" spans="1:8" hidden="1">
      <c r="A1137" t="s">
        <v>11</v>
      </c>
      <c r="B1137">
        <v>2023</v>
      </c>
      <c r="C1137" t="s">
        <v>33</v>
      </c>
      <c r="D1137" t="s">
        <v>197</v>
      </c>
      <c r="E1137" t="s">
        <v>827</v>
      </c>
      <c r="F1137" t="s">
        <v>181</v>
      </c>
      <c r="G1137">
        <v>0.75</v>
      </c>
      <c r="H1137" t="s">
        <v>740</v>
      </c>
    </row>
    <row r="1138" spans="1:8" hidden="1">
      <c r="A1138" t="s">
        <v>11</v>
      </c>
      <c r="B1138">
        <v>2023</v>
      </c>
      <c r="C1138" t="s">
        <v>33</v>
      </c>
      <c r="D1138" t="s">
        <v>203</v>
      </c>
      <c r="E1138" t="s">
        <v>827</v>
      </c>
      <c r="F1138" t="s">
        <v>181</v>
      </c>
      <c r="G1138">
        <v>1</v>
      </c>
      <c r="H1138" t="s">
        <v>805</v>
      </c>
    </row>
    <row r="1139" spans="1:8" hidden="1">
      <c r="A1139" t="s">
        <v>11</v>
      </c>
      <c r="B1139">
        <v>2023</v>
      </c>
      <c r="C1139" t="s">
        <v>33</v>
      </c>
      <c r="D1139" t="s">
        <v>180</v>
      </c>
      <c r="E1139" t="s">
        <v>806</v>
      </c>
      <c r="F1139" t="s">
        <v>181</v>
      </c>
      <c r="G1139">
        <v>1</v>
      </c>
      <c r="H1139" t="s">
        <v>201</v>
      </c>
    </row>
    <row r="1140" spans="1:8" hidden="1">
      <c r="A1140" t="s">
        <v>11</v>
      </c>
      <c r="B1140">
        <v>2023</v>
      </c>
      <c r="C1140" t="s">
        <v>33</v>
      </c>
      <c r="D1140" t="s">
        <v>180</v>
      </c>
      <c r="E1140" t="s">
        <v>807</v>
      </c>
      <c r="F1140" t="s">
        <v>181</v>
      </c>
      <c r="G1140">
        <v>1</v>
      </c>
      <c r="H1140" t="s">
        <v>201</v>
      </c>
    </row>
    <row r="1141" spans="1:8" hidden="1">
      <c r="A1141" t="s">
        <v>11</v>
      </c>
      <c r="B1141">
        <v>2023</v>
      </c>
      <c r="C1141" t="s">
        <v>33</v>
      </c>
      <c r="D1141" t="s">
        <v>180</v>
      </c>
      <c r="E1141" t="s">
        <v>808</v>
      </c>
      <c r="F1141" t="s">
        <v>181</v>
      </c>
      <c r="G1141">
        <v>1</v>
      </c>
      <c r="H1141" t="s">
        <v>804</v>
      </c>
    </row>
    <row r="1142" spans="1:8" hidden="1">
      <c r="A1142" t="s">
        <v>11</v>
      </c>
      <c r="B1142">
        <v>2023</v>
      </c>
      <c r="C1142" t="s">
        <v>33</v>
      </c>
      <c r="D1142" t="s">
        <v>180</v>
      </c>
      <c r="E1142" t="s">
        <v>809</v>
      </c>
      <c r="F1142" t="s">
        <v>181</v>
      </c>
      <c r="G1142">
        <v>4</v>
      </c>
      <c r="H1142" t="s">
        <v>285</v>
      </c>
    </row>
    <row r="1143" spans="1:8" hidden="1">
      <c r="A1143" t="s">
        <v>11</v>
      </c>
      <c r="B1143">
        <v>2023</v>
      </c>
      <c r="C1143" t="s">
        <v>33</v>
      </c>
      <c r="D1143" t="s">
        <v>180</v>
      </c>
      <c r="E1143" t="s">
        <v>291</v>
      </c>
      <c r="F1143" t="s">
        <v>181</v>
      </c>
      <c r="G1143">
        <v>1</v>
      </c>
      <c r="H1143" t="s">
        <v>216</v>
      </c>
    </row>
    <row r="1144" spans="1:8" hidden="1">
      <c r="A1144" t="s">
        <v>11</v>
      </c>
      <c r="B1144">
        <v>2023</v>
      </c>
      <c r="C1144" t="s">
        <v>33</v>
      </c>
      <c r="D1144" t="s">
        <v>180</v>
      </c>
      <c r="E1144" t="s">
        <v>810</v>
      </c>
      <c r="F1144" t="s">
        <v>181</v>
      </c>
      <c r="G1144">
        <v>1</v>
      </c>
      <c r="H1144" t="s">
        <v>216</v>
      </c>
    </row>
    <row r="1145" spans="1:8" hidden="1">
      <c r="A1145" t="s">
        <v>11</v>
      </c>
      <c r="B1145">
        <v>2023</v>
      </c>
      <c r="C1145" t="s">
        <v>33</v>
      </c>
      <c r="D1145" t="s">
        <v>180</v>
      </c>
      <c r="E1145" t="s">
        <v>811</v>
      </c>
      <c r="F1145" t="s">
        <v>181</v>
      </c>
      <c r="G1145">
        <v>2</v>
      </c>
      <c r="H1145" t="s">
        <v>216</v>
      </c>
    </row>
    <row r="1146" spans="1:8" hidden="1">
      <c r="A1146" t="s">
        <v>11</v>
      </c>
      <c r="B1146">
        <v>2023</v>
      </c>
      <c r="C1146" t="s">
        <v>33</v>
      </c>
      <c r="D1146" t="s">
        <v>180</v>
      </c>
      <c r="E1146" t="s">
        <v>812</v>
      </c>
      <c r="F1146" t="s">
        <v>181</v>
      </c>
      <c r="G1146">
        <v>1</v>
      </c>
      <c r="H1146" t="s">
        <v>216</v>
      </c>
    </row>
    <row r="1147" spans="1:8" hidden="1">
      <c r="A1147" t="s">
        <v>11</v>
      </c>
      <c r="B1147">
        <v>2023</v>
      </c>
      <c r="C1147" t="s">
        <v>33</v>
      </c>
      <c r="D1147" t="s">
        <v>180</v>
      </c>
      <c r="E1147" t="s">
        <v>813</v>
      </c>
      <c r="F1147" t="s">
        <v>181</v>
      </c>
      <c r="G1147">
        <v>0.67</v>
      </c>
      <c r="H1147" t="s">
        <v>216</v>
      </c>
    </row>
    <row r="1148" spans="1:8" hidden="1">
      <c r="A1148" t="s">
        <v>11</v>
      </c>
      <c r="B1148">
        <v>2023</v>
      </c>
      <c r="C1148" t="s">
        <v>33</v>
      </c>
      <c r="D1148" t="s">
        <v>180</v>
      </c>
      <c r="E1148" t="s">
        <v>814</v>
      </c>
      <c r="F1148" t="s">
        <v>181</v>
      </c>
      <c r="G1148">
        <v>1</v>
      </c>
      <c r="H1148" t="s">
        <v>216</v>
      </c>
    </row>
    <row r="1149" spans="1:8" hidden="1">
      <c r="A1149" t="s">
        <v>11</v>
      </c>
      <c r="B1149">
        <v>2023</v>
      </c>
      <c r="C1149" t="s">
        <v>33</v>
      </c>
      <c r="D1149" t="s">
        <v>188</v>
      </c>
      <c r="E1149" t="s">
        <v>827</v>
      </c>
      <c r="F1149" t="s">
        <v>181</v>
      </c>
      <c r="G1149">
        <v>1</v>
      </c>
      <c r="H1149" t="s">
        <v>815</v>
      </c>
    </row>
    <row r="1150" spans="1:8" hidden="1">
      <c r="A1150" t="s">
        <v>11</v>
      </c>
      <c r="B1150">
        <v>2023</v>
      </c>
      <c r="C1150" t="s">
        <v>33</v>
      </c>
      <c r="D1150" t="s">
        <v>188</v>
      </c>
      <c r="F1150" t="s">
        <v>181</v>
      </c>
      <c r="G1150">
        <v>0.5</v>
      </c>
      <c r="H1150" t="s">
        <v>850</v>
      </c>
    </row>
    <row r="1151" spans="1:8" hidden="1">
      <c r="A1151" t="s">
        <v>11</v>
      </c>
      <c r="B1151">
        <v>2023</v>
      </c>
      <c r="C1151" t="s">
        <v>33</v>
      </c>
      <c r="D1151" t="s">
        <v>200</v>
      </c>
      <c r="F1151" t="s">
        <v>181</v>
      </c>
      <c r="G1151">
        <v>1.5</v>
      </c>
      <c r="H1151" t="s">
        <v>851</v>
      </c>
    </row>
    <row r="1152" spans="1:8" hidden="1">
      <c r="A1152" t="s">
        <v>11</v>
      </c>
      <c r="B1152">
        <v>2023</v>
      </c>
      <c r="C1152" t="s">
        <v>33</v>
      </c>
      <c r="D1152" t="s">
        <v>191</v>
      </c>
      <c r="F1152" t="s">
        <v>181</v>
      </c>
      <c r="G1152">
        <v>2</v>
      </c>
      <c r="H1152" t="s">
        <v>852</v>
      </c>
    </row>
    <row r="1153" spans="1:8" hidden="1">
      <c r="A1153" t="s">
        <v>11</v>
      </c>
      <c r="B1153">
        <v>2023</v>
      </c>
      <c r="C1153" t="s">
        <v>33</v>
      </c>
      <c r="D1153" t="s">
        <v>652</v>
      </c>
      <c r="F1153" t="s">
        <v>208</v>
      </c>
      <c r="G1153">
        <v>3</v>
      </c>
      <c r="H1153" t="s">
        <v>853</v>
      </c>
    </row>
    <row r="1154" spans="1:8" hidden="1">
      <c r="A1154" t="s">
        <v>11</v>
      </c>
      <c r="B1154">
        <v>2023</v>
      </c>
      <c r="C1154" t="s">
        <v>33</v>
      </c>
      <c r="D1154" t="s">
        <v>191</v>
      </c>
      <c r="F1154" t="s">
        <v>208</v>
      </c>
      <c r="G1154">
        <v>2</v>
      </c>
      <c r="H1154" t="s">
        <v>854</v>
      </c>
    </row>
    <row r="1155" spans="1:8" hidden="1">
      <c r="A1155" t="s">
        <v>11</v>
      </c>
      <c r="B1155">
        <v>2023</v>
      </c>
      <c r="C1155" t="s">
        <v>33</v>
      </c>
      <c r="D1155" t="s">
        <v>191</v>
      </c>
      <c r="F1155" t="s">
        <v>208</v>
      </c>
      <c r="G1155">
        <v>2.4</v>
      </c>
      <c r="H1155" t="s">
        <v>855</v>
      </c>
    </row>
    <row r="1156" spans="1:8" hidden="1">
      <c r="A1156" t="s">
        <v>11</v>
      </c>
      <c r="B1156">
        <v>2023</v>
      </c>
      <c r="C1156" t="s">
        <v>33</v>
      </c>
      <c r="D1156" t="s">
        <v>199</v>
      </c>
      <c r="F1156" t="s">
        <v>208</v>
      </c>
      <c r="G1156">
        <v>1.3</v>
      </c>
      <c r="H1156" t="s">
        <v>856</v>
      </c>
    </row>
    <row r="1157" spans="1:8" hidden="1">
      <c r="A1157" t="s">
        <v>11</v>
      </c>
      <c r="B1157">
        <v>2023</v>
      </c>
      <c r="C1157" t="s">
        <v>33</v>
      </c>
      <c r="D1157" t="s">
        <v>191</v>
      </c>
      <c r="F1157" t="s">
        <v>208</v>
      </c>
      <c r="G1157">
        <v>5</v>
      </c>
      <c r="H1157" t="s">
        <v>857</v>
      </c>
    </row>
    <row r="1158" spans="1:8" hidden="1">
      <c r="A1158" t="s">
        <v>11</v>
      </c>
      <c r="B1158">
        <v>2023</v>
      </c>
      <c r="C1158" t="s">
        <v>33</v>
      </c>
      <c r="D1158" t="s">
        <v>193</v>
      </c>
      <c r="F1158" t="s">
        <v>208</v>
      </c>
      <c r="G1158">
        <v>1</v>
      </c>
      <c r="H1158" t="s">
        <v>858</v>
      </c>
    </row>
    <row r="1159" spans="1:8" hidden="1">
      <c r="A1159" t="s">
        <v>11</v>
      </c>
      <c r="B1159">
        <v>2023</v>
      </c>
      <c r="C1159" t="s">
        <v>33</v>
      </c>
      <c r="D1159" t="s">
        <v>193</v>
      </c>
      <c r="F1159" t="s">
        <v>181</v>
      </c>
      <c r="G1159">
        <v>1.5</v>
      </c>
      <c r="H1159" t="s">
        <v>859</v>
      </c>
    </row>
    <row r="1160" spans="1:8" hidden="1">
      <c r="A1160" t="s">
        <v>11</v>
      </c>
      <c r="B1160">
        <v>2023</v>
      </c>
      <c r="C1160" t="s">
        <v>33</v>
      </c>
      <c r="D1160" t="s">
        <v>184</v>
      </c>
      <c r="F1160" t="s">
        <v>208</v>
      </c>
      <c r="G1160">
        <v>0.5</v>
      </c>
      <c r="H1160" t="s">
        <v>860</v>
      </c>
    </row>
    <row r="1161" spans="1:8" hidden="1">
      <c r="A1161" t="s">
        <v>11</v>
      </c>
      <c r="B1161">
        <v>2023</v>
      </c>
      <c r="C1161" t="s">
        <v>33</v>
      </c>
      <c r="D1161" t="s">
        <v>188</v>
      </c>
      <c r="F1161" t="s">
        <v>208</v>
      </c>
      <c r="G1161">
        <v>1.5</v>
      </c>
      <c r="H1161" t="s">
        <v>822</v>
      </c>
    </row>
    <row r="1162" spans="1:8" hidden="1">
      <c r="A1162" t="s">
        <v>11</v>
      </c>
      <c r="B1162">
        <v>2023</v>
      </c>
      <c r="C1162" t="s">
        <v>33</v>
      </c>
      <c r="D1162" t="s">
        <v>188</v>
      </c>
      <c r="F1162" t="s">
        <v>208</v>
      </c>
      <c r="G1162">
        <v>6.33</v>
      </c>
      <c r="H1162" t="s">
        <v>823</v>
      </c>
    </row>
    <row r="1163" spans="1:8" hidden="1">
      <c r="A1163" t="s">
        <v>11</v>
      </c>
      <c r="B1163">
        <v>2023</v>
      </c>
      <c r="C1163" t="s">
        <v>33</v>
      </c>
      <c r="D1163" t="s">
        <v>188</v>
      </c>
      <c r="F1163" t="s">
        <v>208</v>
      </c>
      <c r="G1163">
        <v>3.83</v>
      </c>
      <c r="H1163" t="s">
        <v>824</v>
      </c>
    </row>
    <row r="1164" spans="1:8" hidden="1">
      <c r="A1164" t="s">
        <v>11</v>
      </c>
      <c r="B1164">
        <v>2023</v>
      </c>
      <c r="C1164" t="s">
        <v>34</v>
      </c>
      <c r="D1164" t="s">
        <v>180</v>
      </c>
      <c r="E1164" t="s">
        <v>799</v>
      </c>
      <c r="F1164" t="s">
        <v>181</v>
      </c>
      <c r="G1164">
        <v>6</v>
      </c>
      <c r="H1164" t="s">
        <v>216</v>
      </c>
    </row>
    <row r="1165" spans="1:8" hidden="1">
      <c r="A1165" t="s">
        <v>11</v>
      </c>
      <c r="B1165">
        <v>2023</v>
      </c>
      <c r="C1165" t="s">
        <v>34</v>
      </c>
      <c r="D1165" t="s">
        <v>180</v>
      </c>
      <c r="E1165" t="s">
        <v>339</v>
      </c>
      <c r="F1165" t="s">
        <v>181</v>
      </c>
      <c r="G1165">
        <v>2</v>
      </c>
      <c r="H1165" t="s">
        <v>216</v>
      </c>
    </row>
    <row r="1166" spans="1:8" hidden="1">
      <c r="A1166" t="s">
        <v>11</v>
      </c>
      <c r="B1166">
        <v>2023</v>
      </c>
      <c r="C1166" t="s">
        <v>34</v>
      </c>
      <c r="D1166" t="s">
        <v>184</v>
      </c>
      <c r="E1166" t="s">
        <v>827</v>
      </c>
      <c r="F1166" t="s">
        <v>181</v>
      </c>
      <c r="G1166">
        <v>2</v>
      </c>
      <c r="H1166" t="s">
        <v>216</v>
      </c>
    </row>
    <row r="1167" spans="1:8" hidden="1">
      <c r="A1167" t="s">
        <v>11</v>
      </c>
      <c r="B1167">
        <v>2023</v>
      </c>
      <c r="C1167" t="s">
        <v>34</v>
      </c>
      <c r="D1167" t="s">
        <v>180</v>
      </c>
      <c r="E1167" t="s">
        <v>800</v>
      </c>
      <c r="F1167" t="s">
        <v>181</v>
      </c>
      <c r="G1167">
        <v>1</v>
      </c>
      <c r="H1167" t="s">
        <v>216</v>
      </c>
    </row>
    <row r="1168" spans="1:8" hidden="1">
      <c r="A1168" t="s">
        <v>11</v>
      </c>
      <c r="B1168">
        <v>2023</v>
      </c>
      <c r="C1168" t="s">
        <v>34</v>
      </c>
      <c r="D1168" t="s">
        <v>180</v>
      </c>
      <c r="E1168" t="s">
        <v>801</v>
      </c>
      <c r="F1168" t="s">
        <v>181</v>
      </c>
      <c r="G1168">
        <v>1</v>
      </c>
      <c r="H1168" t="s">
        <v>216</v>
      </c>
    </row>
    <row r="1169" spans="1:8" hidden="1">
      <c r="A1169" t="s">
        <v>11</v>
      </c>
      <c r="B1169">
        <v>2023</v>
      </c>
      <c r="C1169" t="s">
        <v>34</v>
      </c>
      <c r="D1169" t="s">
        <v>188</v>
      </c>
      <c r="E1169" t="s">
        <v>827</v>
      </c>
      <c r="F1169" t="s">
        <v>181</v>
      </c>
      <c r="G1169">
        <v>6</v>
      </c>
      <c r="H1169" t="s">
        <v>802</v>
      </c>
    </row>
    <row r="1170" spans="1:8" hidden="1">
      <c r="A1170" t="s">
        <v>11</v>
      </c>
      <c r="B1170">
        <v>2023</v>
      </c>
      <c r="C1170" t="s">
        <v>34</v>
      </c>
      <c r="D1170" t="s">
        <v>180</v>
      </c>
      <c r="E1170" t="s">
        <v>803</v>
      </c>
      <c r="F1170" t="s">
        <v>181</v>
      </c>
      <c r="G1170">
        <v>1</v>
      </c>
      <c r="H1170" t="s">
        <v>804</v>
      </c>
    </row>
    <row r="1171" spans="1:8" hidden="1">
      <c r="A1171" t="s">
        <v>11</v>
      </c>
      <c r="B1171">
        <v>2023</v>
      </c>
      <c r="C1171" t="s">
        <v>34</v>
      </c>
      <c r="D1171" t="s">
        <v>180</v>
      </c>
      <c r="E1171" t="s">
        <v>797</v>
      </c>
      <c r="F1171" t="s">
        <v>181</v>
      </c>
      <c r="G1171">
        <v>3</v>
      </c>
      <c r="H1171" t="s">
        <v>802</v>
      </c>
    </row>
    <row r="1172" spans="1:8" hidden="1">
      <c r="A1172" t="s">
        <v>11</v>
      </c>
      <c r="B1172">
        <v>2023</v>
      </c>
      <c r="C1172" t="s">
        <v>34</v>
      </c>
      <c r="D1172" t="s">
        <v>191</v>
      </c>
      <c r="E1172" t="s">
        <v>827</v>
      </c>
      <c r="F1172" t="s">
        <v>181</v>
      </c>
      <c r="G1172">
        <v>3</v>
      </c>
      <c r="H1172" t="s">
        <v>802</v>
      </c>
    </row>
    <row r="1173" spans="1:8" hidden="1">
      <c r="A1173" t="s">
        <v>11</v>
      </c>
      <c r="B1173">
        <v>2023</v>
      </c>
      <c r="C1173" t="s">
        <v>34</v>
      </c>
      <c r="D1173" t="s">
        <v>200</v>
      </c>
      <c r="E1173" t="s">
        <v>827</v>
      </c>
      <c r="F1173" t="s">
        <v>181</v>
      </c>
      <c r="G1173">
        <v>1</v>
      </c>
      <c r="H1173" t="s">
        <v>804</v>
      </c>
    </row>
    <row r="1174" spans="1:8" hidden="1">
      <c r="A1174" t="s">
        <v>11</v>
      </c>
      <c r="B1174">
        <v>2023</v>
      </c>
      <c r="C1174" t="s">
        <v>34</v>
      </c>
      <c r="D1174" t="s">
        <v>199</v>
      </c>
      <c r="E1174" t="s">
        <v>827</v>
      </c>
      <c r="F1174" t="s">
        <v>181</v>
      </c>
      <c r="G1174">
        <v>0.25</v>
      </c>
      <c r="H1174" t="s">
        <v>202</v>
      </c>
    </row>
    <row r="1175" spans="1:8" hidden="1">
      <c r="A1175" t="s">
        <v>11</v>
      </c>
      <c r="B1175">
        <v>2023</v>
      </c>
      <c r="C1175" t="s">
        <v>34</v>
      </c>
      <c r="D1175" t="s">
        <v>197</v>
      </c>
      <c r="E1175" t="s">
        <v>827</v>
      </c>
      <c r="F1175" t="s">
        <v>181</v>
      </c>
      <c r="G1175">
        <v>0.25</v>
      </c>
      <c r="H1175" t="s">
        <v>202</v>
      </c>
    </row>
    <row r="1176" spans="1:8" hidden="1">
      <c r="A1176" t="s">
        <v>11</v>
      </c>
      <c r="B1176">
        <v>2023</v>
      </c>
      <c r="C1176" t="s">
        <v>34</v>
      </c>
      <c r="D1176" t="s">
        <v>199</v>
      </c>
      <c r="E1176" t="s">
        <v>827</v>
      </c>
      <c r="F1176" t="s">
        <v>181</v>
      </c>
      <c r="G1176">
        <v>0.75</v>
      </c>
      <c r="H1176" t="s">
        <v>740</v>
      </c>
    </row>
    <row r="1177" spans="1:8" hidden="1">
      <c r="A1177" t="s">
        <v>11</v>
      </c>
      <c r="B1177">
        <v>2023</v>
      </c>
      <c r="C1177" t="s">
        <v>34</v>
      </c>
      <c r="D1177" t="s">
        <v>197</v>
      </c>
      <c r="E1177" t="s">
        <v>827</v>
      </c>
      <c r="F1177" t="s">
        <v>181</v>
      </c>
      <c r="G1177">
        <v>0.75</v>
      </c>
      <c r="H1177" t="s">
        <v>740</v>
      </c>
    </row>
    <row r="1178" spans="1:8" hidden="1">
      <c r="A1178" t="s">
        <v>11</v>
      </c>
      <c r="B1178">
        <v>2023</v>
      </c>
      <c r="C1178" t="s">
        <v>34</v>
      </c>
      <c r="D1178" t="s">
        <v>203</v>
      </c>
      <c r="E1178" t="s">
        <v>827</v>
      </c>
      <c r="F1178" t="s">
        <v>181</v>
      </c>
      <c r="G1178">
        <v>1</v>
      </c>
      <c r="H1178" t="s">
        <v>805</v>
      </c>
    </row>
    <row r="1179" spans="1:8" hidden="1">
      <c r="A1179" t="s">
        <v>11</v>
      </c>
      <c r="B1179">
        <v>2023</v>
      </c>
      <c r="C1179" t="s">
        <v>34</v>
      </c>
      <c r="D1179" t="s">
        <v>180</v>
      </c>
      <c r="E1179" t="s">
        <v>806</v>
      </c>
      <c r="F1179" t="s">
        <v>181</v>
      </c>
      <c r="G1179">
        <v>1</v>
      </c>
      <c r="H1179" t="s">
        <v>201</v>
      </c>
    </row>
    <row r="1180" spans="1:8" hidden="1">
      <c r="A1180" t="s">
        <v>11</v>
      </c>
      <c r="B1180">
        <v>2023</v>
      </c>
      <c r="C1180" t="s">
        <v>34</v>
      </c>
      <c r="D1180" t="s">
        <v>180</v>
      </c>
      <c r="E1180" t="s">
        <v>807</v>
      </c>
      <c r="F1180" t="s">
        <v>181</v>
      </c>
      <c r="G1180">
        <v>1</v>
      </c>
      <c r="H1180" t="s">
        <v>201</v>
      </c>
    </row>
    <row r="1181" spans="1:8" hidden="1">
      <c r="A1181" t="s">
        <v>11</v>
      </c>
      <c r="B1181">
        <v>2023</v>
      </c>
      <c r="C1181" t="s">
        <v>34</v>
      </c>
      <c r="D1181" t="s">
        <v>180</v>
      </c>
      <c r="E1181" t="s">
        <v>808</v>
      </c>
      <c r="F1181" t="s">
        <v>181</v>
      </c>
      <c r="G1181">
        <v>1</v>
      </c>
      <c r="H1181" t="s">
        <v>804</v>
      </c>
    </row>
    <row r="1182" spans="1:8" hidden="1">
      <c r="A1182" t="s">
        <v>11</v>
      </c>
      <c r="B1182">
        <v>2023</v>
      </c>
      <c r="C1182" t="s">
        <v>34</v>
      </c>
      <c r="D1182" t="s">
        <v>180</v>
      </c>
      <c r="E1182" t="s">
        <v>809</v>
      </c>
      <c r="F1182" t="s">
        <v>181</v>
      </c>
      <c r="G1182">
        <v>4</v>
      </c>
      <c r="H1182" t="s">
        <v>285</v>
      </c>
    </row>
    <row r="1183" spans="1:8" hidden="1">
      <c r="A1183" t="s">
        <v>11</v>
      </c>
      <c r="B1183">
        <v>2023</v>
      </c>
      <c r="C1183" t="s">
        <v>34</v>
      </c>
      <c r="D1183" t="s">
        <v>180</v>
      </c>
      <c r="E1183" t="s">
        <v>291</v>
      </c>
      <c r="F1183" t="s">
        <v>181</v>
      </c>
      <c r="G1183">
        <v>1</v>
      </c>
      <c r="H1183" t="s">
        <v>216</v>
      </c>
    </row>
    <row r="1184" spans="1:8" hidden="1">
      <c r="A1184" t="s">
        <v>11</v>
      </c>
      <c r="B1184">
        <v>2023</v>
      </c>
      <c r="C1184" t="s">
        <v>34</v>
      </c>
      <c r="D1184" t="s">
        <v>180</v>
      </c>
      <c r="E1184" t="s">
        <v>810</v>
      </c>
      <c r="F1184" t="s">
        <v>181</v>
      </c>
      <c r="G1184">
        <v>1</v>
      </c>
      <c r="H1184" t="s">
        <v>216</v>
      </c>
    </row>
    <row r="1185" spans="1:8" hidden="1">
      <c r="A1185" t="s">
        <v>11</v>
      </c>
      <c r="B1185">
        <v>2023</v>
      </c>
      <c r="C1185" t="s">
        <v>34</v>
      </c>
      <c r="D1185" t="s">
        <v>180</v>
      </c>
      <c r="E1185" t="s">
        <v>811</v>
      </c>
      <c r="F1185" t="s">
        <v>181</v>
      </c>
      <c r="G1185">
        <v>2</v>
      </c>
      <c r="H1185" t="s">
        <v>216</v>
      </c>
    </row>
    <row r="1186" spans="1:8" hidden="1">
      <c r="A1186" t="s">
        <v>11</v>
      </c>
      <c r="B1186">
        <v>2023</v>
      </c>
      <c r="C1186" t="s">
        <v>34</v>
      </c>
      <c r="D1186" t="s">
        <v>180</v>
      </c>
      <c r="E1186" t="s">
        <v>812</v>
      </c>
      <c r="F1186" t="s">
        <v>181</v>
      </c>
      <c r="G1186">
        <v>1</v>
      </c>
      <c r="H1186" t="s">
        <v>216</v>
      </c>
    </row>
    <row r="1187" spans="1:8" hidden="1">
      <c r="A1187" t="s">
        <v>11</v>
      </c>
      <c r="B1187">
        <v>2023</v>
      </c>
      <c r="C1187" t="s">
        <v>34</v>
      </c>
      <c r="D1187" t="s">
        <v>180</v>
      </c>
      <c r="E1187" t="s">
        <v>813</v>
      </c>
      <c r="F1187" t="s">
        <v>181</v>
      </c>
      <c r="G1187">
        <v>0.67</v>
      </c>
      <c r="H1187" t="s">
        <v>216</v>
      </c>
    </row>
    <row r="1188" spans="1:8" hidden="1">
      <c r="A1188" t="s">
        <v>11</v>
      </c>
      <c r="B1188">
        <v>2023</v>
      </c>
      <c r="C1188" t="s">
        <v>34</v>
      </c>
      <c r="D1188" t="s">
        <v>180</v>
      </c>
      <c r="E1188" t="s">
        <v>814</v>
      </c>
      <c r="F1188" t="s">
        <v>181</v>
      </c>
      <c r="G1188">
        <v>1</v>
      </c>
      <c r="H1188" t="s">
        <v>216</v>
      </c>
    </row>
    <row r="1189" spans="1:8" hidden="1">
      <c r="A1189" t="s">
        <v>11</v>
      </c>
      <c r="B1189">
        <v>2023</v>
      </c>
      <c r="C1189" t="s">
        <v>34</v>
      </c>
      <c r="D1189" t="s">
        <v>188</v>
      </c>
      <c r="E1189" t="s">
        <v>827</v>
      </c>
      <c r="F1189" t="s">
        <v>181</v>
      </c>
      <c r="G1189">
        <v>1</v>
      </c>
      <c r="H1189" t="s">
        <v>815</v>
      </c>
    </row>
    <row r="1190" spans="1:8" hidden="1">
      <c r="A1190" t="s">
        <v>11</v>
      </c>
      <c r="B1190">
        <v>2023</v>
      </c>
      <c r="C1190" t="s">
        <v>34</v>
      </c>
      <c r="D1190" t="s">
        <v>180</v>
      </c>
      <c r="E1190" t="s">
        <v>807</v>
      </c>
      <c r="F1190" t="s">
        <v>181</v>
      </c>
      <c r="G1190">
        <v>3.75</v>
      </c>
      <c r="H1190" t="s">
        <v>861</v>
      </c>
    </row>
    <row r="1191" spans="1:8" hidden="1">
      <c r="A1191" t="s">
        <v>11</v>
      </c>
      <c r="B1191">
        <v>2023</v>
      </c>
      <c r="C1191" t="s">
        <v>34</v>
      </c>
      <c r="D1191" t="s">
        <v>199</v>
      </c>
      <c r="F1191" t="s">
        <v>181</v>
      </c>
      <c r="G1191">
        <v>2.5</v>
      </c>
      <c r="H1191" t="s">
        <v>862</v>
      </c>
    </row>
    <row r="1192" spans="1:8" hidden="1">
      <c r="A1192" t="s">
        <v>11</v>
      </c>
      <c r="B1192">
        <v>2023</v>
      </c>
      <c r="C1192" t="s">
        <v>34</v>
      </c>
      <c r="D1192" t="s">
        <v>188</v>
      </c>
      <c r="F1192" t="s">
        <v>208</v>
      </c>
      <c r="G1192">
        <v>3</v>
      </c>
      <c r="H1192" t="s">
        <v>863</v>
      </c>
    </row>
    <row r="1193" spans="1:8" hidden="1">
      <c r="A1193" t="s">
        <v>11</v>
      </c>
      <c r="B1193">
        <v>2023</v>
      </c>
      <c r="C1193" t="s">
        <v>34</v>
      </c>
      <c r="D1193" t="s">
        <v>188</v>
      </c>
      <c r="F1193" t="s">
        <v>181</v>
      </c>
      <c r="G1193">
        <v>0.5</v>
      </c>
      <c r="H1193" t="s">
        <v>864</v>
      </c>
    </row>
    <row r="1194" spans="1:8" hidden="1">
      <c r="A1194" t="s">
        <v>11</v>
      </c>
      <c r="B1194">
        <v>2023</v>
      </c>
      <c r="C1194" t="s">
        <v>34</v>
      </c>
      <c r="D1194" t="s">
        <v>200</v>
      </c>
      <c r="F1194" t="s">
        <v>181</v>
      </c>
      <c r="G1194">
        <v>2</v>
      </c>
      <c r="H1194" t="s">
        <v>865</v>
      </c>
    </row>
    <row r="1195" spans="1:8" hidden="1">
      <c r="A1195" t="s">
        <v>11</v>
      </c>
      <c r="B1195">
        <v>2023</v>
      </c>
      <c r="C1195" t="s">
        <v>34</v>
      </c>
      <c r="D1195" t="s">
        <v>191</v>
      </c>
      <c r="F1195" t="s">
        <v>208</v>
      </c>
      <c r="G1195">
        <v>1</v>
      </c>
      <c r="H1195" t="s">
        <v>866</v>
      </c>
    </row>
    <row r="1196" spans="1:8" hidden="1">
      <c r="A1196" t="s">
        <v>11</v>
      </c>
      <c r="B1196">
        <v>2023</v>
      </c>
      <c r="C1196" t="s">
        <v>34</v>
      </c>
      <c r="D1196" t="s">
        <v>180</v>
      </c>
      <c r="F1196" t="s">
        <v>181</v>
      </c>
      <c r="G1196">
        <v>0.5</v>
      </c>
      <c r="H1196" t="s">
        <v>867</v>
      </c>
    </row>
    <row r="1197" spans="1:8" hidden="1">
      <c r="A1197" t="s">
        <v>11</v>
      </c>
      <c r="B1197">
        <v>2023</v>
      </c>
      <c r="C1197" t="s">
        <v>34</v>
      </c>
      <c r="D1197" t="s">
        <v>191</v>
      </c>
      <c r="F1197" t="s">
        <v>208</v>
      </c>
      <c r="G1197">
        <v>2.5</v>
      </c>
      <c r="H1197" t="s">
        <v>868</v>
      </c>
    </row>
    <row r="1198" spans="1:8" hidden="1">
      <c r="A1198" t="s">
        <v>11</v>
      </c>
      <c r="B1198">
        <v>2023</v>
      </c>
      <c r="C1198" t="s">
        <v>34</v>
      </c>
      <c r="D1198" t="s">
        <v>199</v>
      </c>
      <c r="F1198" t="s">
        <v>181</v>
      </c>
      <c r="G1198">
        <v>1</v>
      </c>
      <c r="H1198" t="s">
        <v>869</v>
      </c>
    </row>
    <row r="1199" spans="1:8" hidden="1">
      <c r="A1199" t="s">
        <v>11</v>
      </c>
      <c r="B1199">
        <v>2023</v>
      </c>
      <c r="C1199" t="s">
        <v>34</v>
      </c>
      <c r="D1199" t="s">
        <v>188</v>
      </c>
      <c r="F1199" t="s">
        <v>208</v>
      </c>
      <c r="G1199">
        <v>2</v>
      </c>
      <c r="H1199" t="s">
        <v>870</v>
      </c>
    </row>
    <row r="1200" spans="1:8" hidden="1">
      <c r="A1200" t="s">
        <v>11</v>
      </c>
      <c r="B1200">
        <v>2023</v>
      </c>
      <c r="C1200" t="s">
        <v>34</v>
      </c>
      <c r="D1200" t="s">
        <v>203</v>
      </c>
      <c r="F1200" t="s">
        <v>208</v>
      </c>
      <c r="G1200">
        <v>3.5</v>
      </c>
      <c r="H1200" t="s">
        <v>871</v>
      </c>
    </row>
    <row r="1201" spans="1:8" hidden="1">
      <c r="A1201" t="s">
        <v>11</v>
      </c>
      <c r="B1201">
        <v>2023</v>
      </c>
      <c r="C1201" t="s">
        <v>34</v>
      </c>
      <c r="D1201" t="s">
        <v>188</v>
      </c>
      <c r="F1201" t="s">
        <v>208</v>
      </c>
      <c r="G1201">
        <v>2.66</v>
      </c>
      <c r="H1201" t="s">
        <v>822</v>
      </c>
    </row>
    <row r="1202" spans="1:8" hidden="1">
      <c r="A1202" t="s">
        <v>11</v>
      </c>
      <c r="B1202">
        <v>2023</v>
      </c>
      <c r="C1202" t="s">
        <v>34</v>
      </c>
      <c r="D1202" t="s">
        <v>188</v>
      </c>
      <c r="F1202" t="s">
        <v>208</v>
      </c>
      <c r="G1202">
        <v>7.22</v>
      </c>
      <c r="H1202" t="s">
        <v>823</v>
      </c>
    </row>
    <row r="1203" spans="1:8" hidden="1">
      <c r="A1203" t="s">
        <v>11</v>
      </c>
      <c r="B1203">
        <v>2023</v>
      </c>
      <c r="C1203" t="s">
        <v>34</v>
      </c>
      <c r="D1203" t="s">
        <v>188</v>
      </c>
      <c r="F1203" t="s">
        <v>208</v>
      </c>
      <c r="G1203">
        <v>3.97</v>
      </c>
      <c r="H1203" t="s">
        <v>824</v>
      </c>
    </row>
    <row r="1204" spans="1:8" hidden="1">
      <c r="A1204" t="s">
        <v>11</v>
      </c>
      <c r="B1204">
        <v>2023</v>
      </c>
      <c r="C1204" t="s">
        <v>38</v>
      </c>
      <c r="D1204" t="s">
        <v>180</v>
      </c>
      <c r="E1204" t="s">
        <v>799</v>
      </c>
      <c r="F1204" t="s">
        <v>181</v>
      </c>
      <c r="G1204">
        <v>6</v>
      </c>
      <c r="H1204" t="s">
        <v>216</v>
      </c>
    </row>
    <row r="1205" spans="1:8" hidden="1">
      <c r="A1205" t="s">
        <v>11</v>
      </c>
      <c r="B1205">
        <v>2023</v>
      </c>
      <c r="C1205" t="s">
        <v>38</v>
      </c>
      <c r="D1205" t="s">
        <v>180</v>
      </c>
      <c r="E1205" t="s">
        <v>339</v>
      </c>
      <c r="F1205" t="s">
        <v>181</v>
      </c>
      <c r="G1205">
        <v>2</v>
      </c>
      <c r="H1205" t="s">
        <v>216</v>
      </c>
    </row>
    <row r="1206" spans="1:8" hidden="1">
      <c r="A1206" t="s">
        <v>11</v>
      </c>
      <c r="B1206">
        <v>2023</v>
      </c>
      <c r="C1206" t="s">
        <v>38</v>
      </c>
      <c r="D1206" t="s">
        <v>184</v>
      </c>
      <c r="E1206" t="s">
        <v>827</v>
      </c>
      <c r="F1206" t="s">
        <v>181</v>
      </c>
      <c r="G1206">
        <v>2</v>
      </c>
      <c r="H1206" t="s">
        <v>216</v>
      </c>
    </row>
    <row r="1207" spans="1:8" hidden="1">
      <c r="A1207" t="s">
        <v>11</v>
      </c>
      <c r="B1207">
        <v>2023</v>
      </c>
      <c r="C1207" t="s">
        <v>38</v>
      </c>
      <c r="D1207" t="s">
        <v>180</v>
      </c>
      <c r="E1207" t="s">
        <v>800</v>
      </c>
      <c r="F1207" t="s">
        <v>181</v>
      </c>
      <c r="G1207">
        <v>1</v>
      </c>
      <c r="H1207" t="s">
        <v>216</v>
      </c>
    </row>
    <row r="1208" spans="1:8" hidden="1">
      <c r="A1208" t="s">
        <v>11</v>
      </c>
      <c r="B1208">
        <v>2023</v>
      </c>
      <c r="C1208" t="s">
        <v>38</v>
      </c>
      <c r="D1208" t="s">
        <v>180</v>
      </c>
      <c r="E1208" t="s">
        <v>801</v>
      </c>
      <c r="F1208" t="s">
        <v>181</v>
      </c>
      <c r="G1208">
        <v>1</v>
      </c>
      <c r="H1208" t="s">
        <v>216</v>
      </c>
    </row>
    <row r="1209" spans="1:8" hidden="1">
      <c r="A1209" t="s">
        <v>11</v>
      </c>
      <c r="B1209">
        <v>2023</v>
      </c>
      <c r="C1209" t="s">
        <v>38</v>
      </c>
      <c r="D1209" t="s">
        <v>188</v>
      </c>
      <c r="E1209" t="s">
        <v>827</v>
      </c>
      <c r="F1209" t="s">
        <v>181</v>
      </c>
      <c r="G1209">
        <v>6</v>
      </c>
      <c r="H1209" t="s">
        <v>802</v>
      </c>
    </row>
    <row r="1210" spans="1:8" hidden="1">
      <c r="A1210" t="s">
        <v>11</v>
      </c>
      <c r="B1210">
        <v>2023</v>
      </c>
      <c r="C1210" t="s">
        <v>38</v>
      </c>
      <c r="D1210" t="s">
        <v>180</v>
      </c>
      <c r="E1210" t="s">
        <v>803</v>
      </c>
      <c r="F1210" t="s">
        <v>181</v>
      </c>
      <c r="G1210">
        <v>1</v>
      </c>
      <c r="H1210" t="s">
        <v>804</v>
      </c>
    </row>
    <row r="1211" spans="1:8" hidden="1">
      <c r="A1211" t="s">
        <v>11</v>
      </c>
      <c r="B1211">
        <v>2023</v>
      </c>
      <c r="C1211" t="s">
        <v>38</v>
      </c>
      <c r="D1211" t="s">
        <v>180</v>
      </c>
      <c r="E1211" t="s">
        <v>797</v>
      </c>
      <c r="F1211" t="s">
        <v>181</v>
      </c>
      <c r="G1211">
        <v>3</v>
      </c>
      <c r="H1211" t="s">
        <v>802</v>
      </c>
    </row>
    <row r="1212" spans="1:8" hidden="1">
      <c r="A1212" t="s">
        <v>11</v>
      </c>
      <c r="B1212">
        <v>2023</v>
      </c>
      <c r="C1212" t="s">
        <v>38</v>
      </c>
      <c r="D1212" t="s">
        <v>191</v>
      </c>
      <c r="E1212" t="s">
        <v>827</v>
      </c>
      <c r="F1212" t="s">
        <v>181</v>
      </c>
      <c r="G1212">
        <v>3</v>
      </c>
      <c r="H1212" t="s">
        <v>802</v>
      </c>
    </row>
    <row r="1213" spans="1:8" hidden="1">
      <c r="A1213" t="s">
        <v>11</v>
      </c>
      <c r="B1213">
        <v>2023</v>
      </c>
      <c r="C1213" t="s">
        <v>38</v>
      </c>
      <c r="D1213" t="s">
        <v>200</v>
      </c>
      <c r="E1213" t="s">
        <v>827</v>
      </c>
      <c r="F1213" t="s">
        <v>181</v>
      </c>
      <c r="G1213">
        <v>1</v>
      </c>
      <c r="H1213" t="s">
        <v>804</v>
      </c>
    </row>
    <row r="1214" spans="1:8" hidden="1">
      <c r="A1214" t="s">
        <v>11</v>
      </c>
      <c r="B1214">
        <v>2023</v>
      </c>
      <c r="C1214" t="s">
        <v>38</v>
      </c>
      <c r="D1214" t="s">
        <v>199</v>
      </c>
      <c r="E1214" t="s">
        <v>827</v>
      </c>
      <c r="F1214" t="s">
        <v>181</v>
      </c>
      <c r="G1214">
        <v>0.25</v>
      </c>
      <c r="H1214" t="s">
        <v>202</v>
      </c>
    </row>
    <row r="1215" spans="1:8" hidden="1">
      <c r="A1215" t="s">
        <v>11</v>
      </c>
      <c r="B1215">
        <v>2023</v>
      </c>
      <c r="C1215" t="s">
        <v>38</v>
      </c>
      <c r="D1215" t="s">
        <v>197</v>
      </c>
      <c r="E1215" t="s">
        <v>827</v>
      </c>
      <c r="F1215" t="s">
        <v>181</v>
      </c>
      <c r="G1215">
        <v>0.25</v>
      </c>
      <c r="H1215" t="s">
        <v>202</v>
      </c>
    </row>
    <row r="1216" spans="1:8" hidden="1">
      <c r="A1216" t="s">
        <v>11</v>
      </c>
      <c r="B1216">
        <v>2023</v>
      </c>
      <c r="C1216" t="s">
        <v>38</v>
      </c>
      <c r="D1216" t="s">
        <v>199</v>
      </c>
      <c r="E1216" t="s">
        <v>827</v>
      </c>
      <c r="F1216" t="s">
        <v>181</v>
      </c>
      <c r="G1216">
        <v>0.75</v>
      </c>
      <c r="H1216" t="s">
        <v>740</v>
      </c>
    </row>
    <row r="1217" spans="1:8" hidden="1">
      <c r="A1217" t="s">
        <v>11</v>
      </c>
      <c r="B1217">
        <v>2023</v>
      </c>
      <c r="C1217" t="s">
        <v>38</v>
      </c>
      <c r="D1217" t="s">
        <v>197</v>
      </c>
      <c r="E1217" t="s">
        <v>827</v>
      </c>
      <c r="F1217" t="s">
        <v>181</v>
      </c>
      <c r="G1217">
        <v>0.75</v>
      </c>
      <c r="H1217" t="s">
        <v>740</v>
      </c>
    </row>
    <row r="1218" spans="1:8" hidden="1">
      <c r="A1218" t="s">
        <v>11</v>
      </c>
      <c r="B1218">
        <v>2023</v>
      </c>
      <c r="C1218" t="s">
        <v>38</v>
      </c>
      <c r="D1218" t="s">
        <v>203</v>
      </c>
      <c r="E1218" t="s">
        <v>827</v>
      </c>
      <c r="F1218" t="s">
        <v>181</v>
      </c>
      <c r="G1218">
        <v>1</v>
      </c>
      <c r="H1218" t="s">
        <v>805</v>
      </c>
    </row>
    <row r="1219" spans="1:8" hidden="1">
      <c r="A1219" t="s">
        <v>11</v>
      </c>
      <c r="B1219">
        <v>2023</v>
      </c>
      <c r="C1219" t="s">
        <v>38</v>
      </c>
      <c r="D1219" t="s">
        <v>180</v>
      </c>
      <c r="E1219" t="s">
        <v>806</v>
      </c>
      <c r="F1219" t="s">
        <v>181</v>
      </c>
      <c r="G1219">
        <v>1</v>
      </c>
      <c r="H1219" t="s">
        <v>201</v>
      </c>
    </row>
    <row r="1220" spans="1:8" hidden="1">
      <c r="A1220" t="s">
        <v>11</v>
      </c>
      <c r="B1220">
        <v>2023</v>
      </c>
      <c r="C1220" t="s">
        <v>38</v>
      </c>
      <c r="D1220" t="s">
        <v>180</v>
      </c>
      <c r="E1220" t="s">
        <v>807</v>
      </c>
      <c r="F1220" t="s">
        <v>181</v>
      </c>
      <c r="G1220">
        <v>1</v>
      </c>
      <c r="H1220" t="s">
        <v>201</v>
      </c>
    </row>
    <row r="1221" spans="1:8" hidden="1">
      <c r="A1221" t="s">
        <v>11</v>
      </c>
      <c r="B1221">
        <v>2023</v>
      </c>
      <c r="C1221" t="s">
        <v>38</v>
      </c>
      <c r="D1221" t="s">
        <v>180</v>
      </c>
      <c r="E1221" t="s">
        <v>808</v>
      </c>
      <c r="F1221" t="s">
        <v>181</v>
      </c>
      <c r="G1221">
        <v>1</v>
      </c>
      <c r="H1221" t="s">
        <v>804</v>
      </c>
    </row>
    <row r="1222" spans="1:8" hidden="1">
      <c r="A1222" t="s">
        <v>11</v>
      </c>
      <c r="B1222">
        <v>2023</v>
      </c>
      <c r="C1222" t="s">
        <v>38</v>
      </c>
      <c r="D1222" t="s">
        <v>180</v>
      </c>
      <c r="E1222" t="s">
        <v>809</v>
      </c>
      <c r="F1222" t="s">
        <v>181</v>
      </c>
      <c r="G1222">
        <v>4</v>
      </c>
      <c r="H1222" t="s">
        <v>285</v>
      </c>
    </row>
    <row r="1223" spans="1:8" hidden="1">
      <c r="A1223" t="s">
        <v>11</v>
      </c>
      <c r="B1223">
        <v>2023</v>
      </c>
      <c r="C1223" t="s">
        <v>38</v>
      </c>
      <c r="D1223" t="s">
        <v>180</v>
      </c>
      <c r="E1223" t="s">
        <v>291</v>
      </c>
      <c r="F1223" t="s">
        <v>181</v>
      </c>
      <c r="G1223">
        <v>1</v>
      </c>
      <c r="H1223" t="s">
        <v>216</v>
      </c>
    </row>
    <row r="1224" spans="1:8" hidden="1">
      <c r="A1224" t="s">
        <v>11</v>
      </c>
      <c r="B1224">
        <v>2023</v>
      </c>
      <c r="C1224" t="s">
        <v>38</v>
      </c>
      <c r="D1224" t="s">
        <v>180</v>
      </c>
      <c r="E1224" t="s">
        <v>810</v>
      </c>
      <c r="F1224" t="s">
        <v>181</v>
      </c>
      <c r="G1224">
        <v>1</v>
      </c>
      <c r="H1224" t="s">
        <v>216</v>
      </c>
    </row>
    <row r="1225" spans="1:8" hidden="1">
      <c r="A1225" t="s">
        <v>11</v>
      </c>
      <c r="B1225">
        <v>2023</v>
      </c>
      <c r="C1225" t="s">
        <v>38</v>
      </c>
      <c r="D1225" t="s">
        <v>180</v>
      </c>
      <c r="E1225" t="s">
        <v>811</v>
      </c>
      <c r="F1225" t="s">
        <v>181</v>
      </c>
      <c r="G1225">
        <v>2</v>
      </c>
      <c r="H1225" t="s">
        <v>216</v>
      </c>
    </row>
    <row r="1226" spans="1:8" hidden="1">
      <c r="A1226" t="s">
        <v>11</v>
      </c>
      <c r="B1226">
        <v>2023</v>
      </c>
      <c r="C1226" t="s">
        <v>38</v>
      </c>
      <c r="D1226" t="s">
        <v>180</v>
      </c>
      <c r="E1226" t="s">
        <v>812</v>
      </c>
      <c r="F1226" t="s">
        <v>181</v>
      </c>
      <c r="G1226">
        <v>1</v>
      </c>
      <c r="H1226" t="s">
        <v>216</v>
      </c>
    </row>
    <row r="1227" spans="1:8" hidden="1">
      <c r="A1227" t="s">
        <v>11</v>
      </c>
      <c r="B1227">
        <v>2023</v>
      </c>
      <c r="C1227" t="s">
        <v>38</v>
      </c>
      <c r="D1227" t="s">
        <v>180</v>
      </c>
      <c r="E1227" t="s">
        <v>813</v>
      </c>
      <c r="F1227" t="s">
        <v>181</v>
      </c>
      <c r="G1227">
        <v>0.67</v>
      </c>
      <c r="H1227" t="s">
        <v>216</v>
      </c>
    </row>
    <row r="1228" spans="1:8" hidden="1">
      <c r="A1228" t="s">
        <v>11</v>
      </c>
      <c r="B1228">
        <v>2023</v>
      </c>
      <c r="C1228" t="s">
        <v>38</v>
      </c>
      <c r="D1228" t="s">
        <v>180</v>
      </c>
      <c r="E1228" t="s">
        <v>814</v>
      </c>
      <c r="F1228" t="s">
        <v>181</v>
      </c>
      <c r="G1228">
        <v>1</v>
      </c>
      <c r="H1228" t="s">
        <v>216</v>
      </c>
    </row>
    <row r="1229" spans="1:8" hidden="1">
      <c r="A1229" t="s">
        <v>11</v>
      </c>
      <c r="B1229">
        <v>2023</v>
      </c>
      <c r="C1229" t="s">
        <v>38</v>
      </c>
      <c r="D1229" t="s">
        <v>188</v>
      </c>
      <c r="E1229" t="s">
        <v>827</v>
      </c>
      <c r="F1229" t="s">
        <v>181</v>
      </c>
      <c r="G1229">
        <v>1</v>
      </c>
      <c r="H1229" t="s">
        <v>815</v>
      </c>
    </row>
    <row r="1230" spans="1:8" hidden="1">
      <c r="A1230" t="s">
        <v>11</v>
      </c>
      <c r="B1230">
        <v>2023</v>
      </c>
      <c r="C1230" t="s">
        <v>38</v>
      </c>
      <c r="D1230" t="s">
        <v>180</v>
      </c>
      <c r="E1230" t="s">
        <v>807</v>
      </c>
      <c r="F1230" t="s">
        <v>181</v>
      </c>
      <c r="G1230">
        <v>3.75</v>
      </c>
      <c r="H1230" t="s">
        <v>861</v>
      </c>
    </row>
    <row r="1231" spans="1:8" hidden="1">
      <c r="A1231" t="s">
        <v>11</v>
      </c>
      <c r="B1231">
        <v>2023</v>
      </c>
      <c r="C1231" t="s">
        <v>38</v>
      </c>
      <c r="D1231" t="s">
        <v>200</v>
      </c>
      <c r="E1231" t="s">
        <v>872</v>
      </c>
      <c r="F1231" t="s">
        <v>181</v>
      </c>
      <c r="G1231">
        <v>3</v>
      </c>
      <c r="H1231" t="s">
        <v>873</v>
      </c>
    </row>
    <row r="1232" spans="1:8" hidden="1">
      <c r="A1232" t="s">
        <v>11</v>
      </c>
      <c r="B1232">
        <v>2023</v>
      </c>
      <c r="C1232" t="s">
        <v>38</v>
      </c>
      <c r="D1232" t="s">
        <v>188</v>
      </c>
      <c r="F1232" t="s">
        <v>208</v>
      </c>
      <c r="G1232">
        <v>1.5</v>
      </c>
      <c r="H1232" t="s">
        <v>874</v>
      </c>
    </row>
    <row r="1233" spans="1:8" hidden="1">
      <c r="A1233" t="s">
        <v>11</v>
      </c>
      <c r="B1233">
        <v>2023</v>
      </c>
      <c r="C1233" t="s">
        <v>38</v>
      </c>
      <c r="D1233" t="s">
        <v>197</v>
      </c>
      <c r="F1233" t="s">
        <v>208</v>
      </c>
      <c r="G1233">
        <v>1.55</v>
      </c>
      <c r="H1233" t="s">
        <v>875</v>
      </c>
    </row>
    <row r="1234" spans="1:8" hidden="1">
      <c r="A1234" t="s">
        <v>11</v>
      </c>
      <c r="B1234">
        <v>2023</v>
      </c>
      <c r="C1234" t="s">
        <v>38</v>
      </c>
      <c r="D1234" t="s">
        <v>191</v>
      </c>
      <c r="F1234" t="s">
        <v>208</v>
      </c>
      <c r="G1234">
        <v>0.75</v>
      </c>
      <c r="H1234" t="s">
        <v>876</v>
      </c>
    </row>
    <row r="1235" spans="1:8" hidden="1">
      <c r="A1235" t="s">
        <v>11</v>
      </c>
      <c r="B1235">
        <v>2023</v>
      </c>
      <c r="C1235" t="s">
        <v>38</v>
      </c>
      <c r="D1235" t="s">
        <v>200</v>
      </c>
      <c r="F1235" t="s">
        <v>208</v>
      </c>
      <c r="G1235">
        <v>0.4</v>
      </c>
      <c r="H1235" t="s">
        <v>877</v>
      </c>
    </row>
    <row r="1236" spans="1:8" hidden="1">
      <c r="A1236" t="s">
        <v>11</v>
      </c>
      <c r="B1236">
        <v>2023</v>
      </c>
      <c r="C1236" t="s">
        <v>38</v>
      </c>
      <c r="D1236" t="s">
        <v>191</v>
      </c>
      <c r="F1236" t="s">
        <v>208</v>
      </c>
      <c r="G1236">
        <v>1.75</v>
      </c>
      <c r="H1236" t="s">
        <v>878</v>
      </c>
    </row>
    <row r="1237" spans="1:8" hidden="1">
      <c r="A1237" t="s">
        <v>11</v>
      </c>
      <c r="B1237">
        <v>2023</v>
      </c>
      <c r="C1237" t="s">
        <v>38</v>
      </c>
      <c r="D1237" t="s">
        <v>191</v>
      </c>
      <c r="F1237" t="s">
        <v>208</v>
      </c>
      <c r="G1237">
        <v>3</v>
      </c>
      <c r="H1237" t="s">
        <v>879</v>
      </c>
    </row>
    <row r="1238" spans="1:8" hidden="1">
      <c r="A1238" t="s">
        <v>11</v>
      </c>
      <c r="B1238">
        <v>2023</v>
      </c>
      <c r="C1238" t="s">
        <v>38</v>
      </c>
      <c r="D1238" t="s">
        <v>188</v>
      </c>
      <c r="F1238" t="s">
        <v>208</v>
      </c>
      <c r="G1238">
        <v>9.25</v>
      </c>
      <c r="H1238" t="s">
        <v>824</v>
      </c>
    </row>
    <row r="1239" spans="1:8" hidden="1">
      <c r="A1239" t="s">
        <v>11</v>
      </c>
      <c r="B1239">
        <v>2023</v>
      </c>
      <c r="C1239" t="s">
        <v>38</v>
      </c>
      <c r="D1239" t="s">
        <v>188</v>
      </c>
      <c r="F1239" t="s">
        <v>208</v>
      </c>
      <c r="G1239">
        <v>3.52</v>
      </c>
      <c r="H1239" t="s">
        <v>824</v>
      </c>
    </row>
    <row r="1240" spans="1:8" hidden="1">
      <c r="A1240" t="s">
        <v>11</v>
      </c>
      <c r="B1240">
        <v>2023</v>
      </c>
      <c r="C1240" t="s">
        <v>38</v>
      </c>
      <c r="D1240" t="s">
        <v>188</v>
      </c>
      <c r="F1240" t="s">
        <v>208</v>
      </c>
      <c r="G1240">
        <v>8.32</v>
      </c>
      <c r="H1240" t="s">
        <v>824</v>
      </c>
    </row>
    <row r="1241" spans="1:8" hidden="1">
      <c r="A1241" t="s">
        <v>11</v>
      </c>
      <c r="B1241">
        <v>2023</v>
      </c>
      <c r="C1241" t="s">
        <v>43</v>
      </c>
      <c r="D1241" t="s">
        <v>180</v>
      </c>
      <c r="E1241" t="s">
        <v>799</v>
      </c>
      <c r="F1241" t="s">
        <v>181</v>
      </c>
      <c r="G1241">
        <v>6</v>
      </c>
      <c r="H1241" t="s">
        <v>216</v>
      </c>
    </row>
    <row r="1242" spans="1:8" hidden="1">
      <c r="A1242" t="s">
        <v>11</v>
      </c>
      <c r="B1242">
        <v>2023</v>
      </c>
      <c r="C1242" t="s">
        <v>43</v>
      </c>
      <c r="D1242" t="s">
        <v>180</v>
      </c>
      <c r="E1242" t="s">
        <v>339</v>
      </c>
      <c r="F1242" t="s">
        <v>181</v>
      </c>
      <c r="G1242">
        <v>2</v>
      </c>
      <c r="H1242" t="s">
        <v>216</v>
      </c>
    </row>
    <row r="1243" spans="1:8" hidden="1">
      <c r="A1243" t="s">
        <v>11</v>
      </c>
      <c r="B1243">
        <v>2023</v>
      </c>
      <c r="C1243" t="s">
        <v>43</v>
      </c>
      <c r="D1243" t="s">
        <v>184</v>
      </c>
      <c r="E1243" t="s">
        <v>827</v>
      </c>
      <c r="F1243" t="s">
        <v>181</v>
      </c>
      <c r="G1243">
        <v>2</v>
      </c>
      <c r="H1243" t="s">
        <v>216</v>
      </c>
    </row>
    <row r="1244" spans="1:8" hidden="1">
      <c r="A1244" t="s">
        <v>11</v>
      </c>
      <c r="B1244">
        <v>2023</v>
      </c>
      <c r="C1244" t="s">
        <v>43</v>
      </c>
      <c r="D1244" t="s">
        <v>180</v>
      </c>
      <c r="E1244" t="s">
        <v>800</v>
      </c>
      <c r="F1244" t="s">
        <v>181</v>
      </c>
      <c r="G1244">
        <v>1</v>
      </c>
      <c r="H1244" t="s">
        <v>216</v>
      </c>
    </row>
    <row r="1245" spans="1:8" hidden="1">
      <c r="A1245" t="s">
        <v>11</v>
      </c>
      <c r="B1245">
        <v>2023</v>
      </c>
      <c r="C1245" t="s">
        <v>43</v>
      </c>
      <c r="D1245" t="s">
        <v>180</v>
      </c>
      <c r="E1245" t="s">
        <v>801</v>
      </c>
      <c r="F1245" t="s">
        <v>181</v>
      </c>
      <c r="G1245">
        <v>1</v>
      </c>
      <c r="H1245" t="s">
        <v>216</v>
      </c>
    </row>
    <row r="1246" spans="1:8" hidden="1">
      <c r="A1246" t="s">
        <v>11</v>
      </c>
      <c r="B1246">
        <v>2023</v>
      </c>
      <c r="C1246" t="s">
        <v>43</v>
      </c>
      <c r="D1246" t="s">
        <v>188</v>
      </c>
      <c r="E1246" t="s">
        <v>827</v>
      </c>
      <c r="F1246" t="s">
        <v>181</v>
      </c>
      <c r="G1246">
        <v>6</v>
      </c>
      <c r="H1246" t="s">
        <v>802</v>
      </c>
    </row>
    <row r="1247" spans="1:8" hidden="1">
      <c r="A1247" t="s">
        <v>11</v>
      </c>
      <c r="B1247">
        <v>2023</v>
      </c>
      <c r="C1247" t="s">
        <v>43</v>
      </c>
      <c r="D1247" t="s">
        <v>180</v>
      </c>
      <c r="E1247" t="s">
        <v>803</v>
      </c>
      <c r="F1247" t="s">
        <v>181</v>
      </c>
      <c r="G1247">
        <v>1</v>
      </c>
      <c r="H1247" t="s">
        <v>804</v>
      </c>
    </row>
    <row r="1248" spans="1:8" hidden="1">
      <c r="A1248" t="s">
        <v>11</v>
      </c>
      <c r="B1248">
        <v>2023</v>
      </c>
      <c r="C1248" t="s">
        <v>43</v>
      </c>
      <c r="D1248" t="s">
        <v>180</v>
      </c>
      <c r="E1248" t="s">
        <v>797</v>
      </c>
      <c r="F1248" t="s">
        <v>181</v>
      </c>
      <c r="G1248">
        <v>3</v>
      </c>
      <c r="H1248" t="s">
        <v>802</v>
      </c>
    </row>
    <row r="1249" spans="1:8" hidden="1">
      <c r="A1249" t="s">
        <v>11</v>
      </c>
      <c r="B1249">
        <v>2023</v>
      </c>
      <c r="C1249" t="s">
        <v>43</v>
      </c>
      <c r="D1249" t="s">
        <v>191</v>
      </c>
      <c r="E1249" t="s">
        <v>827</v>
      </c>
      <c r="F1249" t="s">
        <v>181</v>
      </c>
      <c r="G1249">
        <v>3</v>
      </c>
      <c r="H1249" t="s">
        <v>802</v>
      </c>
    </row>
    <row r="1250" spans="1:8" hidden="1">
      <c r="A1250" t="s">
        <v>11</v>
      </c>
      <c r="B1250">
        <v>2023</v>
      </c>
      <c r="C1250" t="s">
        <v>43</v>
      </c>
      <c r="D1250" t="s">
        <v>200</v>
      </c>
      <c r="E1250" t="s">
        <v>827</v>
      </c>
      <c r="F1250" t="s">
        <v>181</v>
      </c>
      <c r="G1250">
        <v>1</v>
      </c>
      <c r="H1250" t="s">
        <v>804</v>
      </c>
    </row>
    <row r="1251" spans="1:8" hidden="1">
      <c r="A1251" t="s">
        <v>11</v>
      </c>
      <c r="B1251">
        <v>2023</v>
      </c>
      <c r="C1251" t="s">
        <v>43</v>
      </c>
      <c r="D1251" t="s">
        <v>199</v>
      </c>
      <c r="E1251" t="s">
        <v>827</v>
      </c>
      <c r="F1251" t="s">
        <v>181</v>
      </c>
      <c r="G1251">
        <v>0.25</v>
      </c>
      <c r="H1251" t="s">
        <v>202</v>
      </c>
    </row>
    <row r="1252" spans="1:8" hidden="1">
      <c r="A1252" t="s">
        <v>11</v>
      </c>
      <c r="B1252">
        <v>2023</v>
      </c>
      <c r="C1252" t="s">
        <v>43</v>
      </c>
      <c r="D1252" t="s">
        <v>197</v>
      </c>
      <c r="E1252" t="s">
        <v>827</v>
      </c>
      <c r="F1252" t="s">
        <v>181</v>
      </c>
      <c r="G1252">
        <v>0.25</v>
      </c>
      <c r="H1252" t="s">
        <v>202</v>
      </c>
    </row>
    <row r="1253" spans="1:8" hidden="1">
      <c r="A1253" t="s">
        <v>11</v>
      </c>
      <c r="B1253">
        <v>2023</v>
      </c>
      <c r="C1253" t="s">
        <v>43</v>
      </c>
      <c r="D1253" t="s">
        <v>199</v>
      </c>
      <c r="E1253" t="s">
        <v>827</v>
      </c>
      <c r="F1253" t="s">
        <v>181</v>
      </c>
      <c r="G1253">
        <v>0.75</v>
      </c>
      <c r="H1253" t="s">
        <v>740</v>
      </c>
    </row>
    <row r="1254" spans="1:8" hidden="1">
      <c r="A1254" t="s">
        <v>11</v>
      </c>
      <c r="B1254">
        <v>2023</v>
      </c>
      <c r="C1254" t="s">
        <v>43</v>
      </c>
      <c r="D1254" t="s">
        <v>197</v>
      </c>
      <c r="E1254" t="s">
        <v>827</v>
      </c>
      <c r="F1254" t="s">
        <v>181</v>
      </c>
      <c r="G1254">
        <v>0.75</v>
      </c>
      <c r="H1254" t="s">
        <v>740</v>
      </c>
    </row>
    <row r="1255" spans="1:8" hidden="1">
      <c r="A1255" t="s">
        <v>11</v>
      </c>
      <c r="B1255">
        <v>2023</v>
      </c>
      <c r="C1255" t="s">
        <v>43</v>
      </c>
      <c r="D1255" t="s">
        <v>203</v>
      </c>
      <c r="E1255" t="s">
        <v>827</v>
      </c>
      <c r="F1255" t="s">
        <v>181</v>
      </c>
      <c r="G1255">
        <v>1</v>
      </c>
      <c r="H1255" t="s">
        <v>805</v>
      </c>
    </row>
    <row r="1256" spans="1:8" hidden="1">
      <c r="A1256" t="s">
        <v>11</v>
      </c>
      <c r="B1256">
        <v>2023</v>
      </c>
      <c r="C1256" t="s">
        <v>43</v>
      </c>
      <c r="D1256" t="s">
        <v>180</v>
      </c>
      <c r="E1256" t="s">
        <v>806</v>
      </c>
      <c r="F1256" t="s">
        <v>181</v>
      </c>
      <c r="G1256">
        <v>1</v>
      </c>
      <c r="H1256" t="s">
        <v>201</v>
      </c>
    </row>
    <row r="1257" spans="1:8" hidden="1">
      <c r="A1257" t="s">
        <v>11</v>
      </c>
      <c r="B1257">
        <v>2023</v>
      </c>
      <c r="C1257" t="s">
        <v>43</v>
      </c>
      <c r="D1257" t="s">
        <v>180</v>
      </c>
      <c r="E1257" t="s">
        <v>807</v>
      </c>
      <c r="F1257" t="s">
        <v>181</v>
      </c>
      <c r="G1257">
        <v>1</v>
      </c>
      <c r="H1257" t="s">
        <v>201</v>
      </c>
    </row>
    <row r="1258" spans="1:8" hidden="1">
      <c r="A1258" t="s">
        <v>11</v>
      </c>
      <c r="B1258">
        <v>2023</v>
      </c>
      <c r="C1258" t="s">
        <v>43</v>
      </c>
      <c r="D1258" t="s">
        <v>180</v>
      </c>
      <c r="E1258" t="s">
        <v>808</v>
      </c>
      <c r="F1258" t="s">
        <v>181</v>
      </c>
      <c r="G1258">
        <v>1</v>
      </c>
      <c r="H1258" t="s">
        <v>804</v>
      </c>
    </row>
    <row r="1259" spans="1:8" hidden="1">
      <c r="A1259" t="s">
        <v>11</v>
      </c>
      <c r="B1259">
        <v>2023</v>
      </c>
      <c r="C1259" t="s">
        <v>43</v>
      </c>
      <c r="D1259" t="s">
        <v>180</v>
      </c>
      <c r="E1259" t="s">
        <v>809</v>
      </c>
      <c r="F1259" t="s">
        <v>181</v>
      </c>
      <c r="G1259">
        <v>4</v>
      </c>
      <c r="H1259" t="s">
        <v>285</v>
      </c>
    </row>
    <row r="1260" spans="1:8" hidden="1">
      <c r="A1260" t="s">
        <v>11</v>
      </c>
      <c r="B1260">
        <v>2023</v>
      </c>
      <c r="C1260" t="s">
        <v>43</v>
      </c>
      <c r="D1260" t="s">
        <v>180</v>
      </c>
      <c r="E1260" t="s">
        <v>291</v>
      </c>
      <c r="F1260" t="s">
        <v>181</v>
      </c>
      <c r="G1260">
        <v>1</v>
      </c>
      <c r="H1260" t="s">
        <v>216</v>
      </c>
    </row>
    <row r="1261" spans="1:8" hidden="1">
      <c r="A1261" t="s">
        <v>11</v>
      </c>
      <c r="B1261">
        <v>2023</v>
      </c>
      <c r="C1261" t="s">
        <v>43</v>
      </c>
      <c r="D1261" t="s">
        <v>180</v>
      </c>
      <c r="E1261" t="s">
        <v>810</v>
      </c>
      <c r="F1261" t="s">
        <v>181</v>
      </c>
      <c r="G1261">
        <v>1</v>
      </c>
      <c r="H1261" t="s">
        <v>216</v>
      </c>
    </row>
    <row r="1262" spans="1:8" hidden="1">
      <c r="A1262" t="s">
        <v>11</v>
      </c>
      <c r="B1262">
        <v>2023</v>
      </c>
      <c r="C1262" t="s">
        <v>43</v>
      </c>
      <c r="D1262" t="s">
        <v>180</v>
      </c>
      <c r="E1262" t="s">
        <v>811</v>
      </c>
      <c r="F1262" t="s">
        <v>181</v>
      </c>
      <c r="G1262">
        <v>2</v>
      </c>
      <c r="H1262" t="s">
        <v>216</v>
      </c>
    </row>
    <row r="1263" spans="1:8" hidden="1">
      <c r="A1263" t="s">
        <v>11</v>
      </c>
      <c r="B1263">
        <v>2023</v>
      </c>
      <c r="C1263" t="s">
        <v>43</v>
      </c>
      <c r="D1263" t="s">
        <v>180</v>
      </c>
      <c r="E1263" t="s">
        <v>812</v>
      </c>
      <c r="F1263" t="s">
        <v>181</v>
      </c>
      <c r="G1263">
        <v>1</v>
      </c>
      <c r="H1263" t="s">
        <v>216</v>
      </c>
    </row>
    <row r="1264" spans="1:8" hidden="1">
      <c r="A1264" t="s">
        <v>11</v>
      </c>
      <c r="B1264">
        <v>2023</v>
      </c>
      <c r="C1264" t="s">
        <v>43</v>
      </c>
      <c r="D1264" t="s">
        <v>180</v>
      </c>
      <c r="E1264" t="s">
        <v>813</v>
      </c>
      <c r="F1264" t="s">
        <v>181</v>
      </c>
      <c r="G1264">
        <v>0.67</v>
      </c>
      <c r="H1264" t="s">
        <v>216</v>
      </c>
    </row>
    <row r="1265" spans="1:8" hidden="1">
      <c r="A1265" t="s">
        <v>11</v>
      </c>
      <c r="B1265">
        <v>2023</v>
      </c>
      <c r="C1265" t="s">
        <v>43</v>
      </c>
      <c r="D1265" t="s">
        <v>180</v>
      </c>
      <c r="E1265" t="s">
        <v>814</v>
      </c>
      <c r="F1265" t="s">
        <v>181</v>
      </c>
      <c r="G1265">
        <v>1</v>
      </c>
      <c r="H1265" t="s">
        <v>216</v>
      </c>
    </row>
    <row r="1266" spans="1:8" hidden="1">
      <c r="A1266" t="s">
        <v>11</v>
      </c>
      <c r="B1266">
        <v>2023</v>
      </c>
      <c r="C1266" t="s">
        <v>43</v>
      </c>
      <c r="D1266" t="s">
        <v>188</v>
      </c>
      <c r="E1266" t="s">
        <v>827</v>
      </c>
      <c r="F1266" t="s">
        <v>181</v>
      </c>
      <c r="G1266">
        <v>1</v>
      </c>
      <c r="H1266" t="s">
        <v>815</v>
      </c>
    </row>
    <row r="1267" spans="1:8" hidden="1">
      <c r="A1267" t="s">
        <v>11</v>
      </c>
      <c r="B1267">
        <v>2023</v>
      </c>
      <c r="C1267" t="s">
        <v>43</v>
      </c>
      <c r="D1267" t="s">
        <v>180</v>
      </c>
      <c r="E1267" t="s">
        <v>807</v>
      </c>
      <c r="F1267" t="s">
        <v>181</v>
      </c>
      <c r="G1267">
        <v>3.75</v>
      </c>
      <c r="H1267" t="s">
        <v>861</v>
      </c>
    </row>
    <row r="1268" spans="1:8" hidden="1">
      <c r="A1268" t="s">
        <v>11</v>
      </c>
      <c r="B1268">
        <v>2023</v>
      </c>
      <c r="C1268" t="s">
        <v>43</v>
      </c>
      <c r="D1268" t="s">
        <v>200</v>
      </c>
      <c r="F1268" t="s">
        <v>181</v>
      </c>
      <c r="G1268">
        <v>3</v>
      </c>
      <c r="H1268" t="s">
        <v>873</v>
      </c>
    </row>
    <row r="1269" spans="1:8" hidden="1">
      <c r="A1269" t="s">
        <v>11</v>
      </c>
      <c r="B1269">
        <v>2023</v>
      </c>
      <c r="C1269" t="s">
        <v>43</v>
      </c>
      <c r="D1269" t="s">
        <v>193</v>
      </c>
      <c r="F1269" t="s">
        <v>181</v>
      </c>
      <c r="G1269">
        <v>4</v>
      </c>
      <c r="H1269" t="s">
        <v>1152</v>
      </c>
    </row>
    <row r="1270" spans="1:8" hidden="1">
      <c r="A1270" t="s">
        <v>11</v>
      </c>
      <c r="B1270">
        <v>2023</v>
      </c>
      <c r="C1270" t="s">
        <v>43</v>
      </c>
      <c r="D1270" t="s">
        <v>188</v>
      </c>
      <c r="E1270" t="s">
        <v>827</v>
      </c>
      <c r="F1270" t="s">
        <v>208</v>
      </c>
      <c r="G1270">
        <v>6.25</v>
      </c>
      <c r="H1270" t="s">
        <v>822</v>
      </c>
    </row>
    <row r="1271" spans="1:8" hidden="1">
      <c r="A1271" t="s">
        <v>11</v>
      </c>
      <c r="B1271">
        <v>2023</v>
      </c>
      <c r="C1271" t="s">
        <v>43</v>
      </c>
      <c r="D1271" t="s">
        <v>188</v>
      </c>
      <c r="E1271" t="s">
        <v>827</v>
      </c>
      <c r="F1271" t="s">
        <v>208</v>
      </c>
      <c r="G1271">
        <v>11.2</v>
      </c>
      <c r="H1271" t="s">
        <v>823</v>
      </c>
    </row>
    <row r="1272" spans="1:8" hidden="1">
      <c r="A1272" t="s">
        <v>11</v>
      </c>
      <c r="B1272">
        <v>2023</v>
      </c>
      <c r="C1272" t="s">
        <v>43</v>
      </c>
      <c r="D1272" t="s">
        <v>188</v>
      </c>
      <c r="E1272" t="s">
        <v>827</v>
      </c>
      <c r="F1272" t="s">
        <v>208</v>
      </c>
      <c r="G1272">
        <v>5.32</v>
      </c>
      <c r="H1272" t="s">
        <v>824</v>
      </c>
    </row>
    <row r="1273" spans="1:8" hidden="1">
      <c r="A1273" t="s">
        <v>11</v>
      </c>
      <c r="B1273">
        <v>2023</v>
      </c>
      <c r="C1273" t="s">
        <v>43</v>
      </c>
      <c r="D1273" t="s">
        <v>193</v>
      </c>
      <c r="F1273" t="s">
        <v>208</v>
      </c>
      <c r="G1273">
        <v>1.67</v>
      </c>
      <c r="H1273" t="s">
        <v>1153</v>
      </c>
    </row>
    <row r="1274" spans="1:8" hidden="1">
      <c r="A1274" t="s">
        <v>11</v>
      </c>
      <c r="B1274">
        <v>2023</v>
      </c>
      <c r="C1274" t="s">
        <v>45</v>
      </c>
      <c r="D1274" t="s">
        <v>180</v>
      </c>
      <c r="E1274" t="s">
        <v>799</v>
      </c>
      <c r="F1274" t="s">
        <v>181</v>
      </c>
      <c r="G1274">
        <v>6</v>
      </c>
      <c r="H1274" t="s">
        <v>216</v>
      </c>
    </row>
    <row r="1275" spans="1:8" hidden="1">
      <c r="A1275" t="s">
        <v>11</v>
      </c>
      <c r="B1275">
        <v>2023</v>
      </c>
      <c r="C1275" t="s">
        <v>45</v>
      </c>
      <c r="D1275" t="s">
        <v>180</v>
      </c>
      <c r="E1275" t="s">
        <v>339</v>
      </c>
      <c r="F1275" t="s">
        <v>181</v>
      </c>
      <c r="G1275">
        <v>2</v>
      </c>
      <c r="H1275" t="s">
        <v>216</v>
      </c>
    </row>
    <row r="1276" spans="1:8" hidden="1">
      <c r="A1276" t="s">
        <v>11</v>
      </c>
      <c r="B1276">
        <v>2023</v>
      </c>
      <c r="C1276" t="s">
        <v>45</v>
      </c>
      <c r="D1276" t="s">
        <v>184</v>
      </c>
      <c r="E1276" t="s">
        <v>827</v>
      </c>
      <c r="F1276" t="s">
        <v>181</v>
      </c>
      <c r="G1276">
        <v>2</v>
      </c>
      <c r="H1276" t="s">
        <v>216</v>
      </c>
    </row>
    <row r="1277" spans="1:8" hidden="1">
      <c r="A1277" t="s">
        <v>11</v>
      </c>
      <c r="B1277">
        <v>2023</v>
      </c>
      <c r="C1277" t="s">
        <v>45</v>
      </c>
      <c r="D1277" t="s">
        <v>180</v>
      </c>
      <c r="E1277" t="s">
        <v>800</v>
      </c>
      <c r="F1277" t="s">
        <v>181</v>
      </c>
      <c r="G1277">
        <v>1</v>
      </c>
      <c r="H1277" t="s">
        <v>216</v>
      </c>
    </row>
    <row r="1278" spans="1:8" hidden="1">
      <c r="A1278" t="s">
        <v>11</v>
      </c>
      <c r="B1278">
        <v>2023</v>
      </c>
      <c r="C1278" t="s">
        <v>45</v>
      </c>
      <c r="D1278" t="s">
        <v>180</v>
      </c>
      <c r="E1278" t="s">
        <v>801</v>
      </c>
      <c r="F1278" t="s">
        <v>181</v>
      </c>
      <c r="G1278">
        <v>1</v>
      </c>
      <c r="H1278" t="s">
        <v>216</v>
      </c>
    </row>
    <row r="1279" spans="1:8" hidden="1">
      <c r="A1279" t="s">
        <v>11</v>
      </c>
      <c r="B1279">
        <v>2023</v>
      </c>
      <c r="C1279" t="s">
        <v>45</v>
      </c>
      <c r="D1279" t="s">
        <v>188</v>
      </c>
      <c r="E1279" t="s">
        <v>827</v>
      </c>
      <c r="F1279" t="s">
        <v>181</v>
      </c>
      <c r="G1279">
        <v>6</v>
      </c>
      <c r="H1279" t="s">
        <v>802</v>
      </c>
    </row>
    <row r="1280" spans="1:8" hidden="1">
      <c r="A1280" t="s">
        <v>11</v>
      </c>
      <c r="B1280">
        <v>2023</v>
      </c>
      <c r="C1280" t="s">
        <v>45</v>
      </c>
      <c r="D1280" t="s">
        <v>180</v>
      </c>
      <c r="E1280" t="s">
        <v>803</v>
      </c>
      <c r="F1280" t="s">
        <v>181</v>
      </c>
      <c r="G1280">
        <v>1</v>
      </c>
      <c r="H1280" t="s">
        <v>804</v>
      </c>
    </row>
    <row r="1281" spans="1:8" hidden="1">
      <c r="A1281" t="s">
        <v>11</v>
      </c>
      <c r="B1281">
        <v>2023</v>
      </c>
      <c r="C1281" t="s">
        <v>45</v>
      </c>
      <c r="D1281" t="s">
        <v>180</v>
      </c>
      <c r="E1281" t="s">
        <v>797</v>
      </c>
      <c r="F1281" t="s">
        <v>181</v>
      </c>
      <c r="G1281">
        <v>3</v>
      </c>
      <c r="H1281" t="s">
        <v>802</v>
      </c>
    </row>
    <row r="1282" spans="1:8" hidden="1">
      <c r="A1282" t="s">
        <v>11</v>
      </c>
      <c r="B1282">
        <v>2023</v>
      </c>
      <c r="C1282" t="s">
        <v>45</v>
      </c>
      <c r="D1282" t="s">
        <v>191</v>
      </c>
      <c r="E1282" t="s">
        <v>827</v>
      </c>
      <c r="F1282" t="s">
        <v>181</v>
      </c>
      <c r="G1282">
        <v>3</v>
      </c>
      <c r="H1282" t="s">
        <v>802</v>
      </c>
    </row>
    <row r="1283" spans="1:8" hidden="1">
      <c r="A1283" t="s">
        <v>11</v>
      </c>
      <c r="B1283">
        <v>2023</v>
      </c>
      <c r="C1283" t="s">
        <v>45</v>
      </c>
      <c r="D1283" t="s">
        <v>200</v>
      </c>
      <c r="E1283" t="s">
        <v>827</v>
      </c>
      <c r="F1283" t="s">
        <v>181</v>
      </c>
      <c r="G1283">
        <v>1</v>
      </c>
      <c r="H1283" t="s">
        <v>804</v>
      </c>
    </row>
    <row r="1284" spans="1:8" hidden="1">
      <c r="A1284" t="s">
        <v>11</v>
      </c>
      <c r="B1284">
        <v>2023</v>
      </c>
      <c r="C1284" t="s">
        <v>45</v>
      </c>
      <c r="D1284" t="s">
        <v>199</v>
      </c>
      <c r="E1284" t="s">
        <v>827</v>
      </c>
      <c r="F1284" t="s">
        <v>181</v>
      </c>
      <c r="G1284">
        <v>0.25</v>
      </c>
      <c r="H1284" t="s">
        <v>202</v>
      </c>
    </row>
    <row r="1285" spans="1:8" hidden="1">
      <c r="A1285" t="s">
        <v>11</v>
      </c>
      <c r="B1285">
        <v>2023</v>
      </c>
      <c r="C1285" t="s">
        <v>45</v>
      </c>
      <c r="D1285" t="s">
        <v>197</v>
      </c>
      <c r="E1285" t="s">
        <v>827</v>
      </c>
      <c r="F1285" t="s">
        <v>181</v>
      </c>
      <c r="G1285">
        <v>0.25</v>
      </c>
      <c r="H1285" t="s">
        <v>202</v>
      </c>
    </row>
    <row r="1286" spans="1:8" hidden="1">
      <c r="A1286" t="s">
        <v>11</v>
      </c>
      <c r="B1286">
        <v>2023</v>
      </c>
      <c r="C1286" t="s">
        <v>45</v>
      </c>
      <c r="D1286" t="s">
        <v>199</v>
      </c>
      <c r="E1286" t="s">
        <v>827</v>
      </c>
      <c r="F1286" t="s">
        <v>181</v>
      </c>
      <c r="G1286">
        <v>0.75</v>
      </c>
      <c r="H1286" t="s">
        <v>740</v>
      </c>
    </row>
    <row r="1287" spans="1:8" hidden="1">
      <c r="A1287" t="s">
        <v>11</v>
      </c>
      <c r="B1287">
        <v>2023</v>
      </c>
      <c r="C1287" t="s">
        <v>45</v>
      </c>
      <c r="D1287" t="s">
        <v>197</v>
      </c>
      <c r="E1287" t="s">
        <v>827</v>
      </c>
      <c r="F1287" t="s">
        <v>181</v>
      </c>
      <c r="G1287">
        <v>0.75</v>
      </c>
      <c r="H1287" t="s">
        <v>740</v>
      </c>
    </row>
    <row r="1288" spans="1:8" hidden="1">
      <c r="A1288" t="s">
        <v>11</v>
      </c>
      <c r="B1288">
        <v>2023</v>
      </c>
      <c r="C1288" t="s">
        <v>45</v>
      </c>
      <c r="D1288" t="s">
        <v>203</v>
      </c>
      <c r="E1288" t="s">
        <v>827</v>
      </c>
      <c r="F1288" t="s">
        <v>181</v>
      </c>
      <c r="G1288">
        <v>1</v>
      </c>
      <c r="H1288" t="s">
        <v>805</v>
      </c>
    </row>
    <row r="1289" spans="1:8" hidden="1">
      <c r="A1289" t="s">
        <v>11</v>
      </c>
      <c r="B1289">
        <v>2023</v>
      </c>
      <c r="C1289" t="s">
        <v>45</v>
      </c>
      <c r="D1289" t="s">
        <v>180</v>
      </c>
      <c r="E1289" t="s">
        <v>806</v>
      </c>
      <c r="F1289" t="s">
        <v>181</v>
      </c>
      <c r="G1289">
        <v>1</v>
      </c>
      <c r="H1289" t="s">
        <v>201</v>
      </c>
    </row>
    <row r="1290" spans="1:8" hidden="1">
      <c r="A1290" t="s">
        <v>11</v>
      </c>
      <c r="B1290">
        <v>2023</v>
      </c>
      <c r="C1290" t="s">
        <v>45</v>
      </c>
      <c r="D1290" t="s">
        <v>180</v>
      </c>
      <c r="E1290" t="s">
        <v>807</v>
      </c>
      <c r="F1290" t="s">
        <v>181</v>
      </c>
      <c r="G1290">
        <v>1</v>
      </c>
      <c r="H1290" t="s">
        <v>201</v>
      </c>
    </row>
    <row r="1291" spans="1:8" hidden="1">
      <c r="A1291" t="s">
        <v>11</v>
      </c>
      <c r="B1291">
        <v>2023</v>
      </c>
      <c r="C1291" t="s">
        <v>45</v>
      </c>
      <c r="D1291" t="s">
        <v>180</v>
      </c>
      <c r="E1291" t="s">
        <v>808</v>
      </c>
      <c r="F1291" t="s">
        <v>181</v>
      </c>
      <c r="G1291">
        <v>1</v>
      </c>
      <c r="H1291" t="s">
        <v>804</v>
      </c>
    </row>
    <row r="1292" spans="1:8" hidden="1">
      <c r="A1292" t="s">
        <v>11</v>
      </c>
      <c r="B1292">
        <v>2023</v>
      </c>
      <c r="C1292" t="s">
        <v>45</v>
      </c>
      <c r="D1292" t="s">
        <v>180</v>
      </c>
      <c r="E1292" t="s">
        <v>809</v>
      </c>
      <c r="F1292" t="s">
        <v>181</v>
      </c>
      <c r="G1292">
        <v>4</v>
      </c>
      <c r="H1292" t="s">
        <v>285</v>
      </c>
    </row>
    <row r="1293" spans="1:8" hidden="1">
      <c r="A1293" t="s">
        <v>11</v>
      </c>
      <c r="B1293">
        <v>2023</v>
      </c>
      <c r="C1293" t="s">
        <v>45</v>
      </c>
      <c r="D1293" t="s">
        <v>180</v>
      </c>
      <c r="E1293" t="s">
        <v>291</v>
      </c>
      <c r="F1293" t="s">
        <v>181</v>
      </c>
      <c r="G1293">
        <v>1</v>
      </c>
      <c r="H1293" t="s">
        <v>216</v>
      </c>
    </row>
    <row r="1294" spans="1:8" hidden="1">
      <c r="A1294" t="s">
        <v>11</v>
      </c>
      <c r="B1294">
        <v>2023</v>
      </c>
      <c r="C1294" t="s">
        <v>45</v>
      </c>
      <c r="D1294" t="s">
        <v>180</v>
      </c>
      <c r="E1294" t="s">
        <v>810</v>
      </c>
      <c r="F1294" t="s">
        <v>181</v>
      </c>
      <c r="G1294">
        <v>1</v>
      </c>
      <c r="H1294" t="s">
        <v>216</v>
      </c>
    </row>
    <row r="1295" spans="1:8" hidden="1">
      <c r="A1295" t="s">
        <v>11</v>
      </c>
      <c r="B1295">
        <v>2023</v>
      </c>
      <c r="C1295" t="s">
        <v>45</v>
      </c>
      <c r="D1295" t="s">
        <v>180</v>
      </c>
      <c r="E1295" t="s">
        <v>811</v>
      </c>
      <c r="F1295" t="s">
        <v>181</v>
      </c>
      <c r="G1295">
        <v>2</v>
      </c>
      <c r="H1295" t="s">
        <v>216</v>
      </c>
    </row>
    <row r="1296" spans="1:8" hidden="1">
      <c r="A1296" t="s">
        <v>11</v>
      </c>
      <c r="B1296">
        <v>2023</v>
      </c>
      <c r="C1296" t="s">
        <v>45</v>
      </c>
      <c r="D1296" t="s">
        <v>180</v>
      </c>
      <c r="E1296" t="s">
        <v>812</v>
      </c>
      <c r="F1296" t="s">
        <v>181</v>
      </c>
      <c r="G1296">
        <v>1</v>
      </c>
      <c r="H1296" t="s">
        <v>216</v>
      </c>
    </row>
    <row r="1297" spans="1:8" hidden="1">
      <c r="A1297" t="s">
        <v>11</v>
      </c>
      <c r="B1297">
        <v>2023</v>
      </c>
      <c r="C1297" t="s">
        <v>45</v>
      </c>
      <c r="D1297" t="s">
        <v>180</v>
      </c>
      <c r="E1297" t="s">
        <v>813</v>
      </c>
      <c r="F1297" t="s">
        <v>181</v>
      </c>
      <c r="G1297">
        <v>0.67</v>
      </c>
      <c r="H1297" t="s">
        <v>216</v>
      </c>
    </row>
    <row r="1298" spans="1:8" hidden="1">
      <c r="A1298" t="s">
        <v>11</v>
      </c>
      <c r="B1298">
        <v>2023</v>
      </c>
      <c r="C1298" t="s">
        <v>45</v>
      </c>
      <c r="D1298" t="s">
        <v>180</v>
      </c>
      <c r="E1298" t="s">
        <v>814</v>
      </c>
      <c r="F1298" t="s">
        <v>181</v>
      </c>
      <c r="G1298">
        <v>1</v>
      </c>
      <c r="H1298" t="s">
        <v>216</v>
      </c>
    </row>
    <row r="1299" spans="1:8" hidden="1">
      <c r="A1299" t="s">
        <v>11</v>
      </c>
      <c r="B1299">
        <v>2023</v>
      </c>
      <c r="C1299" t="s">
        <v>45</v>
      </c>
      <c r="D1299" t="s">
        <v>188</v>
      </c>
      <c r="E1299" t="s">
        <v>827</v>
      </c>
      <c r="F1299" t="s">
        <v>181</v>
      </c>
      <c r="G1299">
        <v>1</v>
      </c>
      <c r="H1299" t="s">
        <v>815</v>
      </c>
    </row>
    <row r="1300" spans="1:8" hidden="1">
      <c r="A1300" t="s">
        <v>11</v>
      </c>
      <c r="B1300">
        <v>2023</v>
      </c>
      <c r="C1300" t="s">
        <v>45</v>
      </c>
      <c r="D1300" t="s">
        <v>180</v>
      </c>
      <c r="E1300" t="s">
        <v>807</v>
      </c>
      <c r="F1300" t="s">
        <v>181</v>
      </c>
      <c r="G1300">
        <v>3.75</v>
      </c>
      <c r="H1300" t="s">
        <v>861</v>
      </c>
    </row>
    <row r="1301" spans="1:8" hidden="1">
      <c r="A1301" t="s">
        <v>11</v>
      </c>
      <c r="B1301">
        <v>2023</v>
      </c>
      <c r="C1301" t="s">
        <v>45</v>
      </c>
      <c r="D1301" t="s">
        <v>200</v>
      </c>
      <c r="E1301" t="s">
        <v>827</v>
      </c>
      <c r="F1301" t="s">
        <v>181</v>
      </c>
      <c r="G1301">
        <v>3</v>
      </c>
      <c r="H1301" t="s">
        <v>873</v>
      </c>
    </row>
    <row r="1302" spans="1:8" hidden="1">
      <c r="A1302" t="s">
        <v>11</v>
      </c>
      <c r="B1302">
        <v>2023</v>
      </c>
      <c r="C1302" t="s">
        <v>45</v>
      </c>
      <c r="D1302" t="s">
        <v>193</v>
      </c>
      <c r="E1302" t="s">
        <v>827</v>
      </c>
      <c r="F1302" t="s">
        <v>181</v>
      </c>
      <c r="G1302">
        <v>4</v>
      </c>
      <c r="H1302" t="s">
        <v>1152</v>
      </c>
    </row>
    <row r="1303" spans="1:8" hidden="1">
      <c r="A1303" t="s">
        <v>11</v>
      </c>
      <c r="B1303">
        <v>2023</v>
      </c>
      <c r="C1303" t="s">
        <v>45</v>
      </c>
      <c r="D1303" t="s">
        <v>188</v>
      </c>
      <c r="F1303" t="s">
        <v>208</v>
      </c>
      <c r="G1303">
        <v>1</v>
      </c>
      <c r="H1303" t="s">
        <v>824</v>
      </c>
    </row>
    <row r="1304" spans="1:8" hidden="1">
      <c r="A1304" t="s">
        <v>11</v>
      </c>
      <c r="B1304">
        <v>2023</v>
      </c>
      <c r="C1304" t="s">
        <v>45</v>
      </c>
      <c r="D1304" t="s">
        <v>188</v>
      </c>
      <c r="F1304" t="s">
        <v>208</v>
      </c>
      <c r="G1304">
        <v>6.25</v>
      </c>
      <c r="H1304" t="s">
        <v>823</v>
      </c>
    </row>
    <row r="1305" spans="1:8" hidden="1">
      <c r="A1305" t="s">
        <v>11</v>
      </c>
      <c r="B1305">
        <v>2023</v>
      </c>
      <c r="C1305" t="s">
        <v>45</v>
      </c>
      <c r="D1305" t="s">
        <v>180</v>
      </c>
      <c r="F1305" t="s">
        <v>208</v>
      </c>
      <c r="G1305">
        <v>0.6</v>
      </c>
      <c r="H1305" t="s">
        <v>1154</v>
      </c>
    </row>
    <row r="1306" spans="1:8">
      <c r="A1306" t="s">
        <v>11</v>
      </c>
      <c r="B1306">
        <v>2025</v>
      </c>
      <c r="C1306" t="s">
        <v>12</v>
      </c>
      <c r="D1306" t="s">
        <v>180</v>
      </c>
      <c r="E1306" t="s">
        <v>799</v>
      </c>
      <c r="F1306" t="s">
        <v>181</v>
      </c>
      <c r="G1306">
        <v>6</v>
      </c>
      <c r="H1306" t="s">
        <v>216</v>
      </c>
    </row>
    <row r="1307" spans="1:8">
      <c r="A1307" t="s">
        <v>11</v>
      </c>
      <c r="B1307">
        <v>2025</v>
      </c>
      <c r="C1307" t="s">
        <v>12</v>
      </c>
      <c r="D1307" t="s">
        <v>180</v>
      </c>
      <c r="E1307" t="s">
        <v>339</v>
      </c>
      <c r="F1307" t="s">
        <v>181</v>
      </c>
      <c r="G1307">
        <v>2</v>
      </c>
      <c r="H1307" t="s">
        <v>216</v>
      </c>
    </row>
    <row r="1308" spans="1:8">
      <c r="A1308" t="s">
        <v>11</v>
      </c>
      <c r="B1308">
        <v>2025</v>
      </c>
      <c r="C1308" t="s">
        <v>12</v>
      </c>
      <c r="D1308" t="s">
        <v>184</v>
      </c>
      <c r="E1308" t="s">
        <v>827</v>
      </c>
      <c r="F1308" t="s">
        <v>181</v>
      </c>
      <c r="G1308">
        <v>2</v>
      </c>
      <c r="H1308" t="s">
        <v>216</v>
      </c>
    </row>
    <row r="1309" spans="1:8">
      <c r="A1309" t="s">
        <v>11</v>
      </c>
      <c r="B1309">
        <v>2025</v>
      </c>
      <c r="C1309" t="s">
        <v>12</v>
      </c>
      <c r="D1309" t="s">
        <v>180</v>
      </c>
      <c r="E1309" t="s">
        <v>800</v>
      </c>
      <c r="F1309" t="s">
        <v>181</v>
      </c>
      <c r="G1309">
        <v>1</v>
      </c>
      <c r="H1309" t="s">
        <v>216</v>
      </c>
    </row>
    <row r="1310" spans="1:8">
      <c r="A1310" t="s">
        <v>11</v>
      </c>
      <c r="B1310">
        <v>2025</v>
      </c>
      <c r="C1310" t="s">
        <v>12</v>
      </c>
      <c r="D1310" t="s">
        <v>180</v>
      </c>
      <c r="E1310" t="s">
        <v>801</v>
      </c>
      <c r="F1310" t="s">
        <v>181</v>
      </c>
      <c r="G1310">
        <v>1</v>
      </c>
      <c r="H1310" t="s">
        <v>216</v>
      </c>
    </row>
    <row r="1311" spans="1:8">
      <c r="A1311" t="s">
        <v>11</v>
      </c>
      <c r="B1311">
        <v>2025</v>
      </c>
      <c r="C1311" t="s">
        <v>12</v>
      </c>
      <c r="D1311" t="s">
        <v>188</v>
      </c>
      <c r="E1311" t="s">
        <v>827</v>
      </c>
      <c r="F1311" t="s">
        <v>181</v>
      </c>
      <c r="G1311">
        <v>6</v>
      </c>
      <c r="H1311" t="s">
        <v>802</v>
      </c>
    </row>
    <row r="1312" spans="1:8">
      <c r="A1312" t="s">
        <v>11</v>
      </c>
      <c r="B1312">
        <v>2025</v>
      </c>
      <c r="C1312" t="s">
        <v>12</v>
      </c>
      <c r="D1312" t="s">
        <v>180</v>
      </c>
      <c r="E1312" t="s">
        <v>803</v>
      </c>
      <c r="F1312" t="s">
        <v>181</v>
      </c>
      <c r="G1312">
        <v>1</v>
      </c>
      <c r="H1312" t="s">
        <v>804</v>
      </c>
    </row>
    <row r="1313" spans="1:8">
      <c r="A1313" t="s">
        <v>11</v>
      </c>
      <c r="B1313">
        <v>2025</v>
      </c>
      <c r="C1313" t="s">
        <v>12</v>
      </c>
      <c r="D1313" t="s">
        <v>180</v>
      </c>
      <c r="E1313" t="s">
        <v>797</v>
      </c>
      <c r="F1313" t="s">
        <v>181</v>
      </c>
      <c r="G1313">
        <v>3</v>
      </c>
      <c r="H1313" t="s">
        <v>802</v>
      </c>
    </row>
    <row r="1314" spans="1:8">
      <c r="A1314" t="s">
        <v>11</v>
      </c>
      <c r="B1314">
        <v>2025</v>
      </c>
      <c r="C1314" t="s">
        <v>12</v>
      </c>
      <c r="D1314" t="s">
        <v>191</v>
      </c>
      <c r="E1314" t="s">
        <v>827</v>
      </c>
      <c r="F1314" t="s">
        <v>181</v>
      </c>
      <c r="G1314">
        <v>3</v>
      </c>
      <c r="H1314" t="s">
        <v>802</v>
      </c>
    </row>
    <row r="1315" spans="1:8">
      <c r="A1315" t="s">
        <v>11</v>
      </c>
      <c r="B1315">
        <v>2025</v>
      </c>
      <c r="C1315" t="s">
        <v>12</v>
      </c>
      <c r="D1315" t="s">
        <v>200</v>
      </c>
      <c r="E1315" t="s">
        <v>827</v>
      </c>
      <c r="F1315" t="s">
        <v>181</v>
      </c>
      <c r="G1315">
        <v>1</v>
      </c>
      <c r="H1315" t="s">
        <v>804</v>
      </c>
    </row>
    <row r="1316" spans="1:8">
      <c r="A1316" t="s">
        <v>11</v>
      </c>
      <c r="B1316">
        <v>2025</v>
      </c>
      <c r="C1316" t="s">
        <v>12</v>
      </c>
      <c r="D1316" t="s">
        <v>199</v>
      </c>
      <c r="E1316" t="s">
        <v>827</v>
      </c>
      <c r="F1316" t="s">
        <v>181</v>
      </c>
      <c r="G1316">
        <v>0.25</v>
      </c>
      <c r="H1316" t="s">
        <v>202</v>
      </c>
    </row>
    <row r="1317" spans="1:8">
      <c r="A1317" t="s">
        <v>11</v>
      </c>
      <c r="B1317">
        <v>2025</v>
      </c>
      <c r="C1317" t="s">
        <v>12</v>
      </c>
      <c r="D1317" t="s">
        <v>197</v>
      </c>
      <c r="E1317" t="s">
        <v>827</v>
      </c>
      <c r="F1317" t="s">
        <v>181</v>
      </c>
      <c r="G1317">
        <v>0.25</v>
      </c>
      <c r="H1317" t="s">
        <v>202</v>
      </c>
    </row>
    <row r="1318" spans="1:8">
      <c r="A1318" t="s">
        <v>11</v>
      </c>
      <c r="B1318">
        <v>2025</v>
      </c>
      <c r="C1318" t="s">
        <v>12</v>
      </c>
      <c r="D1318" t="s">
        <v>199</v>
      </c>
      <c r="E1318" t="s">
        <v>827</v>
      </c>
      <c r="F1318" t="s">
        <v>181</v>
      </c>
      <c r="G1318">
        <v>0.75</v>
      </c>
      <c r="H1318" t="s">
        <v>740</v>
      </c>
    </row>
    <row r="1319" spans="1:8">
      <c r="A1319" t="s">
        <v>11</v>
      </c>
      <c r="B1319">
        <v>2025</v>
      </c>
      <c r="C1319" t="s">
        <v>12</v>
      </c>
      <c r="D1319" t="s">
        <v>197</v>
      </c>
      <c r="E1319" t="s">
        <v>827</v>
      </c>
      <c r="F1319" t="s">
        <v>181</v>
      </c>
      <c r="G1319">
        <v>0.75</v>
      </c>
      <c r="H1319" t="s">
        <v>740</v>
      </c>
    </row>
    <row r="1320" spans="1:8">
      <c r="A1320" t="s">
        <v>11</v>
      </c>
      <c r="B1320">
        <v>2025</v>
      </c>
      <c r="C1320" t="s">
        <v>12</v>
      </c>
      <c r="D1320" t="s">
        <v>203</v>
      </c>
      <c r="E1320" t="s">
        <v>827</v>
      </c>
      <c r="F1320" t="s">
        <v>181</v>
      </c>
      <c r="G1320">
        <v>1</v>
      </c>
      <c r="H1320" t="s">
        <v>805</v>
      </c>
    </row>
    <row r="1321" spans="1:8">
      <c r="A1321" t="s">
        <v>11</v>
      </c>
      <c r="B1321">
        <v>2025</v>
      </c>
      <c r="C1321" t="s">
        <v>12</v>
      </c>
      <c r="D1321" t="s">
        <v>180</v>
      </c>
      <c r="E1321" t="s">
        <v>806</v>
      </c>
      <c r="F1321" t="s">
        <v>181</v>
      </c>
      <c r="G1321">
        <v>1</v>
      </c>
      <c r="H1321" t="s">
        <v>201</v>
      </c>
    </row>
    <row r="1322" spans="1:8">
      <c r="A1322" t="s">
        <v>11</v>
      </c>
      <c r="B1322">
        <v>2025</v>
      </c>
      <c r="C1322" t="s">
        <v>12</v>
      </c>
      <c r="D1322" t="s">
        <v>180</v>
      </c>
      <c r="E1322" t="s">
        <v>807</v>
      </c>
      <c r="F1322" t="s">
        <v>181</v>
      </c>
      <c r="G1322">
        <v>1</v>
      </c>
      <c r="H1322" t="s">
        <v>201</v>
      </c>
    </row>
    <row r="1323" spans="1:8">
      <c r="A1323" t="s">
        <v>11</v>
      </c>
      <c r="B1323">
        <v>2025</v>
      </c>
      <c r="C1323" t="s">
        <v>12</v>
      </c>
      <c r="D1323" t="s">
        <v>180</v>
      </c>
      <c r="F1323" t="s">
        <v>181</v>
      </c>
      <c r="G1323">
        <v>1</v>
      </c>
      <c r="H1323" t="s">
        <v>1235</v>
      </c>
    </row>
    <row r="1324" spans="1:8">
      <c r="A1324" t="s">
        <v>11</v>
      </c>
      <c r="B1324">
        <v>2025</v>
      </c>
      <c r="C1324" t="s">
        <v>12</v>
      </c>
      <c r="D1324" t="s">
        <v>180</v>
      </c>
      <c r="E1324" t="s">
        <v>808</v>
      </c>
      <c r="F1324" t="s">
        <v>181</v>
      </c>
      <c r="G1324">
        <v>1</v>
      </c>
      <c r="H1324" t="s">
        <v>804</v>
      </c>
    </row>
    <row r="1325" spans="1:8">
      <c r="A1325" t="s">
        <v>11</v>
      </c>
      <c r="B1325">
        <v>2025</v>
      </c>
      <c r="C1325" t="s">
        <v>12</v>
      </c>
      <c r="D1325" t="s">
        <v>180</v>
      </c>
      <c r="E1325" t="s">
        <v>809</v>
      </c>
      <c r="F1325" t="s">
        <v>181</v>
      </c>
      <c r="G1325">
        <v>4</v>
      </c>
      <c r="H1325" t="s">
        <v>285</v>
      </c>
    </row>
    <row r="1326" spans="1:8">
      <c r="A1326" t="s">
        <v>11</v>
      </c>
      <c r="B1326">
        <v>2025</v>
      </c>
      <c r="C1326" t="s">
        <v>12</v>
      </c>
      <c r="D1326" t="s">
        <v>180</v>
      </c>
      <c r="E1326" t="s">
        <v>291</v>
      </c>
      <c r="F1326" t="s">
        <v>181</v>
      </c>
      <c r="G1326">
        <v>1</v>
      </c>
      <c r="H1326" t="s">
        <v>216</v>
      </c>
    </row>
    <row r="1327" spans="1:8">
      <c r="A1327" t="s">
        <v>11</v>
      </c>
      <c r="B1327">
        <v>2025</v>
      </c>
      <c r="C1327" t="s">
        <v>12</v>
      </c>
      <c r="D1327" t="s">
        <v>180</v>
      </c>
      <c r="E1327" t="s">
        <v>810</v>
      </c>
      <c r="F1327" t="s">
        <v>181</v>
      </c>
      <c r="G1327">
        <v>1</v>
      </c>
      <c r="H1327" t="s">
        <v>216</v>
      </c>
    </row>
    <row r="1328" spans="1:8">
      <c r="A1328" t="s">
        <v>11</v>
      </c>
      <c r="B1328">
        <v>2025</v>
      </c>
      <c r="C1328" t="s">
        <v>12</v>
      </c>
      <c r="D1328" t="s">
        <v>180</v>
      </c>
      <c r="E1328" t="s">
        <v>811</v>
      </c>
      <c r="F1328" t="s">
        <v>181</v>
      </c>
      <c r="G1328">
        <v>2</v>
      </c>
      <c r="H1328" t="s">
        <v>216</v>
      </c>
    </row>
    <row r="1329" spans="1:8">
      <c r="A1329" t="s">
        <v>11</v>
      </c>
      <c r="B1329">
        <v>2025</v>
      </c>
      <c r="C1329" t="s">
        <v>12</v>
      </c>
      <c r="D1329" t="s">
        <v>180</v>
      </c>
      <c r="E1329" t="s">
        <v>812</v>
      </c>
      <c r="F1329" t="s">
        <v>181</v>
      </c>
      <c r="G1329">
        <v>1</v>
      </c>
      <c r="H1329" t="s">
        <v>216</v>
      </c>
    </row>
    <row r="1330" spans="1:8">
      <c r="A1330" t="s">
        <v>11</v>
      </c>
      <c r="B1330">
        <v>2025</v>
      </c>
      <c r="C1330" t="s">
        <v>12</v>
      </c>
      <c r="D1330" t="s">
        <v>180</v>
      </c>
      <c r="E1330" t="s">
        <v>813</v>
      </c>
      <c r="F1330" t="s">
        <v>181</v>
      </c>
      <c r="G1330">
        <v>0.67</v>
      </c>
      <c r="H1330" t="s">
        <v>216</v>
      </c>
    </row>
    <row r="1331" spans="1:8">
      <c r="A1331" t="s">
        <v>11</v>
      </c>
      <c r="B1331">
        <v>2025</v>
      </c>
      <c r="C1331" t="s">
        <v>12</v>
      </c>
      <c r="D1331" t="s">
        <v>180</v>
      </c>
      <c r="E1331" t="s">
        <v>814</v>
      </c>
      <c r="F1331" t="s">
        <v>181</v>
      </c>
      <c r="G1331">
        <v>1</v>
      </c>
      <c r="H1331" t="s">
        <v>216</v>
      </c>
    </row>
    <row r="1332" spans="1:8">
      <c r="A1332" t="s">
        <v>11</v>
      </c>
      <c r="B1332">
        <v>2025</v>
      </c>
      <c r="C1332" t="s">
        <v>12</v>
      </c>
      <c r="D1332" t="s">
        <v>188</v>
      </c>
      <c r="E1332" t="s">
        <v>827</v>
      </c>
      <c r="F1332" t="s">
        <v>181</v>
      </c>
      <c r="G1332">
        <v>1</v>
      </c>
      <c r="H1332" t="s">
        <v>815</v>
      </c>
    </row>
    <row r="1333" spans="1:8">
      <c r="A1333" t="s">
        <v>11</v>
      </c>
      <c r="B1333">
        <v>2025</v>
      </c>
      <c r="C1333" t="s">
        <v>12</v>
      </c>
      <c r="D1333" t="s">
        <v>180</v>
      </c>
      <c r="E1333" t="s">
        <v>827</v>
      </c>
      <c r="F1333" t="s">
        <v>181</v>
      </c>
      <c r="G1333">
        <v>2</v>
      </c>
      <c r="H1333" t="s">
        <v>1160</v>
      </c>
    </row>
    <row r="1334" spans="1:8">
      <c r="A1334" t="s">
        <v>11</v>
      </c>
      <c r="B1334">
        <v>2025</v>
      </c>
      <c r="C1334" t="s">
        <v>12</v>
      </c>
      <c r="D1334" t="s">
        <v>188</v>
      </c>
      <c r="F1334" t="s">
        <v>181</v>
      </c>
      <c r="G1334">
        <v>2</v>
      </c>
      <c r="H1334" t="s">
        <v>1236</v>
      </c>
    </row>
    <row r="1335" spans="1:8">
      <c r="A1335" t="s">
        <v>11</v>
      </c>
      <c r="B1335">
        <v>2025</v>
      </c>
      <c r="C1335" t="s">
        <v>12</v>
      </c>
      <c r="D1335" t="s">
        <v>184</v>
      </c>
      <c r="F1335" t="s">
        <v>181</v>
      </c>
      <c r="G1335">
        <v>3</v>
      </c>
      <c r="H1335" t="s">
        <v>1237</v>
      </c>
    </row>
    <row r="1336" spans="1:8">
      <c r="A1336" t="s">
        <v>11</v>
      </c>
      <c r="B1336">
        <v>2025</v>
      </c>
      <c r="C1336" t="s">
        <v>12</v>
      </c>
      <c r="D1336" t="s">
        <v>199</v>
      </c>
      <c r="F1336" t="s">
        <v>181</v>
      </c>
      <c r="G1336">
        <v>1</v>
      </c>
      <c r="H1336" t="s">
        <v>1238</v>
      </c>
    </row>
    <row r="1337" spans="1:8">
      <c r="A1337" t="s">
        <v>11</v>
      </c>
      <c r="B1337">
        <v>2025</v>
      </c>
      <c r="C1337" t="s">
        <v>12</v>
      </c>
      <c r="D1337" t="s">
        <v>191</v>
      </c>
      <c r="F1337" t="s">
        <v>208</v>
      </c>
      <c r="G1337">
        <v>4.5</v>
      </c>
      <c r="H1337" t="s">
        <v>1239</v>
      </c>
    </row>
    <row r="1338" spans="1:8">
      <c r="A1338" t="s">
        <v>11</v>
      </c>
      <c r="B1338">
        <v>2025</v>
      </c>
      <c r="C1338" t="s">
        <v>12</v>
      </c>
      <c r="D1338" t="s">
        <v>188</v>
      </c>
      <c r="F1338" t="s">
        <v>208</v>
      </c>
      <c r="G1338">
        <v>3.9</v>
      </c>
      <c r="H1338" t="s">
        <v>823</v>
      </c>
    </row>
    <row r="1339" spans="1:8">
      <c r="A1339" t="s">
        <v>11</v>
      </c>
      <c r="B1339">
        <v>2025</v>
      </c>
      <c r="C1339" t="s">
        <v>12</v>
      </c>
      <c r="D1339" t="s">
        <v>188</v>
      </c>
      <c r="F1339" t="s">
        <v>208</v>
      </c>
      <c r="G1339">
        <v>12</v>
      </c>
      <c r="H1339" t="s">
        <v>1240</v>
      </c>
    </row>
    <row r="1340" spans="1:8">
      <c r="A1340" t="s">
        <v>11</v>
      </c>
      <c r="B1340">
        <v>2025</v>
      </c>
      <c r="C1340" t="s">
        <v>12</v>
      </c>
      <c r="D1340" t="s">
        <v>193</v>
      </c>
      <c r="F1340" t="s">
        <v>208</v>
      </c>
      <c r="G1340">
        <v>12.4</v>
      </c>
      <c r="H1340" t="s">
        <v>1241</v>
      </c>
    </row>
    <row r="1341" spans="1:8">
      <c r="A1341" t="s">
        <v>11</v>
      </c>
      <c r="B1341">
        <v>2025</v>
      </c>
      <c r="C1341" t="s">
        <v>12</v>
      </c>
      <c r="D1341" t="s">
        <v>199</v>
      </c>
      <c r="F1341" t="s">
        <v>208</v>
      </c>
      <c r="G1341">
        <v>10</v>
      </c>
      <c r="H1341" t="s">
        <v>1242</v>
      </c>
    </row>
    <row r="1342" spans="1:8">
      <c r="A1342" t="s">
        <v>11</v>
      </c>
      <c r="B1342">
        <v>2025</v>
      </c>
      <c r="C1342" t="s">
        <v>12</v>
      </c>
      <c r="D1342" t="s">
        <v>652</v>
      </c>
      <c r="F1342" t="s">
        <v>208</v>
      </c>
      <c r="G1342">
        <v>1.25</v>
      </c>
      <c r="H1342" t="s">
        <v>1243</v>
      </c>
    </row>
    <row r="1343" spans="1:8">
      <c r="A1343" t="s">
        <v>11</v>
      </c>
      <c r="B1343">
        <v>2025</v>
      </c>
      <c r="C1343" t="s">
        <v>21</v>
      </c>
      <c r="D1343" t="s">
        <v>180</v>
      </c>
      <c r="E1343" t="s">
        <v>799</v>
      </c>
      <c r="F1343" t="s">
        <v>181</v>
      </c>
      <c r="G1343">
        <v>6</v>
      </c>
      <c r="H1343" t="s">
        <v>216</v>
      </c>
    </row>
    <row r="1344" spans="1:8">
      <c r="A1344" t="s">
        <v>11</v>
      </c>
      <c r="B1344">
        <v>2025</v>
      </c>
      <c r="C1344" t="s">
        <v>21</v>
      </c>
      <c r="D1344" t="s">
        <v>180</v>
      </c>
      <c r="E1344" t="s">
        <v>339</v>
      </c>
      <c r="F1344" t="s">
        <v>181</v>
      </c>
      <c r="G1344">
        <v>2</v>
      </c>
      <c r="H1344" t="s">
        <v>216</v>
      </c>
    </row>
    <row r="1345" spans="1:8">
      <c r="A1345" t="s">
        <v>11</v>
      </c>
      <c r="B1345">
        <v>2025</v>
      </c>
      <c r="C1345" t="s">
        <v>21</v>
      </c>
      <c r="D1345" t="s">
        <v>184</v>
      </c>
      <c r="E1345" t="s">
        <v>827</v>
      </c>
      <c r="F1345" t="s">
        <v>181</v>
      </c>
      <c r="G1345">
        <v>2</v>
      </c>
      <c r="H1345" t="s">
        <v>216</v>
      </c>
    </row>
    <row r="1346" spans="1:8">
      <c r="A1346" t="s">
        <v>11</v>
      </c>
      <c r="B1346">
        <v>2025</v>
      </c>
      <c r="C1346" t="s">
        <v>21</v>
      </c>
      <c r="D1346" t="s">
        <v>180</v>
      </c>
      <c r="E1346" t="s">
        <v>800</v>
      </c>
      <c r="F1346" t="s">
        <v>181</v>
      </c>
      <c r="G1346">
        <v>1</v>
      </c>
      <c r="H1346" t="s">
        <v>216</v>
      </c>
    </row>
    <row r="1347" spans="1:8">
      <c r="A1347" t="s">
        <v>11</v>
      </c>
      <c r="B1347">
        <v>2025</v>
      </c>
      <c r="C1347" t="s">
        <v>21</v>
      </c>
      <c r="D1347" t="s">
        <v>180</v>
      </c>
      <c r="E1347" t="s">
        <v>801</v>
      </c>
      <c r="F1347" t="s">
        <v>181</v>
      </c>
      <c r="G1347">
        <v>1</v>
      </c>
      <c r="H1347" t="s">
        <v>216</v>
      </c>
    </row>
    <row r="1348" spans="1:8">
      <c r="A1348" t="s">
        <v>11</v>
      </c>
      <c r="B1348">
        <v>2025</v>
      </c>
      <c r="C1348" t="s">
        <v>21</v>
      </c>
      <c r="D1348" t="s">
        <v>188</v>
      </c>
      <c r="E1348" t="s">
        <v>827</v>
      </c>
      <c r="F1348" t="s">
        <v>181</v>
      </c>
      <c r="G1348">
        <v>6</v>
      </c>
      <c r="H1348" t="s">
        <v>802</v>
      </c>
    </row>
    <row r="1349" spans="1:8">
      <c r="A1349" t="s">
        <v>11</v>
      </c>
      <c r="B1349">
        <v>2025</v>
      </c>
      <c r="C1349" t="s">
        <v>21</v>
      </c>
      <c r="D1349" t="s">
        <v>180</v>
      </c>
      <c r="E1349" t="s">
        <v>803</v>
      </c>
      <c r="F1349" t="s">
        <v>181</v>
      </c>
      <c r="G1349">
        <v>1</v>
      </c>
      <c r="H1349" t="s">
        <v>804</v>
      </c>
    </row>
    <row r="1350" spans="1:8">
      <c r="A1350" t="s">
        <v>11</v>
      </c>
      <c r="B1350">
        <v>2025</v>
      </c>
      <c r="C1350" t="s">
        <v>21</v>
      </c>
      <c r="D1350" t="s">
        <v>180</v>
      </c>
      <c r="E1350" t="s">
        <v>797</v>
      </c>
      <c r="F1350" t="s">
        <v>181</v>
      </c>
      <c r="G1350">
        <v>3</v>
      </c>
      <c r="H1350" t="s">
        <v>802</v>
      </c>
    </row>
    <row r="1351" spans="1:8">
      <c r="A1351" t="s">
        <v>11</v>
      </c>
      <c r="B1351">
        <v>2025</v>
      </c>
      <c r="C1351" t="s">
        <v>21</v>
      </c>
      <c r="D1351" t="s">
        <v>191</v>
      </c>
      <c r="E1351" t="s">
        <v>827</v>
      </c>
      <c r="F1351" t="s">
        <v>181</v>
      </c>
      <c r="G1351">
        <v>3</v>
      </c>
      <c r="H1351" t="s">
        <v>802</v>
      </c>
    </row>
    <row r="1352" spans="1:8">
      <c r="A1352" t="s">
        <v>11</v>
      </c>
      <c r="B1352">
        <v>2025</v>
      </c>
      <c r="C1352" t="s">
        <v>21</v>
      </c>
      <c r="D1352" t="s">
        <v>200</v>
      </c>
      <c r="E1352" t="s">
        <v>827</v>
      </c>
      <c r="F1352" t="s">
        <v>181</v>
      </c>
      <c r="G1352">
        <v>1</v>
      </c>
      <c r="H1352" t="s">
        <v>804</v>
      </c>
    </row>
    <row r="1353" spans="1:8">
      <c r="A1353" t="s">
        <v>11</v>
      </c>
      <c r="B1353">
        <v>2025</v>
      </c>
      <c r="C1353" t="s">
        <v>21</v>
      </c>
      <c r="D1353" t="s">
        <v>199</v>
      </c>
      <c r="E1353" t="s">
        <v>827</v>
      </c>
      <c r="F1353" t="s">
        <v>181</v>
      </c>
      <c r="G1353">
        <v>0.25</v>
      </c>
      <c r="H1353" t="s">
        <v>202</v>
      </c>
    </row>
    <row r="1354" spans="1:8">
      <c r="A1354" t="s">
        <v>11</v>
      </c>
      <c r="B1354">
        <v>2025</v>
      </c>
      <c r="C1354" t="s">
        <v>21</v>
      </c>
      <c r="D1354" t="s">
        <v>197</v>
      </c>
      <c r="E1354" t="s">
        <v>827</v>
      </c>
      <c r="F1354" t="s">
        <v>181</v>
      </c>
      <c r="G1354">
        <v>0.25</v>
      </c>
      <c r="H1354" t="s">
        <v>202</v>
      </c>
    </row>
    <row r="1355" spans="1:8">
      <c r="A1355" t="s">
        <v>11</v>
      </c>
      <c r="B1355">
        <v>2025</v>
      </c>
      <c r="C1355" t="s">
        <v>21</v>
      </c>
      <c r="D1355" t="s">
        <v>199</v>
      </c>
      <c r="E1355" t="s">
        <v>827</v>
      </c>
      <c r="F1355" t="s">
        <v>181</v>
      </c>
      <c r="G1355">
        <v>0.75</v>
      </c>
      <c r="H1355" t="s">
        <v>740</v>
      </c>
    </row>
    <row r="1356" spans="1:8">
      <c r="A1356" t="s">
        <v>11</v>
      </c>
      <c r="B1356">
        <v>2025</v>
      </c>
      <c r="C1356" t="s">
        <v>21</v>
      </c>
      <c r="D1356" t="s">
        <v>197</v>
      </c>
      <c r="E1356" t="s">
        <v>827</v>
      </c>
      <c r="F1356" t="s">
        <v>181</v>
      </c>
      <c r="G1356">
        <v>0.75</v>
      </c>
      <c r="H1356" t="s">
        <v>740</v>
      </c>
    </row>
    <row r="1357" spans="1:8">
      <c r="A1357" t="s">
        <v>11</v>
      </c>
      <c r="B1357">
        <v>2025</v>
      </c>
      <c r="C1357" t="s">
        <v>21</v>
      </c>
      <c r="D1357" t="s">
        <v>203</v>
      </c>
      <c r="E1357" t="s">
        <v>827</v>
      </c>
      <c r="F1357" t="s">
        <v>181</v>
      </c>
      <c r="G1357">
        <v>1</v>
      </c>
      <c r="H1357" t="s">
        <v>805</v>
      </c>
    </row>
    <row r="1358" spans="1:8">
      <c r="A1358" t="s">
        <v>11</v>
      </c>
      <c r="B1358">
        <v>2025</v>
      </c>
      <c r="C1358" t="s">
        <v>21</v>
      </c>
      <c r="D1358" t="s">
        <v>180</v>
      </c>
      <c r="E1358" t="s">
        <v>806</v>
      </c>
      <c r="F1358" t="s">
        <v>181</v>
      </c>
      <c r="G1358">
        <v>1</v>
      </c>
      <c r="H1358" t="s">
        <v>201</v>
      </c>
    </row>
    <row r="1359" spans="1:8">
      <c r="A1359" t="s">
        <v>11</v>
      </c>
      <c r="B1359">
        <v>2025</v>
      </c>
      <c r="C1359" t="s">
        <v>21</v>
      </c>
      <c r="D1359" t="s">
        <v>180</v>
      </c>
      <c r="E1359" t="s">
        <v>807</v>
      </c>
      <c r="F1359" t="s">
        <v>181</v>
      </c>
      <c r="G1359">
        <v>1</v>
      </c>
      <c r="H1359" t="s">
        <v>201</v>
      </c>
    </row>
    <row r="1360" spans="1:8">
      <c r="A1360" t="s">
        <v>11</v>
      </c>
      <c r="B1360">
        <v>2025</v>
      </c>
      <c r="C1360" t="s">
        <v>21</v>
      </c>
      <c r="D1360" t="s">
        <v>180</v>
      </c>
      <c r="F1360" t="s">
        <v>181</v>
      </c>
      <c r="G1360">
        <v>1</v>
      </c>
      <c r="H1360" t="s">
        <v>1235</v>
      </c>
    </row>
    <row r="1361" spans="1:8">
      <c r="A1361" t="s">
        <v>11</v>
      </c>
      <c r="B1361">
        <v>2025</v>
      </c>
      <c r="C1361" t="s">
        <v>21</v>
      </c>
      <c r="D1361" t="s">
        <v>180</v>
      </c>
      <c r="E1361" t="s">
        <v>808</v>
      </c>
      <c r="F1361" t="s">
        <v>181</v>
      </c>
      <c r="G1361">
        <v>1</v>
      </c>
      <c r="H1361" t="s">
        <v>804</v>
      </c>
    </row>
    <row r="1362" spans="1:8">
      <c r="A1362" t="s">
        <v>11</v>
      </c>
      <c r="B1362">
        <v>2025</v>
      </c>
      <c r="C1362" t="s">
        <v>21</v>
      </c>
      <c r="D1362" t="s">
        <v>180</v>
      </c>
      <c r="E1362" t="s">
        <v>809</v>
      </c>
      <c r="F1362" t="s">
        <v>181</v>
      </c>
      <c r="G1362">
        <v>4</v>
      </c>
      <c r="H1362" t="s">
        <v>285</v>
      </c>
    </row>
    <row r="1363" spans="1:8">
      <c r="A1363" t="s">
        <v>11</v>
      </c>
      <c r="B1363">
        <v>2025</v>
      </c>
      <c r="C1363" t="s">
        <v>21</v>
      </c>
      <c r="D1363" t="s">
        <v>180</v>
      </c>
      <c r="E1363" t="s">
        <v>291</v>
      </c>
      <c r="F1363" t="s">
        <v>181</v>
      </c>
      <c r="G1363">
        <v>1</v>
      </c>
      <c r="H1363" t="s">
        <v>216</v>
      </c>
    </row>
    <row r="1364" spans="1:8">
      <c r="A1364" t="s">
        <v>11</v>
      </c>
      <c r="B1364">
        <v>2025</v>
      </c>
      <c r="C1364" t="s">
        <v>21</v>
      </c>
      <c r="D1364" t="s">
        <v>180</v>
      </c>
      <c r="E1364" t="s">
        <v>810</v>
      </c>
      <c r="F1364" t="s">
        <v>181</v>
      </c>
      <c r="G1364">
        <v>1</v>
      </c>
      <c r="H1364" t="s">
        <v>216</v>
      </c>
    </row>
    <row r="1365" spans="1:8">
      <c r="A1365" t="s">
        <v>11</v>
      </c>
      <c r="B1365">
        <v>2025</v>
      </c>
      <c r="C1365" t="s">
        <v>21</v>
      </c>
      <c r="D1365" t="s">
        <v>180</v>
      </c>
      <c r="E1365" t="s">
        <v>811</v>
      </c>
      <c r="F1365" t="s">
        <v>181</v>
      </c>
      <c r="G1365">
        <v>2</v>
      </c>
      <c r="H1365" t="s">
        <v>216</v>
      </c>
    </row>
    <row r="1366" spans="1:8">
      <c r="A1366" t="s">
        <v>11</v>
      </c>
      <c r="B1366">
        <v>2025</v>
      </c>
      <c r="C1366" t="s">
        <v>21</v>
      </c>
      <c r="D1366" t="s">
        <v>180</v>
      </c>
      <c r="E1366" t="s">
        <v>812</v>
      </c>
      <c r="F1366" t="s">
        <v>181</v>
      </c>
      <c r="G1366">
        <v>1</v>
      </c>
      <c r="H1366" t="s">
        <v>216</v>
      </c>
    </row>
    <row r="1367" spans="1:8">
      <c r="A1367" t="s">
        <v>11</v>
      </c>
      <c r="B1367">
        <v>2025</v>
      </c>
      <c r="C1367" t="s">
        <v>21</v>
      </c>
      <c r="D1367" t="s">
        <v>180</v>
      </c>
      <c r="E1367" t="s">
        <v>813</v>
      </c>
      <c r="F1367" t="s">
        <v>181</v>
      </c>
      <c r="G1367">
        <v>0.67</v>
      </c>
      <c r="H1367" t="s">
        <v>216</v>
      </c>
    </row>
    <row r="1368" spans="1:8">
      <c r="A1368" t="s">
        <v>11</v>
      </c>
      <c r="B1368">
        <v>2025</v>
      </c>
      <c r="C1368" t="s">
        <v>21</v>
      </c>
      <c r="D1368" t="s">
        <v>180</v>
      </c>
      <c r="E1368" t="s">
        <v>814</v>
      </c>
      <c r="F1368" t="s">
        <v>181</v>
      </c>
      <c r="G1368">
        <v>1</v>
      </c>
      <c r="H1368" t="s">
        <v>216</v>
      </c>
    </row>
    <row r="1369" spans="1:8">
      <c r="A1369" t="s">
        <v>11</v>
      </c>
      <c r="B1369">
        <v>2025</v>
      </c>
      <c r="C1369" t="s">
        <v>21</v>
      </c>
      <c r="D1369" t="s">
        <v>188</v>
      </c>
      <c r="E1369" t="s">
        <v>827</v>
      </c>
      <c r="F1369" t="s">
        <v>181</v>
      </c>
      <c r="G1369">
        <v>1</v>
      </c>
      <c r="H1369" t="s">
        <v>815</v>
      </c>
    </row>
    <row r="1370" spans="1:8">
      <c r="A1370" t="s">
        <v>11</v>
      </c>
      <c r="B1370">
        <v>2025</v>
      </c>
      <c r="C1370" t="s">
        <v>21</v>
      </c>
      <c r="D1370" t="s">
        <v>180</v>
      </c>
      <c r="E1370" t="s">
        <v>827</v>
      </c>
      <c r="F1370" t="s">
        <v>181</v>
      </c>
      <c r="G1370">
        <v>2</v>
      </c>
      <c r="H1370" t="s">
        <v>1160</v>
      </c>
    </row>
    <row r="1371" spans="1:8">
      <c r="A1371" t="s">
        <v>11</v>
      </c>
      <c r="B1371">
        <v>2025</v>
      </c>
      <c r="C1371" t="s">
        <v>21</v>
      </c>
      <c r="D1371" t="s">
        <v>180</v>
      </c>
      <c r="F1371" t="s">
        <v>181</v>
      </c>
      <c r="G1371">
        <v>0.4</v>
      </c>
      <c r="H1371" t="s">
        <v>1311</v>
      </c>
    </row>
    <row r="1372" spans="1:8">
      <c r="A1372" t="s">
        <v>11</v>
      </c>
      <c r="B1372">
        <v>2025</v>
      </c>
      <c r="C1372" t="s">
        <v>21</v>
      </c>
      <c r="D1372" t="s">
        <v>199</v>
      </c>
      <c r="F1372" t="s">
        <v>208</v>
      </c>
      <c r="G1372">
        <v>20</v>
      </c>
      <c r="H1372" t="s">
        <v>1312</v>
      </c>
    </row>
    <row r="1373" spans="1:8">
      <c r="A1373" t="s">
        <v>11</v>
      </c>
      <c r="B1373">
        <v>2025</v>
      </c>
      <c r="C1373" t="s">
        <v>21</v>
      </c>
      <c r="D1373" t="s">
        <v>199</v>
      </c>
      <c r="F1373" t="s">
        <v>208</v>
      </c>
      <c r="G1373">
        <v>0.9</v>
      </c>
      <c r="H1373" t="s">
        <v>1313</v>
      </c>
    </row>
    <row r="1374" spans="1:8">
      <c r="A1374" t="s">
        <v>11</v>
      </c>
      <c r="B1374">
        <v>2025</v>
      </c>
      <c r="C1374" t="s">
        <v>21</v>
      </c>
      <c r="D1374" t="s">
        <v>199</v>
      </c>
      <c r="F1374" t="s">
        <v>208</v>
      </c>
      <c r="G1374">
        <v>2.9</v>
      </c>
      <c r="H1374" t="s">
        <v>1314</v>
      </c>
    </row>
    <row r="1375" spans="1:8">
      <c r="A1375" t="s">
        <v>11</v>
      </c>
      <c r="B1375">
        <v>2025</v>
      </c>
      <c r="C1375" t="s">
        <v>21</v>
      </c>
      <c r="D1375" t="s">
        <v>180</v>
      </c>
      <c r="F1375" t="s">
        <v>208</v>
      </c>
      <c r="G1375">
        <v>6.9</v>
      </c>
      <c r="H1375" t="s">
        <v>1315</v>
      </c>
    </row>
    <row r="1376" spans="1:8">
      <c r="A1376" t="s">
        <v>11</v>
      </c>
      <c r="B1376">
        <v>2025</v>
      </c>
      <c r="C1376" t="s">
        <v>21</v>
      </c>
      <c r="D1376" t="s">
        <v>199</v>
      </c>
      <c r="F1376" t="s">
        <v>208</v>
      </c>
      <c r="G1376">
        <v>1.1000000000000001</v>
      </c>
      <c r="H1376" t="s">
        <v>1316</v>
      </c>
    </row>
    <row r="1377" spans="1:8">
      <c r="A1377" t="s">
        <v>11</v>
      </c>
      <c r="B1377">
        <v>2025</v>
      </c>
      <c r="C1377" t="s">
        <v>21</v>
      </c>
      <c r="D1377" t="s">
        <v>188</v>
      </c>
      <c r="F1377" t="s">
        <v>208</v>
      </c>
      <c r="G1377">
        <v>3.9</v>
      </c>
      <c r="H1377" t="s">
        <v>823</v>
      </c>
    </row>
    <row r="1378" spans="1:8">
      <c r="A1378" t="s">
        <v>11</v>
      </c>
      <c r="B1378">
        <v>2025</v>
      </c>
      <c r="C1378" t="s">
        <v>21</v>
      </c>
      <c r="D1378" t="s">
        <v>188</v>
      </c>
      <c r="F1378" t="s">
        <v>208</v>
      </c>
      <c r="G1378">
        <v>11.4</v>
      </c>
      <c r="H1378" t="s">
        <v>1240</v>
      </c>
    </row>
    <row r="1379" spans="1:8">
      <c r="A1379" t="s">
        <v>11</v>
      </c>
      <c r="B1379">
        <v>2025</v>
      </c>
      <c r="C1379" t="s">
        <v>27</v>
      </c>
      <c r="D1379" t="s">
        <v>180</v>
      </c>
      <c r="E1379" t="s">
        <v>799</v>
      </c>
      <c r="F1379" t="s">
        <v>181</v>
      </c>
      <c r="G1379">
        <v>6</v>
      </c>
      <c r="H1379" t="s">
        <v>216</v>
      </c>
    </row>
    <row r="1380" spans="1:8">
      <c r="A1380" t="s">
        <v>11</v>
      </c>
      <c r="B1380">
        <v>2025</v>
      </c>
      <c r="C1380" t="s">
        <v>27</v>
      </c>
      <c r="D1380" t="s">
        <v>180</v>
      </c>
      <c r="E1380" t="s">
        <v>339</v>
      </c>
      <c r="F1380" t="s">
        <v>181</v>
      </c>
      <c r="G1380">
        <v>2</v>
      </c>
      <c r="H1380" t="s">
        <v>216</v>
      </c>
    </row>
    <row r="1381" spans="1:8">
      <c r="A1381" t="s">
        <v>11</v>
      </c>
      <c r="B1381">
        <v>2025</v>
      </c>
      <c r="C1381" t="s">
        <v>27</v>
      </c>
      <c r="D1381" t="s">
        <v>184</v>
      </c>
      <c r="E1381" t="s">
        <v>827</v>
      </c>
      <c r="F1381" t="s">
        <v>181</v>
      </c>
      <c r="G1381">
        <v>2</v>
      </c>
      <c r="H1381" t="s">
        <v>216</v>
      </c>
    </row>
    <row r="1382" spans="1:8">
      <c r="A1382" t="s">
        <v>11</v>
      </c>
      <c r="B1382">
        <v>2025</v>
      </c>
      <c r="C1382" t="s">
        <v>27</v>
      </c>
      <c r="D1382" t="s">
        <v>180</v>
      </c>
      <c r="E1382" t="s">
        <v>800</v>
      </c>
      <c r="F1382" t="s">
        <v>181</v>
      </c>
      <c r="G1382">
        <v>1</v>
      </c>
      <c r="H1382" t="s">
        <v>216</v>
      </c>
    </row>
    <row r="1383" spans="1:8">
      <c r="A1383" t="s">
        <v>11</v>
      </c>
      <c r="B1383">
        <v>2025</v>
      </c>
      <c r="C1383" t="s">
        <v>27</v>
      </c>
      <c r="D1383" t="s">
        <v>180</v>
      </c>
      <c r="E1383" t="s">
        <v>801</v>
      </c>
      <c r="F1383" t="s">
        <v>181</v>
      </c>
      <c r="G1383">
        <v>1</v>
      </c>
      <c r="H1383" t="s">
        <v>216</v>
      </c>
    </row>
    <row r="1384" spans="1:8">
      <c r="A1384" t="s">
        <v>11</v>
      </c>
      <c r="B1384">
        <v>2025</v>
      </c>
      <c r="C1384" t="s">
        <v>27</v>
      </c>
      <c r="D1384" t="s">
        <v>188</v>
      </c>
      <c r="E1384" t="s">
        <v>827</v>
      </c>
      <c r="F1384" t="s">
        <v>181</v>
      </c>
      <c r="G1384">
        <v>6</v>
      </c>
      <c r="H1384" t="s">
        <v>802</v>
      </c>
    </row>
    <row r="1385" spans="1:8">
      <c r="A1385" t="s">
        <v>11</v>
      </c>
      <c r="B1385">
        <v>2025</v>
      </c>
      <c r="C1385" t="s">
        <v>27</v>
      </c>
      <c r="D1385" t="s">
        <v>180</v>
      </c>
      <c r="E1385" t="s">
        <v>803</v>
      </c>
      <c r="F1385" t="s">
        <v>181</v>
      </c>
      <c r="G1385">
        <v>1</v>
      </c>
      <c r="H1385" t="s">
        <v>804</v>
      </c>
    </row>
    <row r="1386" spans="1:8">
      <c r="A1386" t="s">
        <v>11</v>
      </c>
      <c r="B1386">
        <v>2025</v>
      </c>
      <c r="C1386" t="s">
        <v>27</v>
      </c>
      <c r="D1386" t="s">
        <v>180</v>
      </c>
      <c r="E1386" t="s">
        <v>797</v>
      </c>
      <c r="F1386" t="s">
        <v>181</v>
      </c>
      <c r="G1386">
        <v>3</v>
      </c>
      <c r="H1386" t="s">
        <v>802</v>
      </c>
    </row>
    <row r="1387" spans="1:8">
      <c r="A1387" t="s">
        <v>11</v>
      </c>
      <c r="B1387">
        <v>2025</v>
      </c>
      <c r="C1387" t="s">
        <v>27</v>
      </c>
      <c r="D1387" t="s">
        <v>191</v>
      </c>
      <c r="E1387" t="s">
        <v>827</v>
      </c>
      <c r="F1387" t="s">
        <v>181</v>
      </c>
      <c r="G1387">
        <v>3</v>
      </c>
      <c r="H1387" t="s">
        <v>802</v>
      </c>
    </row>
    <row r="1388" spans="1:8">
      <c r="A1388" t="s">
        <v>11</v>
      </c>
      <c r="B1388">
        <v>2025</v>
      </c>
      <c r="C1388" t="s">
        <v>27</v>
      </c>
      <c r="D1388" t="s">
        <v>200</v>
      </c>
      <c r="E1388" t="s">
        <v>827</v>
      </c>
      <c r="F1388" t="s">
        <v>181</v>
      </c>
      <c r="G1388">
        <v>1</v>
      </c>
      <c r="H1388" t="s">
        <v>804</v>
      </c>
    </row>
    <row r="1389" spans="1:8">
      <c r="A1389" t="s">
        <v>11</v>
      </c>
      <c r="B1389">
        <v>2025</v>
      </c>
      <c r="C1389" t="s">
        <v>27</v>
      </c>
      <c r="D1389" t="s">
        <v>199</v>
      </c>
      <c r="E1389" t="s">
        <v>827</v>
      </c>
      <c r="F1389" t="s">
        <v>181</v>
      </c>
      <c r="G1389">
        <v>0.25</v>
      </c>
      <c r="H1389" t="s">
        <v>202</v>
      </c>
    </row>
    <row r="1390" spans="1:8">
      <c r="A1390" t="s">
        <v>11</v>
      </c>
      <c r="B1390">
        <v>2025</v>
      </c>
      <c r="C1390" t="s">
        <v>27</v>
      </c>
      <c r="D1390" t="s">
        <v>197</v>
      </c>
      <c r="E1390" t="s">
        <v>827</v>
      </c>
      <c r="F1390" t="s">
        <v>181</v>
      </c>
      <c r="G1390">
        <v>0.25</v>
      </c>
      <c r="H1390" t="s">
        <v>202</v>
      </c>
    </row>
    <row r="1391" spans="1:8">
      <c r="A1391" t="s">
        <v>11</v>
      </c>
      <c r="B1391">
        <v>2025</v>
      </c>
      <c r="C1391" t="s">
        <v>27</v>
      </c>
      <c r="D1391" t="s">
        <v>199</v>
      </c>
      <c r="E1391" t="s">
        <v>827</v>
      </c>
      <c r="F1391" t="s">
        <v>181</v>
      </c>
      <c r="G1391">
        <v>0.75</v>
      </c>
      <c r="H1391" t="s">
        <v>740</v>
      </c>
    </row>
    <row r="1392" spans="1:8">
      <c r="A1392" t="s">
        <v>11</v>
      </c>
      <c r="B1392">
        <v>2025</v>
      </c>
      <c r="C1392" t="s">
        <v>27</v>
      </c>
      <c r="D1392" t="s">
        <v>197</v>
      </c>
      <c r="E1392" t="s">
        <v>827</v>
      </c>
      <c r="F1392" t="s">
        <v>181</v>
      </c>
      <c r="G1392">
        <v>0.75</v>
      </c>
      <c r="H1392" t="s">
        <v>740</v>
      </c>
    </row>
    <row r="1393" spans="1:8">
      <c r="A1393" t="s">
        <v>11</v>
      </c>
      <c r="B1393">
        <v>2025</v>
      </c>
      <c r="C1393" t="s">
        <v>27</v>
      </c>
      <c r="D1393" t="s">
        <v>203</v>
      </c>
      <c r="E1393" t="s">
        <v>827</v>
      </c>
      <c r="F1393" t="s">
        <v>181</v>
      </c>
      <c r="G1393">
        <v>1</v>
      </c>
      <c r="H1393" t="s">
        <v>805</v>
      </c>
    </row>
    <row r="1394" spans="1:8">
      <c r="A1394" t="s">
        <v>11</v>
      </c>
      <c r="B1394">
        <v>2025</v>
      </c>
      <c r="C1394" t="s">
        <v>27</v>
      </c>
      <c r="D1394" t="s">
        <v>180</v>
      </c>
      <c r="E1394" t="s">
        <v>806</v>
      </c>
      <c r="F1394" t="s">
        <v>181</v>
      </c>
      <c r="G1394">
        <v>1</v>
      </c>
      <c r="H1394" t="s">
        <v>201</v>
      </c>
    </row>
    <row r="1395" spans="1:8">
      <c r="A1395" t="s">
        <v>11</v>
      </c>
      <c r="B1395">
        <v>2025</v>
      </c>
      <c r="C1395" t="s">
        <v>27</v>
      </c>
      <c r="D1395" t="s">
        <v>180</v>
      </c>
      <c r="E1395" t="s">
        <v>807</v>
      </c>
      <c r="F1395" t="s">
        <v>181</v>
      </c>
      <c r="G1395">
        <v>1</v>
      </c>
      <c r="H1395" t="s">
        <v>201</v>
      </c>
    </row>
    <row r="1396" spans="1:8">
      <c r="A1396" t="s">
        <v>11</v>
      </c>
      <c r="B1396">
        <v>2025</v>
      </c>
      <c r="C1396" t="s">
        <v>27</v>
      </c>
      <c r="D1396" t="s">
        <v>180</v>
      </c>
      <c r="F1396" t="s">
        <v>181</v>
      </c>
      <c r="G1396">
        <v>1</v>
      </c>
      <c r="H1396" t="s">
        <v>1235</v>
      </c>
    </row>
    <row r="1397" spans="1:8">
      <c r="A1397" t="s">
        <v>11</v>
      </c>
      <c r="B1397">
        <v>2025</v>
      </c>
      <c r="C1397" t="s">
        <v>27</v>
      </c>
      <c r="D1397" t="s">
        <v>180</v>
      </c>
      <c r="E1397" t="s">
        <v>808</v>
      </c>
      <c r="F1397" t="s">
        <v>181</v>
      </c>
      <c r="G1397">
        <v>1</v>
      </c>
      <c r="H1397" t="s">
        <v>804</v>
      </c>
    </row>
    <row r="1398" spans="1:8">
      <c r="A1398" t="s">
        <v>11</v>
      </c>
      <c r="B1398">
        <v>2025</v>
      </c>
      <c r="C1398" t="s">
        <v>27</v>
      </c>
      <c r="D1398" t="s">
        <v>180</v>
      </c>
      <c r="E1398" t="s">
        <v>809</v>
      </c>
      <c r="F1398" t="s">
        <v>181</v>
      </c>
      <c r="G1398">
        <v>4</v>
      </c>
      <c r="H1398" t="s">
        <v>285</v>
      </c>
    </row>
    <row r="1399" spans="1:8">
      <c r="A1399" t="s">
        <v>11</v>
      </c>
      <c r="B1399">
        <v>2025</v>
      </c>
      <c r="C1399" t="s">
        <v>27</v>
      </c>
      <c r="D1399" t="s">
        <v>180</v>
      </c>
      <c r="E1399" t="s">
        <v>291</v>
      </c>
      <c r="F1399" t="s">
        <v>181</v>
      </c>
      <c r="G1399">
        <v>1</v>
      </c>
      <c r="H1399" t="s">
        <v>216</v>
      </c>
    </row>
    <row r="1400" spans="1:8">
      <c r="A1400" t="s">
        <v>11</v>
      </c>
      <c r="B1400">
        <v>2025</v>
      </c>
      <c r="C1400" t="s">
        <v>27</v>
      </c>
      <c r="D1400" t="s">
        <v>180</v>
      </c>
      <c r="E1400" t="s">
        <v>810</v>
      </c>
      <c r="F1400" t="s">
        <v>181</v>
      </c>
      <c r="G1400">
        <v>1</v>
      </c>
      <c r="H1400" t="s">
        <v>216</v>
      </c>
    </row>
    <row r="1401" spans="1:8">
      <c r="A1401" t="s">
        <v>11</v>
      </c>
      <c r="B1401">
        <v>2025</v>
      </c>
      <c r="C1401" t="s">
        <v>27</v>
      </c>
      <c r="D1401" t="s">
        <v>180</v>
      </c>
      <c r="E1401" t="s">
        <v>811</v>
      </c>
      <c r="F1401" t="s">
        <v>181</v>
      </c>
      <c r="G1401">
        <v>2</v>
      </c>
      <c r="H1401" t="s">
        <v>216</v>
      </c>
    </row>
    <row r="1402" spans="1:8">
      <c r="A1402" t="s">
        <v>11</v>
      </c>
      <c r="B1402">
        <v>2025</v>
      </c>
      <c r="C1402" t="s">
        <v>27</v>
      </c>
      <c r="D1402" t="s">
        <v>180</v>
      </c>
      <c r="E1402" t="s">
        <v>812</v>
      </c>
      <c r="F1402" t="s">
        <v>181</v>
      </c>
      <c r="G1402">
        <v>1</v>
      </c>
      <c r="H1402" t="s">
        <v>216</v>
      </c>
    </row>
    <row r="1403" spans="1:8">
      <c r="A1403" t="s">
        <v>11</v>
      </c>
      <c r="B1403">
        <v>2025</v>
      </c>
      <c r="C1403" t="s">
        <v>27</v>
      </c>
      <c r="D1403" t="s">
        <v>180</v>
      </c>
      <c r="E1403" t="s">
        <v>813</v>
      </c>
      <c r="F1403" t="s">
        <v>181</v>
      </c>
      <c r="G1403">
        <v>0.67</v>
      </c>
      <c r="H1403" t="s">
        <v>216</v>
      </c>
    </row>
    <row r="1404" spans="1:8">
      <c r="A1404" t="s">
        <v>11</v>
      </c>
      <c r="B1404">
        <v>2025</v>
      </c>
      <c r="C1404" t="s">
        <v>27</v>
      </c>
      <c r="D1404" t="s">
        <v>180</v>
      </c>
      <c r="E1404" t="s">
        <v>814</v>
      </c>
      <c r="F1404" t="s">
        <v>181</v>
      </c>
      <c r="G1404">
        <v>1</v>
      </c>
      <c r="H1404" t="s">
        <v>216</v>
      </c>
    </row>
    <row r="1405" spans="1:8">
      <c r="A1405" t="s">
        <v>11</v>
      </c>
      <c r="B1405">
        <v>2025</v>
      </c>
      <c r="C1405" t="s">
        <v>27</v>
      </c>
      <c r="D1405" t="s">
        <v>188</v>
      </c>
      <c r="E1405" t="s">
        <v>827</v>
      </c>
      <c r="F1405" t="s">
        <v>181</v>
      </c>
      <c r="G1405">
        <v>1</v>
      </c>
      <c r="H1405" t="s">
        <v>815</v>
      </c>
    </row>
    <row r="1406" spans="1:8">
      <c r="A1406" t="s">
        <v>11</v>
      </c>
      <c r="B1406">
        <v>2025</v>
      </c>
      <c r="C1406" t="s">
        <v>27</v>
      </c>
      <c r="D1406" t="s">
        <v>180</v>
      </c>
      <c r="E1406" t="s">
        <v>827</v>
      </c>
      <c r="F1406" t="s">
        <v>181</v>
      </c>
      <c r="G1406">
        <v>2</v>
      </c>
      <c r="H1406" t="s">
        <v>1160</v>
      </c>
    </row>
    <row r="1407" spans="1:8">
      <c r="A1407" t="s">
        <v>11</v>
      </c>
      <c r="B1407">
        <v>2025</v>
      </c>
      <c r="C1407" t="s">
        <v>27</v>
      </c>
      <c r="D1407" t="s">
        <v>180</v>
      </c>
      <c r="F1407" t="s">
        <v>181</v>
      </c>
      <c r="G1407">
        <v>0.4</v>
      </c>
      <c r="H1407" t="s">
        <v>1311</v>
      </c>
    </row>
    <row r="1408" spans="1:8">
      <c r="A1408" t="s">
        <v>11</v>
      </c>
      <c r="B1408">
        <v>2025</v>
      </c>
      <c r="C1408" t="s">
        <v>27</v>
      </c>
      <c r="D1408" t="s">
        <v>180</v>
      </c>
      <c r="F1408" t="s">
        <v>181</v>
      </c>
      <c r="G1408">
        <v>3</v>
      </c>
      <c r="H1408" t="s">
        <v>1332</v>
      </c>
    </row>
    <row r="1409" spans="1:8">
      <c r="A1409" t="s">
        <v>11</v>
      </c>
      <c r="B1409">
        <v>2025</v>
      </c>
      <c r="C1409" t="s">
        <v>27</v>
      </c>
      <c r="D1409" t="s">
        <v>180</v>
      </c>
      <c r="F1409" t="s">
        <v>181</v>
      </c>
      <c r="G1409">
        <v>3</v>
      </c>
      <c r="H1409" t="s">
        <v>1333</v>
      </c>
    </row>
    <row r="1410" spans="1:8">
      <c r="A1410" t="s">
        <v>11</v>
      </c>
      <c r="B1410">
        <v>2025</v>
      </c>
      <c r="C1410" t="s">
        <v>27</v>
      </c>
      <c r="D1410" t="s">
        <v>180</v>
      </c>
      <c r="F1410" t="s">
        <v>181</v>
      </c>
      <c r="G1410">
        <v>1.5</v>
      </c>
      <c r="H1410" t="s">
        <v>1334</v>
      </c>
    </row>
    <row r="1411" spans="1:8">
      <c r="A1411" t="s">
        <v>11</v>
      </c>
      <c r="B1411">
        <v>2025</v>
      </c>
      <c r="C1411" t="s">
        <v>27</v>
      </c>
      <c r="D1411" t="s">
        <v>180</v>
      </c>
      <c r="F1411" t="s">
        <v>181</v>
      </c>
      <c r="G1411">
        <v>6</v>
      </c>
      <c r="H1411" t="s">
        <v>1335</v>
      </c>
    </row>
    <row r="1412" spans="1:8">
      <c r="A1412" t="s">
        <v>11</v>
      </c>
      <c r="B1412">
        <v>2025</v>
      </c>
      <c r="C1412" t="s">
        <v>27</v>
      </c>
      <c r="D1412" t="s">
        <v>180</v>
      </c>
      <c r="F1412" t="s">
        <v>181</v>
      </c>
      <c r="G1412">
        <v>1</v>
      </c>
      <c r="H1412" t="s">
        <v>1336</v>
      </c>
    </row>
    <row r="1413" spans="1:8">
      <c r="A1413" t="s">
        <v>11</v>
      </c>
      <c r="B1413">
        <v>2025</v>
      </c>
      <c r="C1413" t="s">
        <v>27</v>
      </c>
      <c r="D1413" t="s">
        <v>180</v>
      </c>
      <c r="F1413" t="s">
        <v>181</v>
      </c>
      <c r="G1413">
        <v>1</v>
      </c>
      <c r="H1413" t="s">
        <v>1337</v>
      </c>
    </row>
    <row r="1414" spans="1:8">
      <c r="A1414" t="s">
        <v>11</v>
      </c>
      <c r="B1414">
        <v>2025</v>
      </c>
      <c r="C1414" t="s">
        <v>27</v>
      </c>
      <c r="D1414" t="s">
        <v>191</v>
      </c>
      <c r="F1414" t="s">
        <v>181</v>
      </c>
      <c r="G1414">
        <v>19.5</v>
      </c>
      <c r="H1414" t="s">
        <v>1338</v>
      </c>
    </row>
    <row r="1415" spans="1:8">
      <c r="A1415" t="s">
        <v>11</v>
      </c>
      <c r="B1415">
        <v>2025</v>
      </c>
      <c r="C1415" t="s">
        <v>27</v>
      </c>
      <c r="D1415" t="s">
        <v>188</v>
      </c>
      <c r="F1415" t="s">
        <v>181</v>
      </c>
      <c r="G1415">
        <v>10</v>
      </c>
      <c r="H1415" t="s">
        <v>1339</v>
      </c>
    </row>
    <row r="1416" spans="1:8">
      <c r="A1416" t="s">
        <v>11</v>
      </c>
      <c r="B1416">
        <v>2025</v>
      </c>
      <c r="C1416" t="s">
        <v>27</v>
      </c>
      <c r="D1416" t="s">
        <v>180</v>
      </c>
      <c r="F1416" t="s">
        <v>181</v>
      </c>
      <c r="G1416">
        <v>1</v>
      </c>
      <c r="H1416" t="s">
        <v>1340</v>
      </c>
    </row>
    <row r="1417" spans="1:8">
      <c r="A1417" t="s">
        <v>11</v>
      </c>
      <c r="B1417">
        <v>2025</v>
      </c>
      <c r="C1417" t="s">
        <v>27</v>
      </c>
      <c r="D1417" t="s">
        <v>191</v>
      </c>
      <c r="F1417" t="s">
        <v>181</v>
      </c>
      <c r="G1417">
        <v>12</v>
      </c>
      <c r="H1417" t="s">
        <v>1341</v>
      </c>
    </row>
    <row r="1418" spans="1:8">
      <c r="A1418" t="s">
        <v>11</v>
      </c>
      <c r="B1418">
        <v>2025</v>
      </c>
      <c r="C1418" t="s">
        <v>27</v>
      </c>
      <c r="D1418" t="s">
        <v>188</v>
      </c>
      <c r="F1418" t="s">
        <v>181</v>
      </c>
      <c r="G1418">
        <v>3.5</v>
      </c>
      <c r="H1418" t="s">
        <v>1341</v>
      </c>
    </row>
    <row r="1419" spans="1:8">
      <c r="A1419" t="s">
        <v>11</v>
      </c>
      <c r="B1419">
        <v>2025</v>
      </c>
      <c r="C1419" t="s">
        <v>27</v>
      </c>
      <c r="D1419" t="s">
        <v>180</v>
      </c>
      <c r="E1419" t="s">
        <v>811</v>
      </c>
      <c r="F1419" t="s">
        <v>208</v>
      </c>
      <c r="G1419">
        <v>1.1000000000000001</v>
      </c>
      <c r="H1419" t="s">
        <v>1342</v>
      </c>
    </row>
    <row r="1420" spans="1:8">
      <c r="A1420" t="s">
        <v>11</v>
      </c>
      <c r="B1420">
        <v>2025</v>
      </c>
      <c r="C1420" t="s">
        <v>27</v>
      </c>
      <c r="D1420" t="s">
        <v>180</v>
      </c>
      <c r="F1420" t="s">
        <v>208</v>
      </c>
      <c r="G1420">
        <v>0.5</v>
      </c>
      <c r="H1420" t="s">
        <v>1343</v>
      </c>
    </row>
    <row r="1421" spans="1:8">
      <c r="A1421" t="s">
        <v>11</v>
      </c>
      <c r="B1421">
        <v>2025</v>
      </c>
      <c r="C1421" t="s">
        <v>27</v>
      </c>
      <c r="D1421" t="s">
        <v>203</v>
      </c>
      <c r="F1421" t="s">
        <v>208</v>
      </c>
      <c r="G1421">
        <v>0.6</v>
      </c>
      <c r="H1421" t="s">
        <v>1344</v>
      </c>
    </row>
    <row r="1422" spans="1:8">
      <c r="A1422" t="s">
        <v>11</v>
      </c>
      <c r="B1422">
        <v>2025</v>
      </c>
      <c r="C1422" t="s">
        <v>27</v>
      </c>
      <c r="D1422" t="s">
        <v>199</v>
      </c>
      <c r="F1422" t="s">
        <v>208</v>
      </c>
      <c r="G1422">
        <v>2</v>
      </c>
      <c r="H1422" t="s">
        <v>1345</v>
      </c>
    </row>
    <row r="1423" spans="1:8">
      <c r="A1423" t="s">
        <v>11</v>
      </c>
      <c r="B1423">
        <v>2025</v>
      </c>
      <c r="C1423" t="s">
        <v>27</v>
      </c>
      <c r="D1423" t="s">
        <v>188</v>
      </c>
      <c r="F1423" t="s">
        <v>208</v>
      </c>
      <c r="G1423">
        <v>2.1</v>
      </c>
      <c r="H1423" t="s">
        <v>822</v>
      </c>
    </row>
    <row r="1424" spans="1:8">
      <c r="A1424" t="s">
        <v>11</v>
      </c>
      <c r="B1424">
        <v>2025</v>
      </c>
      <c r="C1424" t="s">
        <v>27</v>
      </c>
      <c r="D1424" t="s">
        <v>188</v>
      </c>
      <c r="F1424" t="s">
        <v>208</v>
      </c>
      <c r="G1424">
        <v>6.5</v>
      </c>
      <c r="H1424" t="s">
        <v>823</v>
      </c>
    </row>
    <row r="1425" spans="1:8">
      <c r="A1425" t="s">
        <v>11</v>
      </c>
      <c r="B1425">
        <v>2025</v>
      </c>
      <c r="C1425" t="s">
        <v>27</v>
      </c>
      <c r="D1425" t="s">
        <v>188</v>
      </c>
      <c r="F1425" t="s">
        <v>208</v>
      </c>
      <c r="G1425">
        <v>18.2</v>
      </c>
      <c r="H1425" t="s">
        <v>1240</v>
      </c>
    </row>
    <row r="1426" spans="1:8">
      <c r="A1426" t="s">
        <v>11</v>
      </c>
      <c r="B1426">
        <v>2025</v>
      </c>
      <c r="C1426" t="s">
        <v>28</v>
      </c>
      <c r="D1426" t="s">
        <v>180</v>
      </c>
      <c r="E1426" t="s">
        <v>799</v>
      </c>
      <c r="F1426" t="s">
        <v>181</v>
      </c>
      <c r="G1426">
        <v>6</v>
      </c>
      <c r="H1426" t="s">
        <v>216</v>
      </c>
    </row>
    <row r="1427" spans="1:8">
      <c r="A1427" t="s">
        <v>11</v>
      </c>
      <c r="B1427">
        <v>2025</v>
      </c>
      <c r="C1427" t="s">
        <v>28</v>
      </c>
      <c r="D1427" t="s">
        <v>180</v>
      </c>
      <c r="E1427" t="s">
        <v>339</v>
      </c>
      <c r="F1427" t="s">
        <v>181</v>
      </c>
      <c r="G1427">
        <v>2</v>
      </c>
      <c r="H1427" t="s">
        <v>216</v>
      </c>
    </row>
    <row r="1428" spans="1:8">
      <c r="A1428" t="s">
        <v>11</v>
      </c>
      <c r="B1428">
        <v>2025</v>
      </c>
      <c r="C1428" t="s">
        <v>28</v>
      </c>
      <c r="D1428" t="s">
        <v>184</v>
      </c>
      <c r="E1428" t="s">
        <v>827</v>
      </c>
      <c r="F1428" t="s">
        <v>181</v>
      </c>
      <c r="G1428">
        <v>2</v>
      </c>
      <c r="H1428" t="s">
        <v>216</v>
      </c>
    </row>
    <row r="1429" spans="1:8">
      <c r="A1429" t="s">
        <v>11</v>
      </c>
      <c r="B1429">
        <v>2025</v>
      </c>
      <c r="C1429" t="s">
        <v>28</v>
      </c>
      <c r="D1429" t="s">
        <v>180</v>
      </c>
      <c r="E1429" t="s">
        <v>800</v>
      </c>
      <c r="F1429" t="s">
        <v>181</v>
      </c>
      <c r="G1429">
        <v>1</v>
      </c>
      <c r="H1429" t="s">
        <v>216</v>
      </c>
    </row>
    <row r="1430" spans="1:8">
      <c r="A1430" t="s">
        <v>11</v>
      </c>
      <c r="B1430">
        <v>2025</v>
      </c>
      <c r="C1430" t="s">
        <v>28</v>
      </c>
      <c r="D1430" t="s">
        <v>180</v>
      </c>
      <c r="E1430" t="s">
        <v>801</v>
      </c>
      <c r="F1430" t="s">
        <v>181</v>
      </c>
      <c r="G1430">
        <v>1</v>
      </c>
      <c r="H1430" t="s">
        <v>216</v>
      </c>
    </row>
    <row r="1431" spans="1:8">
      <c r="A1431" t="s">
        <v>11</v>
      </c>
      <c r="B1431">
        <v>2025</v>
      </c>
      <c r="C1431" t="s">
        <v>28</v>
      </c>
      <c r="D1431" t="s">
        <v>188</v>
      </c>
      <c r="E1431" t="s">
        <v>827</v>
      </c>
      <c r="F1431" t="s">
        <v>181</v>
      </c>
      <c r="G1431">
        <v>6</v>
      </c>
      <c r="H1431" t="s">
        <v>802</v>
      </c>
    </row>
    <row r="1432" spans="1:8">
      <c r="A1432" t="s">
        <v>11</v>
      </c>
      <c r="B1432">
        <v>2025</v>
      </c>
      <c r="C1432" t="s">
        <v>28</v>
      </c>
      <c r="D1432" t="s">
        <v>180</v>
      </c>
      <c r="E1432" t="s">
        <v>803</v>
      </c>
      <c r="F1432" t="s">
        <v>181</v>
      </c>
      <c r="G1432">
        <v>1</v>
      </c>
      <c r="H1432" t="s">
        <v>804</v>
      </c>
    </row>
    <row r="1433" spans="1:8">
      <c r="A1433" t="s">
        <v>11</v>
      </c>
      <c r="B1433">
        <v>2025</v>
      </c>
      <c r="C1433" t="s">
        <v>28</v>
      </c>
      <c r="D1433" t="s">
        <v>180</v>
      </c>
      <c r="E1433" t="s">
        <v>797</v>
      </c>
      <c r="F1433" t="s">
        <v>181</v>
      </c>
      <c r="G1433">
        <v>3</v>
      </c>
      <c r="H1433" t="s">
        <v>802</v>
      </c>
    </row>
    <row r="1434" spans="1:8">
      <c r="A1434" t="s">
        <v>11</v>
      </c>
      <c r="B1434">
        <v>2025</v>
      </c>
      <c r="C1434" t="s">
        <v>28</v>
      </c>
      <c r="D1434" t="s">
        <v>191</v>
      </c>
      <c r="E1434" t="s">
        <v>827</v>
      </c>
      <c r="F1434" t="s">
        <v>181</v>
      </c>
      <c r="G1434">
        <v>3</v>
      </c>
      <c r="H1434" t="s">
        <v>802</v>
      </c>
    </row>
    <row r="1435" spans="1:8">
      <c r="A1435" t="s">
        <v>11</v>
      </c>
      <c r="B1435">
        <v>2025</v>
      </c>
      <c r="C1435" t="s">
        <v>28</v>
      </c>
      <c r="D1435" t="s">
        <v>200</v>
      </c>
      <c r="E1435" t="s">
        <v>827</v>
      </c>
      <c r="F1435" t="s">
        <v>181</v>
      </c>
      <c r="G1435">
        <v>1</v>
      </c>
      <c r="H1435" t="s">
        <v>804</v>
      </c>
    </row>
    <row r="1436" spans="1:8">
      <c r="A1436" t="s">
        <v>11</v>
      </c>
      <c r="B1436">
        <v>2025</v>
      </c>
      <c r="C1436" t="s">
        <v>28</v>
      </c>
      <c r="D1436" t="s">
        <v>199</v>
      </c>
      <c r="E1436" t="s">
        <v>827</v>
      </c>
      <c r="F1436" t="s">
        <v>181</v>
      </c>
      <c r="G1436">
        <v>0.25</v>
      </c>
      <c r="H1436" t="s">
        <v>202</v>
      </c>
    </row>
    <row r="1437" spans="1:8">
      <c r="A1437" t="s">
        <v>11</v>
      </c>
      <c r="B1437">
        <v>2025</v>
      </c>
      <c r="C1437" t="s">
        <v>28</v>
      </c>
      <c r="D1437" t="s">
        <v>197</v>
      </c>
      <c r="E1437" t="s">
        <v>827</v>
      </c>
      <c r="F1437" t="s">
        <v>181</v>
      </c>
      <c r="G1437">
        <v>0.25</v>
      </c>
      <c r="H1437" t="s">
        <v>202</v>
      </c>
    </row>
    <row r="1438" spans="1:8">
      <c r="A1438" t="s">
        <v>11</v>
      </c>
      <c r="B1438">
        <v>2025</v>
      </c>
      <c r="C1438" t="s">
        <v>28</v>
      </c>
      <c r="D1438" t="s">
        <v>199</v>
      </c>
      <c r="E1438" t="s">
        <v>827</v>
      </c>
      <c r="F1438" t="s">
        <v>181</v>
      </c>
      <c r="G1438">
        <v>0.75</v>
      </c>
      <c r="H1438" t="s">
        <v>740</v>
      </c>
    </row>
    <row r="1439" spans="1:8">
      <c r="A1439" t="s">
        <v>11</v>
      </c>
      <c r="B1439">
        <v>2025</v>
      </c>
      <c r="C1439" t="s">
        <v>28</v>
      </c>
      <c r="D1439" t="s">
        <v>197</v>
      </c>
      <c r="E1439" t="s">
        <v>827</v>
      </c>
      <c r="F1439" t="s">
        <v>181</v>
      </c>
      <c r="G1439">
        <v>0.75</v>
      </c>
      <c r="H1439" t="s">
        <v>740</v>
      </c>
    </row>
    <row r="1440" spans="1:8">
      <c r="A1440" t="s">
        <v>11</v>
      </c>
      <c r="B1440">
        <v>2025</v>
      </c>
      <c r="C1440" t="s">
        <v>28</v>
      </c>
      <c r="D1440" t="s">
        <v>203</v>
      </c>
      <c r="E1440" t="s">
        <v>827</v>
      </c>
      <c r="F1440" t="s">
        <v>181</v>
      </c>
      <c r="G1440">
        <v>1</v>
      </c>
      <c r="H1440" t="s">
        <v>805</v>
      </c>
    </row>
    <row r="1441" spans="1:8">
      <c r="A1441" t="s">
        <v>11</v>
      </c>
      <c r="B1441">
        <v>2025</v>
      </c>
      <c r="C1441" t="s">
        <v>28</v>
      </c>
      <c r="D1441" t="s">
        <v>180</v>
      </c>
      <c r="E1441" t="s">
        <v>806</v>
      </c>
      <c r="F1441" t="s">
        <v>181</v>
      </c>
      <c r="G1441">
        <v>1</v>
      </c>
      <c r="H1441" t="s">
        <v>201</v>
      </c>
    </row>
    <row r="1442" spans="1:8">
      <c r="A1442" t="s">
        <v>11</v>
      </c>
      <c r="B1442">
        <v>2025</v>
      </c>
      <c r="C1442" t="s">
        <v>28</v>
      </c>
      <c r="D1442" t="s">
        <v>180</v>
      </c>
      <c r="E1442" t="s">
        <v>807</v>
      </c>
      <c r="F1442" t="s">
        <v>181</v>
      </c>
      <c r="G1442">
        <v>1</v>
      </c>
      <c r="H1442" t="s">
        <v>201</v>
      </c>
    </row>
    <row r="1443" spans="1:8">
      <c r="A1443" t="s">
        <v>11</v>
      </c>
      <c r="B1443">
        <v>2025</v>
      </c>
      <c r="C1443" t="s">
        <v>28</v>
      </c>
      <c r="D1443" t="s">
        <v>180</v>
      </c>
      <c r="F1443" t="s">
        <v>181</v>
      </c>
      <c r="G1443">
        <v>1</v>
      </c>
      <c r="H1443" t="s">
        <v>1235</v>
      </c>
    </row>
    <row r="1444" spans="1:8">
      <c r="A1444" t="s">
        <v>11</v>
      </c>
      <c r="B1444">
        <v>2025</v>
      </c>
      <c r="C1444" t="s">
        <v>28</v>
      </c>
      <c r="D1444" t="s">
        <v>180</v>
      </c>
      <c r="E1444" t="s">
        <v>808</v>
      </c>
      <c r="F1444" t="s">
        <v>181</v>
      </c>
      <c r="G1444">
        <v>1</v>
      </c>
      <c r="H1444" t="s">
        <v>804</v>
      </c>
    </row>
    <row r="1445" spans="1:8">
      <c r="A1445" t="s">
        <v>11</v>
      </c>
      <c r="B1445">
        <v>2025</v>
      </c>
      <c r="C1445" t="s">
        <v>28</v>
      </c>
      <c r="D1445" t="s">
        <v>180</v>
      </c>
      <c r="E1445" t="s">
        <v>809</v>
      </c>
      <c r="F1445" t="s">
        <v>181</v>
      </c>
      <c r="G1445">
        <v>4</v>
      </c>
      <c r="H1445" t="s">
        <v>285</v>
      </c>
    </row>
    <row r="1446" spans="1:8">
      <c r="A1446" t="s">
        <v>11</v>
      </c>
      <c r="B1446">
        <v>2025</v>
      </c>
      <c r="C1446" t="s">
        <v>28</v>
      </c>
      <c r="D1446" t="s">
        <v>180</v>
      </c>
      <c r="E1446" t="s">
        <v>291</v>
      </c>
      <c r="F1446" t="s">
        <v>181</v>
      </c>
      <c r="G1446">
        <v>1</v>
      </c>
      <c r="H1446" t="s">
        <v>216</v>
      </c>
    </row>
    <row r="1447" spans="1:8">
      <c r="A1447" t="s">
        <v>11</v>
      </c>
      <c r="B1447">
        <v>2025</v>
      </c>
      <c r="C1447" t="s">
        <v>28</v>
      </c>
      <c r="D1447" t="s">
        <v>180</v>
      </c>
      <c r="E1447" t="s">
        <v>810</v>
      </c>
      <c r="F1447" t="s">
        <v>181</v>
      </c>
      <c r="G1447">
        <v>1</v>
      </c>
      <c r="H1447" t="s">
        <v>216</v>
      </c>
    </row>
    <row r="1448" spans="1:8">
      <c r="A1448" t="s">
        <v>11</v>
      </c>
      <c r="B1448">
        <v>2025</v>
      </c>
      <c r="C1448" t="s">
        <v>28</v>
      </c>
      <c r="D1448" t="s">
        <v>180</v>
      </c>
      <c r="E1448" t="s">
        <v>811</v>
      </c>
      <c r="F1448" t="s">
        <v>181</v>
      </c>
      <c r="G1448">
        <v>2</v>
      </c>
      <c r="H1448" t="s">
        <v>216</v>
      </c>
    </row>
    <row r="1449" spans="1:8">
      <c r="A1449" t="s">
        <v>11</v>
      </c>
      <c r="B1449">
        <v>2025</v>
      </c>
      <c r="C1449" t="s">
        <v>28</v>
      </c>
      <c r="D1449" t="s">
        <v>180</v>
      </c>
      <c r="E1449" t="s">
        <v>812</v>
      </c>
      <c r="F1449" t="s">
        <v>181</v>
      </c>
      <c r="G1449">
        <v>1</v>
      </c>
      <c r="H1449" t="s">
        <v>216</v>
      </c>
    </row>
    <row r="1450" spans="1:8">
      <c r="A1450" t="s">
        <v>11</v>
      </c>
      <c r="B1450">
        <v>2025</v>
      </c>
      <c r="C1450" t="s">
        <v>28</v>
      </c>
      <c r="D1450" t="s">
        <v>180</v>
      </c>
      <c r="E1450" t="s">
        <v>813</v>
      </c>
      <c r="F1450" t="s">
        <v>181</v>
      </c>
      <c r="G1450">
        <v>0.67</v>
      </c>
      <c r="H1450" t="s">
        <v>216</v>
      </c>
    </row>
    <row r="1451" spans="1:8">
      <c r="A1451" t="s">
        <v>11</v>
      </c>
      <c r="B1451">
        <v>2025</v>
      </c>
      <c r="C1451" t="s">
        <v>28</v>
      </c>
      <c r="D1451" t="s">
        <v>180</v>
      </c>
      <c r="E1451" t="s">
        <v>814</v>
      </c>
      <c r="F1451" t="s">
        <v>181</v>
      </c>
      <c r="G1451">
        <v>1</v>
      </c>
      <c r="H1451" t="s">
        <v>216</v>
      </c>
    </row>
    <row r="1452" spans="1:8">
      <c r="A1452" t="s">
        <v>11</v>
      </c>
      <c r="B1452">
        <v>2025</v>
      </c>
      <c r="C1452" t="s">
        <v>28</v>
      </c>
      <c r="D1452" t="s">
        <v>188</v>
      </c>
      <c r="E1452" t="s">
        <v>827</v>
      </c>
      <c r="F1452" t="s">
        <v>181</v>
      </c>
      <c r="G1452">
        <v>1</v>
      </c>
      <c r="H1452" t="s">
        <v>815</v>
      </c>
    </row>
    <row r="1453" spans="1:8">
      <c r="A1453" t="s">
        <v>11</v>
      </c>
      <c r="B1453">
        <v>2025</v>
      </c>
      <c r="C1453" t="s">
        <v>28</v>
      </c>
      <c r="D1453" t="s">
        <v>180</v>
      </c>
      <c r="E1453" t="s">
        <v>827</v>
      </c>
      <c r="F1453" t="s">
        <v>181</v>
      </c>
      <c r="G1453">
        <v>2</v>
      </c>
      <c r="H1453" t="s">
        <v>1160</v>
      </c>
    </row>
    <row r="1454" spans="1:8">
      <c r="A1454" t="s">
        <v>11</v>
      </c>
      <c r="B1454">
        <v>2025</v>
      </c>
      <c r="C1454" t="s">
        <v>28</v>
      </c>
      <c r="D1454" t="s">
        <v>180</v>
      </c>
      <c r="F1454" t="s">
        <v>181</v>
      </c>
      <c r="G1454">
        <v>2</v>
      </c>
      <c r="H1454" t="s">
        <v>1384</v>
      </c>
    </row>
    <row r="1455" spans="1:8">
      <c r="A1455" t="s">
        <v>11</v>
      </c>
      <c r="B1455">
        <v>2025</v>
      </c>
      <c r="C1455" t="s">
        <v>28</v>
      </c>
      <c r="D1455" t="s">
        <v>180</v>
      </c>
      <c r="F1455" t="s">
        <v>181</v>
      </c>
      <c r="G1455">
        <v>3</v>
      </c>
      <c r="H1455" t="s">
        <v>1385</v>
      </c>
    </row>
    <row r="1456" spans="1:8">
      <c r="A1456" t="s">
        <v>11</v>
      </c>
      <c r="B1456">
        <v>2025</v>
      </c>
      <c r="C1456" t="s">
        <v>28</v>
      </c>
      <c r="D1456" t="s">
        <v>180</v>
      </c>
      <c r="F1456" t="s">
        <v>181</v>
      </c>
      <c r="G1456">
        <v>3</v>
      </c>
      <c r="H1456" t="s">
        <v>1386</v>
      </c>
    </row>
    <row r="1457" spans="1:8">
      <c r="A1457" t="s">
        <v>11</v>
      </c>
      <c r="B1457">
        <v>2025</v>
      </c>
      <c r="C1457" t="s">
        <v>28</v>
      </c>
      <c r="D1457" t="s">
        <v>180</v>
      </c>
      <c r="F1457" t="s">
        <v>181</v>
      </c>
      <c r="G1457">
        <v>2</v>
      </c>
      <c r="H1457" t="s">
        <v>1387</v>
      </c>
    </row>
    <row r="1458" spans="1:8">
      <c r="A1458" t="s">
        <v>11</v>
      </c>
      <c r="B1458">
        <v>2025</v>
      </c>
      <c r="C1458" t="s">
        <v>28</v>
      </c>
      <c r="D1458" t="s">
        <v>188</v>
      </c>
      <c r="F1458" t="s">
        <v>181</v>
      </c>
      <c r="G1458">
        <v>1.5</v>
      </c>
      <c r="H1458" t="s">
        <v>1388</v>
      </c>
    </row>
    <row r="1459" spans="1:8">
      <c r="A1459" t="s">
        <v>11</v>
      </c>
      <c r="B1459">
        <v>2025</v>
      </c>
      <c r="C1459" t="s">
        <v>28</v>
      </c>
      <c r="D1459" t="s">
        <v>197</v>
      </c>
      <c r="F1459" t="s">
        <v>181</v>
      </c>
      <c r="G1459">
        <v>0.5</v>
      </c>
      <c r="H1459" t="s">
        <v>1389</v>
      </c>
    </row>
    <row r="1460" spans="1:8">
      <c r="A1460" t="s">
        <v>11</v>
      </c>
      <c r="B1460">
        <v>2025</v>
      </c>
      <c r="C1460" t="s">
        <v>28</v>
      </c>
      <c r="D1460" t="s">
        <v>199</v>
      </c>
      <c r="F1460" t="s">
        <v>181</v>
      </c>
      <c r="G1460">
        <v>0.5</v>
      </c>
      <c r="H1460" t="s">
        <v>1389</v>
      </c>
    </row>
    <row r="1461" spans="1:8">
      <c r="A1461" t="s">
        <v>11</v>
      </c>
      <c r="B1461">
        <v>2025</v>
      </c>
      <c r="C1461" t="s">
        <v>28</v>
      </c>
      <c r="D1461" t="s">
        <v>188</v>
      </c>
      <c r="F1461" t="s">
        <v>181</v>
      </c>
      <c r="G1461">
        <v>0.5</v>
      </c>
      <c r="H1461" t="s">
        <v>1390</v>
      </c>
    </row>
    <row r="1462" spans="1:8">
      <c r="A1462" t="s">
        <v>11</v>
      </c>
      <c r="B1462">
        <v>2025</v>
      </c>
      <c r="C1462" t="s">
        <v>28</v>
      </c>
      <c r="D1462" t="s">
        <v>191</v>
      </c>
      <c r="F1462" t="s">
        <v>181</v>
      </c>
      <c r="G1462">
        <v>0.5</v>
      </c>
      <c r="H1462" t="s">
        <v>1390</v>
      </c>
    </row>
    <row r="1463" spans="1:8">
      <c r="A1463" t="s">
        <v>11</v>
      </c>
      <c r="B1463">
        <v>2025</v>
      </c>
      <c r="C1463" t="s">
        <v>28</v>
      </c>
      <c r="D1463" t="s">
        <v>191</v>
      </c>
      <c r="F1463" t="s">
        <v>181</v>
      </c>
      <c r="G1463">
        <v>3</v>
      </c>
      <c r="H1463" t="s">
        <v>1391</v>
      </c>
    </row>
    <row r="1464" spans="1:8">
      <c r="A1464" t="s">
        <v>11</v>
      </c>
      <c r="B1464">
        <v>2025</v>
      </c>
      <c r="C1464" t="s">
        <v>28</v>
      </c>
      <c r="D1464" t="s">
        <v>180</v>
      </c>
      <c r="F1464" t="s">
        <v>208</v>
      </c>
      <c r="G1464">
        <v>0.5</v>
      </c>
      <c r="H1464" t="s">
        <v>1392</v>
      </c>
    </row>
    <row r="1465" spans="1:8">
      <c r="A1465" t="s">
        <v>11</v>
      </c>
      <c r="B1465">
        <v>2025</v>
      </c>
      <c r="C1465" t="s">
        <v>28</v>
      </c>
      <c r="D1465" t="s">
        <v>193</v>
      </c>
      <c r="F1465" t="s">
        <v>208</v>
      </c>
      <c r="G1465">
        <v>1.2</v>
      </c>
      <c r="H1465" t="s">
        <v>1393</v>
      </c>
    </row>
    <row r="1466" spans="1:8">
      <c r="A1466" t="s">
        <v>11</v>
      </c>
      <c r="B1466">
        <v>2025</v>
      </c>
      <c r="C1466" t="s">
        <v>28</v>
      </c>
      <c r="D1466" t="s">
        <v>193</v>
      </c>
      <c r="F1466" t="s">
        <v>208</v>
      </c>
      <c r="G1466">
        <v>2.65</v>
      </c>
      <c r="H1466" t="s">
        <v>1394</v>
      </c>
    </row>
    <row r="1467" spans="1:8">
      <c r="A1467" t="s">
        <v>11</v>
      </c>
      <c r="B1467">
        <v>2025</v>
      </c>
      <c r="C1467" t="s">
        <v>28</v>
      </c>
      <c r="D1467" t="s">
        <v>184</v>
      </c>
      <c r="F1467" t="s">
        <v>208</v>
      </c>
      <c r="G1467">
        <v>6.4</v>
      </c>
      <c r="H1467" t="s">
        <v>1395</v>
      </c>
    </row>
    <row r="1468" spans="1:8">
      <c r="A1468" t="s">
        <v>11</v>
      </c>
      <c r="B1468">
        <v>2025</v>
      </c>
      <c r="C1468" t="s">
        <v>28</v>
      </c>
      <c r="D1468" t="s">
        <v>200</v>
      </c>
      <c r="F1468" t="s">
        <v>208</v>
      </c>
      <c r="G1468">
        <v>1</v>
      </c>
      <c r="H1468" t="s">
        <v>1396</v>
      </c>
    </row>
    <row r="1469" spans="1:8">
      <c r="A1469" t="s">
        <v>11</v>
      </c>
      <c r="B1469">
        <v>2025</v>
      </c>
      <c r="C1469" t="s">
        <v>28</v>
      </c>
      <c r="D1469" t="s">
        <v>188</v>
      </c>
      <c r="F1469" t="s">
        <v>208</v>
      </c>
      <c r="G1469">
        <v>8</v>
      </c>
      <c r="H1469" t="s">
        <v>822</v>
      </c>
    </row>
    <row r="1470" spans="1:8">
      <c r="A1470" t="s">
        <v>11</v>
      </c>
      <c r="B1470">
        <v>2025</v>
      </c>
      <c r="C1470" t="s">
        <v>28</v>
      </c>
      <c r="D1470" t="s">
        <v>188</v>
      </c>
      <c r="F1470" t="s">
        <v>208</v>
      </c>
      <c r="G1470">
        <v>6.05</v>
      </c>
      <c r="H1470" t="s">
        <v>823</v>
      </c>
    </row>
    <row r="1471" spans="1:8">
      <c r="A1471" t="s">
        <v>11</v>
      </c>
      <c r="B1471">
        <v>2025</v>
      </c>
      <c r="C1471" t="s">
        <v>28</v>
      </c>
      <c r="D1471" t="s">
        <v>188</v>
      </c>
      <c r="F1471" t="s">
        <v>208</v>
      </c>
      <c r="G1471">
        <v>13.95</v>
      </c>
      <c r="H1471" t="s">
        <v>1240</v>
      </c>
    </row>
    <row r="1472" spans="1:8">
      <c r="A1472" t="s">
        <v>11</v>
      </c>
      <c r="B1472">
        <v>2025</v>
      </c>
      <c r="C1472" t="s">
        <v>31</v>
      </c>
      <c r="D1472" t="s">
        <v>180</v>
      </c>
      <c r="E1472" t="s">
        <v>799</v>
      </c>
      <c r="F1472" t="s">
        <v>181</v>
      </c>
      <c r="G1472">
        <v>6</v>
      </c>
      <c r="H1472" t="s">
        <v>216</v>
      </c>
    </row>
    <row r="1473" spans="1:8">
      <c r="A1473" t="s">
        <v>11</v>
      </c>
      <c r="B1473">
        <v>2025</v>
      </c>
      <c r="C1473" t="s">
        <v>31</v>
      </c>
      <c r="D1473" t="s">
        <v>180</v>
      </c>
      <c r="E1473" t="s">
        <v>339</v>
      </c>
      <c r="F1473" t="s">
        <v>181</v>
      </c>
      <c r="G1473">
        <v>2</v>
      </c>
      <c r="H1473" t="s">
        <v>216</v>
      </c>
    </row>
    <row r="1474" spans="1:8">
      <c r="A1474" t="s">
        <v>11</v>
      </c>
      <c r="B1474">
        <v>2025</v>
      </c>
      <c r="C1474" t="s">
        <v>31</v>
      </c>
      <c r="D1474" t="s">
        <v>184</v>
      </c>
      <c r="E1474" t="s">
        <v>827</v>
      </c>
      <c r="F1474" t="s">
        <v>181</v>
      </c>
      <c r="G1474">
        <v>2</v>
      </c>
      <c r="H1474" t="s">
        <v>216</v>
      </c>
    </row>
    <row r="1475" spans="1:8">
      <c r="A1475" t="s">
        <v>11</v>
      </c>
      <c r="B1475">
        <v>2025</v>
      </c>
      <c r="C1475" t="s">
        <v>31</v>
      </c>
      <c r="D1475" t="s">
        <v>180</v>
      </c>
      <c r="E1475" t="s">
        <v>800</v>
      </c>
      <c r="F1475" t="s">
        <v>181</v>
      </c>
      <c r="G1475">
        <v>1</v>
      </c>
      <c r="H1475" t="s">
        <v>216</v>
      </c>
    </row>
    <row r="1476" spans="1:8">
      <c r="A1476" t="s">
        <v>11</v>
      </c>
      <c r="B1476">
        <v>2025</v>
      </c>
      <c r="C1476" t="s">
        <v>31</v>
      </c>
      <c r="D1476" t="s">
        <v>180</v>
      </c>
      <c r="E1476" t="s">
        <v>801</v>
      </c>
      <c r="F1476" t="s">
        <v>181</v>
      </c>
      <c r="G1476">
        <v>1</v>
      </c>
      <c r="H1476" t="s">
        <v>216</v>
      </c>
    </row>
    <row r="1477" spans="1:8">
      <c r="A1477" t="s">
        <v>11</v>
      </c>
      <c r="B1477">
        <v>2025</v>
      </c>
      <c r="C1477" t="s">
        <v>31</v>
      </c>
      <c r="D1477" t="s">
        <v>188</v>
      </c>
      <c r="E1477" t="s">
        <v>827</v>
      </c>
      <c r="F1477" t="s">
        <v>181</v>
      </c>
      <c r="G1477">
        <v>6</v>
      </c>
      <c r="H1477" t="s">
        <v>802</v>
      </c>
    </row>
    <row r="1478" spans="1:8">
      <c r="A1478" t="s">
        <v>11</v>
      </c>
      <c r="B1478">
        <v>2025</v>
      </c>
      <c r="C1478" t="s">
        <v>31</v>
      </c>
      <c r="D1478" t="s">
        <v>180</v>
      </c>
      <c r="E1478" t="s">
        <v>803</v>
      </c>
      <c r="F1478" t="s">
        <v>181</v>
      </c>
      <c r="G1478">
        <v>1</v>
      </c>
      <c r="H1478" t="s">
        <v>804</v>
      </c>
    </row>
    <row r="1479" spans="1:8">
      <c r="A1479" t="s">
        <v>11</v>
      </c>
      <c r="B1479">
        <v>2025</v>
      </c>
      <c r="C1479" t="s">
        <v>31</v>
      </c>
      <c r="D1479" t="s">
        <v>180</v>
      </c>
      <c r="E1479" t="s">
        <v>797</v>
      </c>
      <c r="F1479" t="s">
        <v>181</v>
      </c>
      <c r="G1479">
        <v>3</v>
      </c>
      <c r="H1479" t="s">
        <v>802</v>
      </c>
    </row>
    <row r="1480" spans="1:8">
      <c r="A1480" t="s">
        <v>11</v>
      </c>
      <c r="B1480">
        <v>2025</v>
      </c>
      <c r="C1480" t="s">
        <v>31</v>
      </c>
      <c r="D1480" t="s">
        <v>191</v>
      </c>
      <c r="E1480" t="s">
        <v>827</v>
      </c>
      <c r="F1480" t="s">
        <v>181</v>
      </c>
      <c r="G1480">
        <v>3</v>
      </c>
      <c r="H1480" t="s">
        <v>802</v>
      </c>
    </row>
    <row r="1481" spans="1:8">
      <c r="A1481" t="s">
        <v>11</v>
      </c>
      <c r="B1481">
        <v>2025</v>
      </c>
      <c r="C1481" t="s">
        <v>31</v>
      </c>
      <c r="D1481" t="s">
        <v>200</v>
      </c>
      <c r="E1481" t="s">
        <v>827</v>
      </c>
      <c r="F1481" t="s">
        <v>181</v>
      </c>
      <c r="G1481">
        <v>1</v>
      </c>
      <c r="H1481" t="s">
        <v>804</v>
      </c>
    </row>
    <row r="1482" spans="1:8">
      <c r="A1482" t="s">
        <v>11</v>
      </c>
      <c r="B1482">
        <v>2025</v>
      </c>
      <c r="C1482" t="s">
        <v>31</v>
      </c>
      <c r="D1482" t="s">
        <v>199</v>
      </c>
      <c r="E1482" t="s">
        <v>827</v>
      </c>
      <c r="F1482" t="s">
        <v>181</v>
      </c>
      <c r="G1482">
        <v>0.25</v>
      </c>
      <c r="H1482" t="s">
        <v>202</v>
      </c>
    </row>
    <row r="1483" spans="1:8">
      <c r="A1483" t="s">
        <v>11</v>
      </c>
      <c r="B1483">
        <v>2025</v>
      </c>
      <c r="C1483" t="s">
        <v>31</v>
      </c>
      <c r="D1483" t="s">
        <v>197</v>
      </c>
      <c r="E1483" t="s">
        <v>827</v>
      </c>
      <c r="F1483" t="s">
        <v>181</v>
      </c>
      <c r="G1483">
        <v>0.25</v>
      </c>
      <c r="H1483" t="s">
        <v>202</v>
      </c>
    </row>
    <row r="1484" spans="1:8">
      <c r="A1484" t="s">
        <v>11</v>
      </c>
      <c r="B1484">
        <v>2025</v>
      </c>
      <c r="C1484" t="s">
        <v>31</v>
      </c>
      <c r="D1484" t="s">
        <v>199</v>
      </c>
      <c r="E1484" t="s">
        <v>827</v>
      </c>
      <c r="F1484" t="s">
        <v>181</v>
      </c>
      <c r="G1484">
        <v>0.75</v>
      </c>
      <c r="H1484" t="s">
        <v>740</v>
      </c>
    </row>
    <row r="1485" spans="1:8">
      <c r="A1485" t="s">
        <v>11</v>
      </c>
      <c r="B1485">
        <v>2025</v>
      </c>
      <c r="C1485" t="s">
        <v>31</v>
      </c>
      <c r="D1485" t="s">
        <v>197</v>
      </c>
      <c r="E1485" t="s">
        <v>827</v>
      </c>
      <c r="F1485" t="s">
        <v>181</v>
      </c>
      <c r="G1485">
        <v>0.75</v>
      </c>
      <c r="H1485" t="s">
        <v>740</v>
      </c>
    </row>
    <row r="1486" spans="1:8">
      <c r="A1486" t="s">
        <v>11</v>
      </c>
      <c r="B1486">
        <v>2025</v>
      </c>
      <c r="C1486" t="s">
        <v>31</v>
      </c>
      <c r="D1486" t="s">
        <v>203</v>
      </c>
      <c r="E1486" t="s">
        <v>827</v>
      </c>
      <c r="F1486" t="s">
        <v>181</v>
      </c>
      <c r="G1486">
        <v>1</v>
      </c>
      <c r="H1486" t="s">
        <v>805</v>
      </c>
    </row>
    <row r="1487" spans="1:8">
      <c r="A1487" t="s">
        <v>11</v>
      </c>
      <c r="B1487">
        <v>2025</v>
      </c>
      <c r="C1487" t="s">
        <v>31</v>
      </c>
      <c r="D1487" t="s">
        <v>180</v>
      </c>
      <c r="E1487" t="s">
        <v>806</v>
      </c>
      <c r="F1487" t="s">
        <v>181</v>
      </c>
      <c r="G1487">
        <v>1</v>
      </c>
      <c r="H1487" t="s">
        <v>201</v>
      </c>
    </row>
    <row r="1488" spans="1:8">
      <c r="A1488" t="s">
        <v>11</v>
      </c>
      <c r="B1488">
        <v>2025</v>
      </c>
      <c r="C1488" t="s">
        <v>31</v>
      </c>
      <c r="D1488" t="s">
        <v>180</v>
      </c>
      <c r="E1488" t="s">
        <v>807</v>
      </c>
      <c r="F1488" t="s">
        <v>181</v>
      </c>
      <c r="G1488">
        <v>1</v>
      </c>
      <c r="H1488" t="s">
        <v>201</v>
      </c>
    </row>
    <row r="1489" spans="1:8">
      <c r="A1489" t="s">
        <v>11</v>
      </c>
      <c r="B1489">
        <v>2025</v>
      </c>
      <c r="C1489" t="s">
        <v>31</v>
      </c>
      <c r="D1489" t="s">
        <v>180</v>
      </c>
      <c r="F1489" t="s">
        <v>181</v>
      </c>
      <c r="G1489">
        <v>1</v>
      </c>
      <c r="H1489" t="s">
        <v>1235</v>
      </c>
    </row>
    <row r="1490" spans="1:8">
      <c r="A1490" t="s">
        <v>11</v>
      </c>
      <c r="B1490">
        <v>2025</v>
      </c>
      <c r="C1490" t="s">
        <v>31</v>
      </c>
      <c r="D1490" t="s">
        <v>180</v>
      </c>
      <c r="E1490" t="s">
        <v>808</v>
      </c>
      <c r="F1490" t="s">
        <v>181</v>
      </c>
      <c r="G1490">
        <v>1</v>
      </c>
      <c r="H1490" t="s">
        <v>804</v>
      </c>
    </row>
    <row r="1491" spans="1:8">
      <c r="A1491" t="s">
        <v>11</v>
      </c>
      <c r="B1491">
        <v>2025</v>
      </c>
      <c r="C1491" t="s">
        <v>31</v>
      </c>
      <c r="D1491" t="s">
        <v>180</v>
      </c>
      <c r="E1491" t="s">
        <v>809</v>
      </c>
      <c r="F1491" t="s">
        <v>181</v>
      </c>
      <c r="G1491">
        <v>4</v>
      </c>
      <c r="H1491" t="s">
        <v>285</v>
      </c>
    </row>
    <row r="1492" spans="1:8">
      <c r="A1492" t="s">
        <v>11</v>
      </c>
      <c r="B1492">
        <v>2025</v>
      </c>
      <c r="C1492" t="s">
        <v>31</v>
      </c>
      <c r="D1492" t="s">
        <v>180</v>
      </c>
      <c r="E1492" t="s">
        <v>291</v>
      </c>
      <c r="F1492" t="s">
        <v>181</v>
      </c>
      <c r="G1492">
        <v>1</v>
      </c>
      <c r="H1492" t="s">
        <v>216</v>
      </c>
    </row>
    <row r="1493" spans="1:8">
      <c r="A1493" t="s">
        <v>11</v>
      </c>
      <c r="B1493">
        <v>2025</v>
      </c>
      <c r="C1493" t="s">
        <v>31</v>
      </c>
      <c r="D1493" t="s">
        <v>180</v>
      </c>
      <c r="E1493" t="s">
        <v>810</v>
      </c>
      <c r="F1493" t="s">
        <v>181</v>
      </c>
      <c r="G1493">
        <v>1</v>
      </c>
      <c r="H1493" t="s">
        <v>216</v>
      </c>
    </row>
    <row r="1494" spans="1:8">
      <c r="A1494" t="s">
        <v>11</v>
      </c>
      <c r="B1494">
        <v>2025</v>
      </c>
      <c r="C1494" t="s">
        <v>31</v>
      </c>
      <c r="D1494" t="s">
        <v>180</v>
      </c>
      <c r="E1494" t="s">
        <v>811</v>
      </c>
      <c r="F1494" t="s">
        <v>181</v>
      </c>
      <c r="G1494">
        <v>2</v>
      </c>
      <c r="H1494" t="s">
        <v>216</v>
      </c>
    </row>
    <row r="1495" spans="1:8">
      <c r="A1495" t="s">
        <v>11</v>
      </c>
      <c r="B1495">
        <v>2025</v>
      </c>
      <c r="C1495" t="s">
        <v>31</v>
      </c>
      <c r="D1495" t="s">
        <v>180</v>
      </c>
      <c r="E1495" t="s">
        <v>812</v>
      </c>
      <c r="F1495" t="s">
        <v>181</v>
      </c>
      <c r="G1495">
        <v>1</v>
      </c>
      <c r="H1495" t="s">
        <v>216</v>
      </c>
    </row>
    <row r="1496" spans="1:8">
      <c r="A1496" t="s">
        <v>11</v>
      </c>
      <c r="B1496">
        <v>2025</v>
      </c>
      <c r="C1496" t="s">
        <v>31</v>
      </c>
      <c r="D1496" t="s">
        <v>180</v>
      </c>
      <c r="E1496" t="s">
        <v>813</v>
      </c>
      <c r="F1496" t="s">
        <v>181</v>
      </c>
      <c r="G1496">
        <v>0.67</v>
      </c>
      <c r="H1496" t="s">
        <v>216</v>
      </c>
    </row>
    <row r="1497" spans="1:8">
      <c r="A1497" t="s">
        <v>11</v>
      </c>
      <c r="B1497">
        <v>2025</v>
      </c>
      <c r="C1497" t="s">
        <v>31</v>
      </c>
      <c r="D1497" t="s">
        <v>180</v>
      </c>
      <c r="E1497" t="s">
        <v>814</v>
      </c>
      <c r="F1497" t="s">
        <v>181</v>
      </c>
      <c r="G1497">
        <v>1</v>
      </c>
      <c r="H1497" t="s">
        <v>216</v>
      </c>
    </row>
    <row r="1498" spans="1:8">
      <c r="A1498" t="s">
        <v>11</v>
      </c>
      <c r="B1498">
        <v>2025</v>
      </c>
      <c r="C1498" t="s">
        <v>31</v>
      </c>
      <c r="D1498" t="s">
        <v>188</v>
      </c>
      <c r="E1498" t="s">
        <v>827</v>
      </c>
      <c r="F1498" t="s">
        <v>181</v>
      </c>
      <c r="G1498">
        <v>1</v>
      </c>
      <c r="H1498" t="s">
        <v>815</v>
      </c>
    </row>
    <row r="1499" spans="1:8">
      <c r="A1499" t="s">
        <v>11</v>
      </c>
      <c r="B1499">
        <v>2025</v>
      </c>
      <c r="C1499" t="s">
        <v>31</v>
      </c>
      <c r="D1499" t="s">
        <v>180</v>
      </c>
      <c r="E1499" t="s">
        <v>827</v>
      </c>
      <c r="F1499" t="s">
        <v>181</v>
      </c>
      <c r="G1499">
        <v>2</v>
      </c>
      <c r="H1499" t="s">
        <v>1160</v>
      </c>
    </row>
    <row r="1500" spans="1:8">
      <c r="A1500" t="s">
        <v>11</v>
      </c>
      <c r="B1500">
        <v>2025</v>
      </c>
      <c r="C1500" t="s">
        <v>31</v>
      </c>
      <c r="D1500" t="s">
        <v>184</v>
      </c>
      <c r="F1500" t="s">
        <v>181</v>
      </c>
      <c r="G1500">
        <v>7</v>
      </c>
      <c r="H1500" t="s">
        <v>1429</v>
      </c>
    </row>
    <row r="1501" spans="1:8">
      <c r="A1501" t="s">
        <v>11</v>
      </c>
      <c r="B1501">
        <v>2025</v>
      </c>
      <c r="C1501" t="s">
        <v>31</v>
      </c>
      <c r="D1501" t="s">
        <v>180</v>
      </c>
      <c r="F1501" t="s">
        <v>181</v>
      </c>
      <c r="G1501">
        <v>4.5</v>
      </c>
      <c r="H1501" t="s">
        <v>1430</v>
      </c>
    </row>
    <row r="1502" spans="1:8">
      <c r="A1502" t="s">
        <v>11</v>
      </c>
      <c r="B1502">
        <v>2025</v>
      </c>
      <c r="C1502" t="s">
        <v>31</v>
      </c>
      <c r="D1502" t="s">
        <v>184</v>
      </c>
      <c r="F1502" t="s">
        <v>208</v>
      </c>
      <c r="G1502">
        <v>2</v>
      </c>
      <c r="H1502" t="s">
        <v>1431</v>
      </c>
    </row>
    <row r="1503" spans="1:8">
      <c r="A1503" t="s">
        <v>11</v>
      </c>
      <c r="B1503">
        <v>2025</v>
      </c>
      <c r="C1503" t="s">
        <v>31</v>
      </c>
      <c r="D1503" t="s">
        <v>193</v>
      </c>
      <c r="F1503" t="s">
        <v>208</v>
      </c>
      <c r="G1503">
        <v>6.5</v>
      </c>
      <c r="H1503" t="s">
        <v>1432</v>
      </c>
    </row>
    <row r="1504" spans="1:8">
      <c r="A1504" t="s">
        <v>11</v>
      </c>
      <c r="B1504">
        <v>2025</v>
      </c>
      <c r="C1504" t="s">
        <v>31</v>
      </c>
      <c r="D1504" t="s">
        <v>203</v>
      </c>
      <c r="F1504" t="s">
        <v>208</v>
      </c>
      <c r="G1504">
        <v>1.5</v>
      </c>
      <c r="H1504" t="s">
        <v>1433</v>
      </c>
    </row>
    <row r="1505" spans="1:8">
      <c r="A1505" t="s">
        <v>11</v>
      </c>
      <c r="B1505">
        <v>2025</v>
      </c>
      <c r="C1505" t="s">
        <v>31</v>
      </c>
      <c r="D1505" t="s">
        <v>191</v>
      </c>
      <c r="F1505" t="s">
        <v>208</v>
      </c>
      <c r="G1505">
        <v>1.5</v>
      </c>
      <c r="H1505" t="s">
        <v>1434</v>
      </c>
    </row>
    <row r="1506" spans="1:8">
      <c r="A1506" t="s">
        <v>11</v>
      </c>
      <c r="B1506">
        <v>2025</v>
      </c>
      <c r="C1506" t="s">
        <v>31</v>
      </c>
      <c r="D1506" t="s">
        <v>191</v>
      </c>
      <c r="F1506" t="s">
        <v>208</v>
      </c>
      <c r="G1506">
        <v>2.5</v>
      </c>
      <c r="H1506" t="s">
        <v>1435</v>
      </c>
    </row>
    <row r="1507" spans="1:8">
      <c r="A1507" t="s">
        <v>11</v>
      </c>
      <c r="B1507">
        <v>2025</v>
      </c>
      <c r="C1507" t="s">
        <v>31</v>
      </c>
      <c r="D1507" t="s">
        <v>191</v>
      </c>
      <c r="F1507" t="s">
        <v>208</v>
      </c>
      <c r="G1507">
        <v>4</v>
      </c>
      <c r="H1507" t="s">
        <v>1435</v>
      </c>
    </row>
    <row r="1508" spans="1:8">
      <c r="A1508" t="s">
        <v>11</v>
      </c>
      <c r="B1508">
        <v>2025</v>
      </c>
      <c r="C1508" t="s">
        <v>31</v>
      </c>
      <c r="D1508" t="s">
        <v>188</v>
      </c>
      <c r="F1508" t="s">
        <v>208</v>
      </c>
      <c r="G1508">
        <v>2</v>
      </c>
      <c r="H1508" t="s">
        <v>822</v>
      </c>
    </row>
    <row r="1509" spans="1:8">
      <c r="A1509" t="s">
        <v>11</v>
      </c>
      <c r="B1509">
        <v>2025</v>
      </c>
      <c r="C1509" t="s">
        <v>31</v>
      </c>
      <c r="D1509" t="s">
        <v>188</v>
      </c>
      <c r="F1509" t="s">
        <v>208</v>
      </c>
      <c r="G1509">
        <v>1.3</v>
      </c>
      <c r="H1509" t="s">
        <v>823</v>
      </c>
    </row>
    <row r="1510" spans="1:8">
      <c r="A1510" t="s">
        <v>11</v>
      </c>
      <c r="B1510">
        <v>2025</v>
      </c>
      <c r="C1510" t="s">
        <v>31</v>
      </c>
      <c r="D1510" t="s">
        <v>188</v>
      </c>
      <c r="F1510" t="s">
        <v>208</v>
      </c>
      <c r="G1510">
        <v>18.5</v>
      </c>
      <c r="H1510" t="s">
        <v>1240</v>
      </c>
    </row>
    <row r="1511" spans="1:8">
      <c r="A1511" t="s">
        <v>11</v>
      </c>
      <c r="B1511">
        <v>2025</v>
      </c>
      <c r="C1511" t="s">
        <v>1452</v>
      </c>
      <c r="D1511" t="s">
        <v>180</v>
      </c>
      <c r="E1511" t="s">
        <v>799</v>
      </c>
      <c r="F1511" t="s">
        <v>181</v>
      </c>
      <c r="G1511">
        <v>6</v>
      </c>
      <c r="H1511" t="s">
        <v>216</v>
      </c>
    </row>
    <row r="1512" spans="1:8">
      <c r="A1512" t="s">
        <v>11</v>
      </c>
      <c r="B1512">
        <v>2025</v>
      </c>
      <c r="C1512" t="s">
        <v>1452</v>
      </c>
      <c r="D1512" t="s">
        <v>180</v>
      </c>
      <c r="E1512" t="s">
        <v>339</v>
      </c>
      <c r="F1512" t="s">
        <v>181</v>
      </c>
      <c r="G1512">
        <v>2</v>
      </c>
      <c r="H1512" t="s">
        <v>216</v>
      </c>
    </row>
    <row r="1513" spans="1:8">
      <c r="A1513" t="s">
        <v>11</v>
      </c>
      <c r="B1513">
        <v>2025</v>
      </c>
      <c r="C1513" t="s">
        <v>1452</v>
      </c>
      <c r="D1513" t="s">
        <v>184</v>
      </c>
      <c r="E1513" t="s">
        <v>827</v>
      </c>
      <c r="F1513" t="s">
        <v>181</v>
      </c>
      <c r="G1513">
        <v>2</v>
      </c>
      <c r="H1513" t="s">
        <v>216</v>
      </c>
    </row>
    <row r="1514" spans="1:8">
      <c r="A1514" t="s">
        <v>11</v>
      </c>
      <c r="B1514">
        <v>2025</v>
      </c>
      <c r="C1514" t="s">
        <v>1452</v>
      </c>
      <c r="D1514" t="s">
        <v>180</v>
      </c>
      <c r="E1514" t="s">
        <v>800</v>
      </c>
      <c r="F1514" t="s">
        <v>181</v>
      </c>
      <c r="G1514">
        <v>1</v>
      </c>
      <c r="H1514" t="s">
        <v>216</v>
      </c>
    </row>
    <row r="1515" spans="1:8">
      <c r="A1515" t="s">
        <v>11</v>
      </c>
      <c r="B1515">
        <v>2025</v>
      </c>
      <c r="C1515" t="s">
        <v>1452</v>
      </c>
      <c r="D1515" t="s">
        <v>180</v>
      </c>
      <c r="E1515" t="s">
        <v>801</v>
      </c>
      <c r="F1515" t="s">
        <v>181</v>
      </c>
      <c r="G1515">
        <v>1</v>
      </c>
      <c r="H1515" t="s">
        <v>216</v>
      </c>
    </row>
    <row r="1516" spans="1:8">
      <c r="A1516" t="s">
        <v>11</v>
      </c>
      <c r="B1516">
        <v>2025</v>
      </c>
      <c r="C1516" t="s">
        <v>1452</v>
      </c>
      <c r="D1516" t="s">
        <v>188</v>
      </c>
      <c r="E1516" t="s">
        <v>827</v>
      </c>
      <c r="F1516" t="s">
        <v>181</v>
      </c>
      <c r="G1516">
        <v>6</v>
      </c>
      <c r="H1516" t="s">
        <v>802</v>
      </c>
    </row>
    <row r="1517" spans="1:8">
      <c r="A1517" t="s">
        <v>11</v>
      </c>
      <c r="B1517">
        <v>2025</v>
      </c>
      <c r="C1517" t="s">
        <v>1452</v>
      </c>
      <c r="D1517" t="s">
        <v>180</v>
      </c>
      <c r="E1517" t="s">
        <v>803</v>
      </c>
      <c r="F1517" t="s">
        <v>181</v>
      </c>
      <c r="G1517">
        <v>1</v>
      </c>
      <c r="H1517" t="s">
        <v>804</v>
      </c>
    </row>
    <row r="1518" spans="1:8">
      <c r="A1518" t="s">
        <v>11</v>
      </c>
      <c r="B1518">
        <v>2025</v>
      </c>
      <c r="C1518" t="s">
        <v>1452</v>
      </c>
      <c r="D1518" t="s">
        <v>180</v>
      </c>
      <c r="E1518" t="s">
        <v>797</v>
      </c>
      <c r="F1518" t="s">
        <v>181</v>
      </c>
      <c r="G1518">
        <v>3</v>
      </c>
      <c r="H1518" t="s">
        <v>802</v>
      </c>
    </row>
    <row r="1519" spans="1:8">
      <c r="A1519" t="s">
        <v>11</v>
      </c>
      <c r="B1519">
        <v>2025</v>
      </c>
      <c r="C1519" t="s">
        <v>1452</v>
      </c>
      <c r="D1519" t="s">
        <v>191</v>
      </c>
      <c r="E1519" t="s">
        <v>827</v>
      </c>
      <c r="F1519" t="s">
        <v>181</v>
      </c>
      <c r="G1519">
        <v>3</v>
      </c>
      <c r="H1519" t="s">
        <v>802</v>
      </c>
    </row>
    <row r="1520" spans="1:8">
      <c r="A1520" t="s">
        <v>11</v>
      </c>
      <c r="B1520">
        <v>2025</v>
      </c>
      <c r="C1520" t="s">
        <v>1452</v>
      </c>
      <c r="D1520" t="s">
        <v>200</v>
      </c>
      <c r="E1520" t="s">
        <v>827</v>
      </c>
      <c r="F1520" t="s">
        <v>181</v>
      </c>
      <c r="G1520">
        <v>1</v>
      </c>
      <c r="H1520" t="s">
        <v>804</v>
      </c>
    </row>
    <row r="1521" spans="1:8">
      <c r="A1521" t="s">
        <v>11</v>
      </c>
      <c r="B1521">
        <v>2025</v>
      </c>
      <c r="C1521" t="s">
        <v>1452</v>
      </c>
      <c r="D1521" t="s">
        <v>199</v>
      </c>
      <c r="E1521" t="s">
        <v>827</v>
      </c>
      <c r="F1521" t="s">
        <v>181</v>
      </c>
      <c r="G1521">
        <v>0.25</v>
      </c>
      <c r="H1521" t="s">
        <v>202</v>
      </c>
    </row>
    <row r="1522" spans="1:8">
      <c r="A1522" t="s">
        <v>11</v>
      </c>
      <c r="B1522">
        <v>2025</v>
      </c>
      <c r="C1522" t="s">
        <v>1452</v>
      </c>
      <c r="D1522" t="s">
        <v>197</v>
      </c>
      <c r="E1522" t="s">
        <v>827</v>
      </c>
      <c r="F1522" t="s">
        <v>181</v>
      </c>
      <c r="G1522">
        <v>0.25</v>
      </c>
      <c r="H1522" t="s">
        <v>202</v>
      </c>
    </row>
    <row r="1523" spans="1:8">
      <c r="A1523" t="s">
        <v>11</v>
      </c>
      <c r="B1523">
        <v>2025</v>
      </c>
      <c r="C1523" t="s">
        <v>1452</v>
      </c>
      <c r="D1523" t="s">
        <v>199</v>
      </c>
      <c r="E1523" t="s">
        <v>827</v>
      </c>
      <c r="F1523" t="s">
        <v>181</v>
      </c>
      <c r="G1523">
        <v>0.75</v>
      </c>
      <c r="H1523" t="s">
        <v>740</v>
      </c>
    </row>
    <row r="1524" spans="1:8">
      <c r="A1524" t="s">
        <v>11</v>
      </c>
      <c r="B1524">
        <v>2025</v>
      </c>
      <c r="C1524" t="s">
        <v>1452</v>
      </c>
      <c r="D1524" t="s">
        <v>197</v>
      </c>
      <c r="E1524" t="s">
        <v>827</v>
      </c>
      <c r="F1524" t="s">
        <v>181</v>
      </c>
      <c r="G1524">
        <v>0.75</v>
      </c>
      <c r="H1524" t="s">
        <v>740</v>
      </c>
    </row>
    <row r="1525" spans="1:8">
      <c r="A1525" t="s">
        <v>11</v>
      </c>
      <c r="B1525">
        <v>2025</v>
      </c>
      <c r="C1525" t="s">
        <v>1452</v>
      </c>
      <c r="D1525" t="s">
        <v>203</v>
      </c>
      <c r="E1525" t="s">
        <v>827</v>
      </c>
      <c r="F1525" t="s">
        <v>181</v>
      </c>
      <c r="G1525">
        <v>1</v>
      </c>
      <c r="H1525" t="s">
        <v>805</v>
      </c>
    </row>
    <row r="1526" spans="1:8">
      <c r="A1526" t="s">
        <v>11</v>
      </c>
      <c r="B1526">
        <v>2025</v>
      </c>
      <c r="C1526" t="s">
        <v>1452</v>
      </c>
      <c r="D1526" t="s">
        <v>180</v>
      </c>
      <c r="E1526" t="s">
        <v>806</v>
      </c>
      <c r="F1526" t="s">
        <v>181</v>
      </c>
      <c r="G1526">
        <v>1</v>
      </c>
      <c r="H1526" t="s">
        <v>201</v>
      </c>
    </row>
    <row r="1527" spans="1:8">
      <c r="A1527" t="s">
        <v>11</v>
      </c>
      <c r="B1527">
        <v>2025</v>
      </c>
      <c r="C1527" t="s">
        <v>1452</v>
      </c>
      <c r="D1527" t="s">
        <v>180</v>
      </c>
      <c r="E1527" t="s">
        <v>807</v>
      </c>
      <c r="F1527" t="s">
        <v>181</v>
      </c>
      <c r="G1527">
        <v>1</v>
      </c>
      <c r="H1527" t="s">
        <v>201</v>
      </c>
    </row>
    <row r="1528" spans="1:8">
      <c r="A1528" t="s">
        <v>11</v>
      </c>
      <c r="B1528">
        <v>2025</v>
      </c>
      <c r="C1528" t="s">
        <v>1452</v>
      </c>
      <c r="D1528" t="s">
        <v>180</v>
      </c>
      <c r="F1528" t="s">
        <v>181</v>
      </c>
      <c r="G1528">
        <v>1</v>
      </c>
      <c r="H1528" t="s">
        <v>1235</v>
      </c>
    </row>
    <row r="1529" spans="1:8">
      <c r="A1529" t="s">
        <v>11</v>
      </c>
      <c r="B1529">
        <v>2025</v>
      </c>
      <c r="C1529" t="s">
        <v>1452</v>
      </c>
      <c r="D1529" t="s">
        <v>180</v>
      </c>
      <c r="E1529" t="s">
        <v>808</v>
      </c>
      <c r="F1529" t="s">
        <v>181</v>
      </c>
      <c r="G1529">
        <v>1</v>
      </c>
      <c r="H1529" t="s">
        <v>804</v>
      </c>
    </row>
    <row r="1530" spans="1:8">
      <c r="A1530" t="s">
        <v>11</v>
      </c>
      <c r="B1530">
        <v>2025</v>
      </c>
      <c r="C1530" t="s">
        <v>1452</v>
      </c>
      <c r="D1530" t="s">
        <v>180</v>
      </c>
      <c r="E1530" t="s">
        <v>809</v>
      </c>
      <c r="F1530" t="s">
        <v>181</v>
      </c>
      <c r="G1530">
        <v>4</v>
      </c>
      <c r="H1530" t="s">
        <v>285</v>
      </c>
    </row>
    <row r="1531" spans="1:8">
      <c r="A1531" t="s">
        <v>11</v>
      </c>
      <c r="B1531">
        <v>2025</v>
      </c>
      <c r="C1531" t="s">
        <v>1452</v>
      </c>
      <c r="D1531" t="s">
        <v>180</v>
      </c>
      <c r="E1531" t="s">
        <v>291</v>
      </c>
      <c r="F1531" t="s">
        <v>181</v>
      </c>
      <c r="G1531">
        <v>1</v>
      </c>
      <c r="H1531" t="s">
        <v>216</v>
      </c>
    </row>
    <row r="1532" spans="1:8">
      <c r="A1532" t="s">
        <v>11</v>
      </c>
      <c r="B1532">
        <v>2025</v>
      </c>
      <c r="C1532" t="s">
        <v>1452</v>
      </c>
      <c r="D1532" t="s">
        <v>180</v>
      </c>
      <c r="E1532" t="s">
        <v>810</v>
      </c>
      <c r="F1532" t="s">
        <v>181</v>
      </c>
      <c r="G1532">
        <v>1</v>
      </c>
      <c r="H1532" t="s">
        <v>216</v>
      </c>
    </row>
    <row r="1533" spans="1:8">
      <c r="A1533" t="s">
        <v>11</v>
      </c>
      <c r="B1533">
        <v>2025</v>
      </c>
      <c r="C1533" t="s">
        <v>1452</v>
      </c>
      <c r="D1533" t="s">
        <v>180</v>
      </c>
      <c r="E1533" t="s">
        <v>811</v>
      </c>
      <c r="F1533" t="s">
        <v>181</v>
      </c>
      <c r="G1533">
        <v>2</v>
      </c>
      <c r="H1533" t="s">
        <v>216</v>
      </c>
    </row>
    <row r="1534" spans="1:8">
      <c r="A1534" t="s">
        <v>11</v>
      </c>
      <c r="B1534">
        <v>2025</v>
      </c>
      <c r="C1534" t="s">
        <v>1452</v>
      </c>
      <c r="D1534" t="s">
        <v>180</v>
      </c>
      <c r="E1534" t="s">
        <v>812</v>
      </c>
      <c r="F1534" t="s">
        <v>181</v>
      </c>
      <c r="G1534">
        <v>1</v>
      </c>
      <c r="H1534" t="s">
        <v>216</v>
      </c>
    </row>
    <row r="1535" spans="1:8">
      <c r="A1535" t="s">
        <v>11</v>
      </c>
      <c r="B1535">
        <v>2025</v>
      </c>
      <c r="C1535" t="s">
        <v>1452</v>
      </c>
      <c r="D1535" t="s">
        <v>180</v>
      </c>
      <c r="E1535" t="s">
        <v>813</v>
      </c>
      <c r="F1535" t="s">
        <v>181</v>
      </c>
      <c r="G1535">
        <v>0.67</v>
      </c>
      <c r="H1535" t="s">
        <v>216</v>
      </c>
    </row>
    <row r="1536" spans="1:8">
      <c r="A1536" t="s">
        <v>11</v>
      </c>
      <c r="B1536">
        <v>2025</v>
      </c>
      <c r="C1536" t="s">
        <v>1452</v>
      </c>
      <c r="D1536" t="s">
        <v>180</v>
      </c>
      <c r="E1536" t="s">
        <v>814</v>
      </c>
      <c r="F1536" t="s">
        <v>181</v>
      </c>
      <c r="G1536">
        <v>1</v>
      </c>
      <c r="H1536" t="s">
        <v>216</v>
      </c>
    </row>
    <row r="1537" spans="1:8">
      <c r="A1537" t="s">
        <v>11</v>
      </c>
      <c r="B1537">
        <v>2025</v>
      </c>
      <c r="C1537" t="s">
        <v>1452</v>
      </c>
      <c r="D1537" t="s">
        <v>188</v>
      </c>
      <c r="E1537" t="s">
        <v>827</v>
      </c>
      <c r="F1537" t="s">
        <v>181</v>
      </c>
      <c r="G1537">
        <v>1</v>
      </c>
      <c r="H1537" t="s">
        <v>815</v>
      </c>
    </row>
    <row r="1538" spans="1:8">
      <c r="A1538" t="s">
        <v>11</v>
      </c>
      <c r="B1538">
        <v>2025</v>
      </c>
      <c r="C1538" t="s">
        <v>1452</v>
      </c>
      <c r="D1538" t="s">
        <v>180</v>
      </c>
      <c r="E1538" t="s">
        <v>827</v>
      </c>
      <c r="F1538" t="s">
        <v>181</v>
      </c>
      <c r="G1538">
        <v>2</v>
      </c>
      <c r="H1538" t="s">
        <v>1160</v>
      </c>
    </row>
    <row r="1539" spans="1:8">
      <c r="A1539" t="s">
        <v>11</v>
      </c>
      <c r="B1539">
        <v>2025</v>
      </c>
      <c r="C1539" t="s">
        <v>1452</v>
      </c>
      <c r="D1539" t="s">
        <v>180</v>
      </c>
      <c r="F1539" t="s">
        <v>181</v>
      </c>
      <c r="G1539">
        <v>1</v>
      </c>
      <c r="H1539" t="s">
        <v>1453</v>
      </c>
    </row>
    <row r="1540" spans="1:8">
      <c r="A1540" t="s">
        <v>11</v>
      </c>
      <c r="B1540">
        <v>2025</v>
      </c>
      <c r="C1540" t="s">
        <v>1452</v>
      </c>
      <c r="D1540" t="s">
        <v>180</v>
      </c>
      <c r="F1540" t="s">
        <v>181</v>
      </c>
      <c r="G1540">
        <v>3</v>
      </c>
      <c r="H1540" t="s">
        <v>1454</v>
      </c>
    </row>
    <row r="1541" spans="1:8">
      <c r="A1541" t="s">
        <v>11</v>
      </c>
      <c r="B1541">
        <v>2025</v>
      </c>
      <c r="C1541" t="s">
        <v>1452</v>
      </c>
      <c r="D1541" t="s">
        <v>180</v>
      </c>
      <c r="E1541" t="s">
        <v>291</v>
      </c>
      <c r="F1541" t="s">
        <v>181</v>
      </c>
      <c r="G1541">
        <v>0.5</v>
      </c>
      <c r="H1541" t="s">
        <v>1455</v>
      </c>
    </row>
    <row r="1542" spans="1:8">
      <c r="A1542" t="s">
        <v>11</v>
      </c>
      <c r="B1542">
        <v>2025</v>
      </c>
      <c r="C1542" t="s">
        <v>1452</v>
      </c>
      <c r="D1542" t="s">
        <v>180</v>
      </c>
      <c r="E1542" t="s">
        <v>811</v>
      </c>
      <c r="F1542" t="s">
        <v>181</v>
      </c>
      <c r="G1542">
        <v>2</v>
      </c>
      <c r="H1542" t="s">
        <v>1455</v>
      </c>
    </row>
    <row r="1543" spans="1:8">
      <c r="A1543" t="s">
        <v>11</v>
      </c>
      <c r="B1543">
        <v>2025</v>
      </c>
      <c r="C1543" t="s">
        <v>1452</v>
      </c>
      <c r="D1543" t="s">
        <v>180</v>
      </c>
      <c r="E1543" t="s">
        <v>812</v>
      </c>
      <c r="F1543" t="s">
        <v>181</v>
      </c>
      <c r="G1543">
        <v>1</v>
      </c>
      <c r="H1543" t="s">
        <v>1455</v>
      </c>
    </row>
    <row r="1544" spans="1:8">
      <c r="A1544" t="s">
        <v>11</v>
      </c>
      <c r="B1544">
        <v>2025</v>
      </c>
      <c r="C1544" t="s">
        <v>1452</v>
      </c>
      <c r="D1544" t="s">
        <v>180</v>
      </c>
      <c r="E1544" t="s">
        <v>813</v>
      </c>
      <c r="F1544" t="s">
        <v>181</v>
      </c>
      <c r="G1544">
        <v>1</v>
      </c>
      <c r="H1544" t="s">
        <v>1455</v>
      </c>
    </row>
    <row r="1545" spans="1:8">
      <c r="A1545" t="s">
        <v>11</v>
      </c>
      <c r="B1545">
        <v>2025</v>
      </c>
      <c r="C1545" t="s">
        <v>1452</v>
      </c>
      <c r="D1545" t="s">
        <v>180</v>
      </c>
      <c r="F1545" t="s">
        <v>181</v>
      </c>
      <c r="G1545">
        <v>1</v>
      </c>
      <c r="H1545" t="s">
        <v>1456</v>
      </c>
    </row>
    <row r="1546" spans="1:8">
      <c r="A1546" t="s">
        <v>11</v>
      </c>
      <c r="B1546">
        <v>2025</v>
      </c>
      <c r="C1546" t="s">
        <v>1452</v>
      </c>
      <c r="D1546" t="s">
        <v>199</v>
      </c>
      <c r="F1546" t="s">
        <v>208</v>
      </c>
      <c r="G1546">
        <v>1.5</v>
      </c>
      <c r="H1546" t="s">
        <v>1457</v>
      </c>
    </row>
    <row r="1547" spans="1:8">
      <c r="A1547" t="s">
        <v>11</v>
      </c>
      <c r="B1547">
        <v>2025</v>
      </c>
      <c r="C1547" t="s">
        <v>1452</v>
      </c>
      <c r="D1547" t="s">
        <v>199</v>
      </c>
      <c r="F1547" t="s">
        <v>208</v>
      </c>
      <c r="G1547">
        <v>8</v>
      </c>
      <c r="H1547" t="s">
        <v>1458</v>
      </c>
    </row>
    <row r="1548" spans="1:8">
      <c r="A1548" t="s">
        <v>11</v>
      </c>
      <c r="B1548">
        <v>2025</v>
      </c>
      <c r="C1548" t="s">
        <v>1452</v>
      </c>
      <c r="D1548" t="s">
        <v>199</v>
      </c>
      <c r="F1548" t="s">
        <v>208</v>
      </c>
      <c r="G1548">
        <v>1.2</v>
      </c>
      <c r="H1548" t="s">
        <v>1459</v>
      </c>
    </row>
    <row r="1549" spans="1:8">
      <c r="A1549" t="s">
        <v>11</v>
      </c>
      <c r="B1549">
        <v>2025</v>
      </c>
      <c r="C1549" t="s">
        <v>1452</v>
      </c>
      <c r="D1549" t="s">
        <v>191</v>
      </c>
      <c r="F1549" t="s">
        <v>208</v>
      </c>
      <c r="G1549">
        <v>1</v>
      </c>
      <c r="H1549" t="s">
        <v>1460</v>
      </c>
    </row>
    <row r="1550" spans="1:8">
      <c r="A1550" t="s">
        <v>11</v>
      </c>
      <c r="B1550">
        <v>2025</v>
      </c>
      <c r="C1550" t="s">
        <v>1452</v>
      </c>
      <c r="D1550" t="s">
        <v>184</v>
      </c>
      <c r="F1550" t="s">
        <v>208</v>
      </c>
      <c r="G1550">
        <v>3</v>
      </c>
      <c r="H1550" t="s">
        <v>1461</v>
      </c>
    </row>
    <row r="1551" spans="1:8">
      <c r="A1551" t="s">
        <v>11</v>
      </c>
      <c r="B1551">
        <v>2025</v>
      </c>
      <c r="C1551" t="s">
        <v>1452</v>
      </c>
      <c r="D1551" t="s">
        <v>188</v>
      </c>
      <c r="F1551" t="s">
        <v>208</v>
      </c>
      <c r="G1551">
        <v>4.3</v>
      </c>
      <c r="H1551" t="s">
        <v>823</v>
      </c>
    </row>
    <row r="1552" spans="1:8">
      <c r="A1552" t="s">
        <v>11</v>
      </c>
      <c r="B1552">
        <v>2025</v>
      </c>
      <c r="C1552" t="s">
        <v>1452</v>
      </c>
      <c r="D1552" t="s">
        <v>188</v>
      </c>
      <c r="F1552" t="s">
        <v>208</v>
      </c>
      <c r="G1552">
        <v>6.95</v>
      </c>
      <c r="H1552" t="s">
        <v>1240</v>
      </c>
    </row>
    <row r="1553" spans="1:8">
      <c r="A1553" t="s">
        <v>11</v>
      </c>
      <c r="B1553">
        <v>2025</v>
      </c>
      <c r="C1553" t="s">
        <v>34</v>
      </c>
      <c r="D1553" t="s">
        <v>180</v>
      </c>
      <c r="E1553" t="s">
        <v>799</v>
      </c>
      <c r="F1553" t="s">
        <v>181</v>
      </c>
      <c r="G1553">
        <v>6</v>
      </c>
      <c r="H1553" t="s">
        <v>216</v>
      </c>
    </row>
    <row r="1554" spans="1:8">
      <c r="A1554" t="s">
        <v>11</v>
      </c>
      <c r="B1554">
        <v>2025</v>
      </c>
      <c r="C1554" t="s">
        <v>34</v>
      </c>
      <c r="D1554" t="s">
        <v>180</v>
      </c>
      <c r="E1554" t="s">
        <v>339</v>
      </c>
      <c r="F1554" t="s">
        <v>181</v>
      </c>
      <c r="G1554">
        <v>2</v>
      </c>
      <c r="H1554" t="s">
        <v>216</v>
      </c>
    </row>
    <row r="1555" spans="1:8">
      <c r="A1555" t="s">
        <v>11</v>
      </c>
      <c r="B1555">
        <v>2025</v>
      </c>
      <c r="C1555" t="s">
        <v>34</v>
      </c>
      <c r="D1555" t="s">
        <v>184</v>
      </c>
      <c r="E1555" t="s">
        <v>827</v>
      </c>
      <c r="F1555" t="s">
        <v>181</v>
      </c>
      <c r="G1555">
        <v>2</v>
      </c>
      <c r="H1555" t="s">
        <v>216</v>
      </c>
    </row>
    <row r="1556" spans="1:8">
      <c r="A1556" t="s">
        <v>11</v>
      </c>
      <c r="B1556">
        <v>2025</v>
      </c>
      <c r="C1556" t="s">
        <v>34</v>
      </c>
      <c r="D1556" t="s">
        <v>180</v>
      </c>
      <c r="E1556" t="s">
        <v>800</v>
      </c>
      <c r="F1556" t="s">
        <v>181</v>
      </c>
      <c r="G1556">
        <v>1</v>
      </c>
      <c r="H1556" t="s">
        <v>216</v>
      </c>
    </row>
    <row r="1557" spans="1:8">
      <c r="A1557" t="s">
        <v>11</v>
      </c>
      <c r="B1557">
        <v>2025</v>
      </c>
      <c r="C1557" t="s">
        <v>34</v>
      </c>
      <c r="D1557" t="s">
        <v>180</v>
      </c>
      <c r="E1557" t="s">
        <v>801</v>
      </c>
      <c r="F1557" t="s">
        <v>181</v>
      </c>
      <c r="G1557">
        <v>1</v>
      </c>
      <c r="H1557" t="s">
        <v>216</v>
      </c>
    </row>
    <row r="1558" spans="1:8">
      <c r="A1558" t="s">
        <v>11</v>
      </c>
      <c r="B1558">
        <v>2025</v>
      </c>
      <c r="C1558" t="s">
        <v>34</v>
      </c>
      <c r="D1558" t="s">
        <v>188</v>
      </c>
      <c r="E1558" t="s">
        <v>827</v>
      </c>
      <c r="F1558" t="s">
        <v>181</v>
      </c>
      <c r="G1558">
        <v>6</v>
      </c>
      <c r="H1558" t="s">
        <v>802</v>
      </c>
    </row>
    <row r="1559" spans="1:8">
      <c r="A1559" t="s">
        <v>11</v>
      </c>
      <c r="B1559">
        <v>2025</v>
      </c>
      <c r="C1559" t="s">
        <v>34</v>
      </c>
      <c r="D1559" t="s">
        <v>180</v>
      </c>
      <c r="E1559" t="s">
        <v>803</v>
      </c>
      <c r="F1559" t="s">
        <v>181</v>
      </c>
      <c r="G1559">
        <v>1</v>
      </c>
      <c r="H1559" t="s">
        <v>804</v>
      </c>
    </row>
    <row r="1560" spans="1:8">
      <c r="A1560" t="s">
        <v>11</v>
      </c>
      <c r="B1560">
        <v>2025</v>
      </c>
      <c r="C1560" t="s">
        <v>34</v>
      </c>
      <c r="D1560" t="s">
        <v>180</v>
      </c>
      <c r="E1560" t="s">
        <v>1489</v>
      </c>
      <c r="F1560" t="s">
        <v>181</v>
      </c>
      <c r="G1560">
        <v>1</v>
      </c>
      <c r="H1560" t="s">
        <v>804</v>
      </c>
    </row>
    <row r="1561" spans="1:8">
      <c r="A1561" t="s">
        <v>11</v>
      </c>
      <c r="B1561">
        <v>2025</v>
      </c>
      <c r="C1561" t="s">
        <v>34</v>
      </c>
      <c r="D1561" t="s">
        <v>180</v>
      </c>
      <c r="E1561" t="s">
        <v>797</v>
      </c>
      <c r="F1561" t="s">
        <v>181</v>
      </c>
      <c r="G1561">
        <v>3</v>
      </c>
      <c r="H1561" t="s">
        <v>802</v>
      </c>
    </row>
    <row r="1562" spans="1:8">
      <c r="A1562" t="s">
        <v>11</v>
      </c>
      <c r="B1562">
        <v>2025</v>
      </c>
      <c r="C1562" t="s">
        <v>34</v>
      </c>
      <c r="D1562" t="s">
        <v>191</v>
      </c>
      <c r="E1562" t="s">
        <v>827</v>
      </c>
      <c r="F1562" t="s">
        <v>181</v>
      </c>
      <c r="G1562">
        <v>3</v>
      </c>
      <c r="H1562" t="s">
        <v>802</v>
      </c>
    </row>
    <row r="1563" spans="1:8">
      <c r="A1563" t="s">
        <v>11</v>
      </c>
      <c r="B1563">
        <v>2025</v>
      </c>
      <c r="C1563" t="s">
        <v>34</v>
      </c>
      <c r="D1563" t="s">
        <v>200</v>
      </c>
      <c r="E1563" t="s">
        <v>827</v>
      </c>
      <c r="F1563" t="s">
        <v>181</v>
      </c>
      <c r="G1563">
        <v>1</v>
      </c>
      <c r="H1563" t="s">
        <v>804</v>
      </c>
    </row>
    <row r="1564" spans="1:8">
      <c r="A1564" t="s">
        <v>11</v>
      </c>
      <c r="B1564">
        <v>2025</v>
      </c>
      <c r="C1564" t="s">
        <v>34</v>
      </c>
      <c r="D1564" t="s">
        <v>199</v>
      </c>
      <c r="E1564" t="s">
        <v>827</v>
      </c>
      <c r="F1564" t="s">
        <v>181</v>
      </c>
      <c r="G1564">
        <v>0.25</v>
      </c>
      <c r="H1564" t="s">
        <v>202</v>
      </c>
    </row>
    <row r="1565" spans="1:8">
      <c r="A1565" t="s">
        <v>11</v>
      </c>
      <c r="B1565">
        <v>2025</v>
      </c>
      <c r="C1565" t="s">
        <v>34</v>
      </c>
      <c r="D1565" t="s">
        <v>197</v>
      </c>
      <c r="E1565" t="s">
        <v>827</v>
      </c>
      <c r="F1565" t="s">
        <v>181</v>
      </c>
      <c r="G1565">
        <v>0.25</v>
      </c>
      <c r="H1565" t="s">
        <v>202</v>
      </c>
    </row>
    <row r="1566" spans="1:8">
      <c r="A1566" t="s">
        <v>11</v>
      </c>
      <c r="B1566">
        <v>2025</v>
      </c>
      <c r="C1566" t="s">
        <v>34</v>
      </c>
      <c r="D1566" t="s">
        <v>199</v>
      </c>
      <c r="E1566" t="s">
        <v>827</v>
      </c>
      <c r="F1566" t="s">
        <v>181</v>
      </c>
      <c r="G1566">
        <v>0.75</v>
      </c>
      <c r="H1566" t="s">
        <v>740</v>
      </c>
    </row>
    <row r="1567" spans="1:8">
      <c r="A1567" t="s">
        <v>11</v>
      </c>
      <c r="B1567">
        <v>2025</v>
      </c>
      <c r="C1567" t="s">
        <v>34</v>
      </c>
      <c r="D1567" t="s">
        <v>197</v>
      </c>
      <c r="E1567" t="s">
        <v>827</v>
      </c>
      <c r="F1567" t="s">
        <v>181</v>
      </c>
      <c r="G1567">
        <v>0.75</v>
      </c>
      <c r="H1567" t="s">
        <v>740</v>
      </c>
    </row>
    <row r="1568" spans="1:8">
      <c r="A1568" t="s">
        <v>11</v>
      </c>
      <c r="B1568">
        <v>2025</v>
      </c>
      <c r="C1568" t="s">
        <v>34</v>
      </c>
      <c r="D1568" t="s">
        <v>203</v>
      </c>
      <c r="E1568" t="s">
        <v>827</v>
      </c>
      <c r="F1568" t="s">
        <v>181</v>
      </c>
      <c r="G1568">
        <v>1</v>
      </c>
      <c r="H1568" t="s">
        <v>805</v>
      </c>
    </row>
    <row r="1569" spans="1:8">
      <c r="A1569" t="s">
        <v>11</v>
      </c>
      <c r="B1569">
        <v>2025</v>
      </c>
      <c r="C1569" t="s">
        <v>34</v>
      </c>
      <c r="D1569" t="s">
        <v>180</v>
      </c>
      <c r="E1569" t="s">
        <v>806</v>
      </c>
      <c r="F1569" t="s">
        <v>181</v>
      </c>
      <c r="G1569">
        <v>1</v>
      </c>
      <c r="H1569" t="s">
        <v>201</v>
      </c>
    </row>
    <row r="1570" spans="1:8">
      <c r="A1570" t="s">
        <v>11</v>
      </c>
      <c r="B1570">
        <v>2025</v>
      </c>
      <c r="C1570" t="s">
        <v>34</v>
      </c>
      <c r="D1570" t="s">
        <v>180</v>
      </c>
      <c r="E1570" t="s">
        <v>807</v>
      </c>
      <c r="F1570" t="s">
        <v>181</v>
      </c>
      <c r="G1570">
        <v>1</v>
      </c>
      <c r="H1570" t="s">
        <v>201</v>
      </c>
    </row>
    <row r="1571" spans="1:8">
      <c r="A1571" t="s">
        <v>11</v>
      </c>
      <c r="B1571">
        <v>2025</v>
      </c>
      <c r="C1571" t="s">
        <v>34</v>
      </c>
      <c r="D1571" t="s">
        <v>180</v>
      </c>
      <c r="F1571" t="s">
        <v>181</v>
      </c>
      <c r="G1571">
        <v>1</v>
      </c>
      <c r="H1571" t="s">
        <v>1235</v>
      </c>
    </row>
    <row r="1572" spans="1:8">
      <c r="A1572" t="s">
        <v>11</v>
      </c>
      <c r="B1572">
        <v>2025</v>
      </c>
      <c r="C1572" t="s">
        <v>34</v>
      </c>
      <c r="D1572" t="s">
        <v>180</v>
      </c>
      <c r="E1572" t="s">
        <v>808</v>
      </c>
      <c r="F1572" t="s">
        <v>181</v>
      </c>
      <c r="G1572">
        <v>1</v>
      </c>
      <c r="H1572" t="s">
        <v>804</v>
      </c>
    </row>
    <row r="1573" spans="1:8">
      <c r="A1573" t="s">
        <v>11</v>
      </c>
      <c r="B1573">
        <v>2025</v>
      </c>
      <c r="C1573" t="s">
        <v>34</v>
      </c>
      <c r="D1573" t="s">
        <v>180</v>
      </c>
      <c r="E1573" t="s">
        <v>809</v>
      </c>
      <c r="F1573" t="s">
        <v>181</v>
      </c>
      <c r="G1573">
        <v>4</v>
      </c>
      <c r="H1573" t="s">
        <v>285</v>
      </c>
    </row>
    <row r="1574" spans="1:8">
      <c r="A1574" t="s">
        <v>11</v>
      </c>
      <c r="B1574">
        <v>2025</v>
      </c>
      <c r="C1574" t="s">
        <v>34</v>
      </c>
      <c r="D1574" t="s">
        <v>180</v>
      </c>
      <c r="E1574" t="s">
        <v>291</v>
      </c>
      <c r="F1574" t="s">
        <v>181</v>
      </c>
      <c r="G1574">
        <v>1</v>
      </c>
      <c r="H1574" t="s">
        <v>216</v>
      </c>
    </row>
    <row r="1575" spans="1:8">
      <c r="A1575" t="s">
        <v>11</v>
      </c>
      <c r="B1575">
        <v>2025</v>
      </c>
      <c r="C1575" t="s">
        <v>34</v>
      </c>
      <c r="D1575" t="s">
        <v>180</v>
      </c>
      <c r="E1575" t="s">
        <v>810</v>
      </c>
      <c r="F1575" t="s">
        <v>181</v>
      </c>
      <c r="G1575">
        <v>1</v>
      </c>
      <c r="H1575" t="s">
        <v>216</v>
      </c>
    </row>
    <row r="1576" spans="1:8">
      <c r="A1576" t="s">
        <v>11</v>
      </c>
      <c r="B1576">
        <v>2025</v>
      </c>
      <c r="C1576" t="s">
        <v>34</v>
      </c>
      <c r="D1576" t="s">
        <v>180</v>
      </c>
      <c r="E1576" t="s">
        <v>811</v>
      </c>
      <c r="F1576" t="s">
        <v>181</v>
      </c>
      <c r="G1576">
        <v>2</v>
      </c>
      <c r="H1576" t="s">
        <v>216</v>
      </c>
    </row>
    <row r="1577" spans="1:8">
      <c r="A1577" t="s">
        <v>11</v>
      </c>
      <c r="B1577">
        <v>2025</v>
      </c>
      <c r="C1577" t="s">
        <v>34</v>
      </c>
      <c r="D1577" t="s">
        <v>180</v>
      </c>
      <c r="E1577" t="s">
        <v>812</v>
      </c>
      <c r="F1577" t="s">
        <v>181</v>
      </c>
      <c r="G1577">
        <v>1</v>
      </c>
      <c r="H1577" t="s">
        <v>216</v>
      </c>
    </row>
    <row r="1578" spans="1:8">
      <c r="A1578" t="s">
        <v>11</v>
      </c>
      <c r="B1578">
        <v>2025</v>
      </c>
      <c r="C1578" t="s">
        <v>34</v>
      </c>
      <c r="D1578" t="s">
        <v>180</v>
      </c>
      <c r="E1578" t="s">
        <v>813</v>
      </c>
      <c r="F1578" t="s">
        <v>181</v>
      </c>
      <c r="G1578">
        <v>0.67</v>
      </c>
      <c r="H1578" t="s">
        <v>216</v>
      </c>
    </row>
    <row r="1579" spans="1:8">
      <c r="A1579" t="s">
        <v>11</v>
      </c>
      <c r="B1579">
        <v>2025</v>
      </c>
      <c r="C1579" t="s">
        <v>34</v>
      </c>
      <c r="D1579" t="s">
        <v>180</v>
      </c>
      <c r="E1579" t="s">
        <v>814</v>
      </c>
      <c r="F1579" t="s">
        <v>181</v>
      </c>
      <c r="G1579">
        <v>1</v>
      </c>
      <c r="H1579" t="s">
        <v>216</v>
      </c>
    </row>
    <row r="1580" spans="1:8">
      <c r="A1580" t="s">
        <v>11</v>
      </c>
      <c r="B1580">
        <v>2025</v>
      </c>
      <c r="C1580" t="s">
        <v>34</v>
      </c>
      <c r="D1580" t="s">
        <v>188</v>
      </c>
      <c r="E1580" t="s">
        <v>827</v>
      </c>
      <c r="F1580" t="s">
        <v>181</v>
      </c>
      <c r="G1580">
        <v>1</v>
      </c>
      <c r="H1580" t="s">
        <v>815</v>
      </c>
    </row>
    <row r="1581" spans="1:8">
      <c r="A1581" t="s">
        <v>11</v>
      </c>
      <c r="B1581">
        <v>2025</v>
      </c>
      <c r="C1581" t="s">
        <v>34</v>
      </c>
      <c r="D1581" t="s">
        <v>180</v>
      </c>
      <c r="E1581" t="s">
        <v>827</v>
      </c>
      <c r="F1581" t="s">
        <v>181</v>
      </c>
      <c r="G1581">
        <v>2</v>
      </c>
      <c r="H1581" t="s">
        <v>1160</v>
      </c>
    </row>
    <row r="1582" spans="1:8">
      <c r="A1582" t="s">
        <v>11</v>
      </c>
      <c r="B1582">
        <v>2025</v>
      </c>
      <c r="C1582" t="s">
        <v>34</v>
      </c>
      <c r="D1582" t="s">
        <v>184</v>
      </c>
      <c r="F1582" t="s">
        <v>181</v>
      </c>
      <c r="G1582">
        <v>31</v>
      </c>
      <c r="H1582" t="s">
        <v>1490</v>
      </c>
    </row>
    <row r="1583" spans="1:8">
      <c r="A1583" t="s">
        <v>11</v>
      </c>
      <c r="B1583">
        <v>2025</v>
      </c>
      <c r="C1583" t="s">
        <v>34</v>
      </c>
      <c r="D1583" t="s">
        <v>191</v>
      </c>
      <c r="F1583" t="s">
        <v>208</v>
      </c>
      <c r="G1583">
        <v>2.5</v>
      </c>
      <c r="H1583" t="s">
        <v>1491</v>
      </c>
    </row>
    <row r="1584" spans="1:8">
      <c r="A1584" t="s">
        <v>11</v>
      </c>
      <c r="B1584">
        <v>2025</v>
      </c>
      <c r="C1584" t="s">
        <v>34</v>
      </c>
      <c r="D1584" t="s">
        <v>191</v>
      </c>
      <c r="F1584" t="s">
        <v>208</v>
      </c>
      <c r="G1584">
        <v>2.2000000000000002</v>
      </c>
      <c r="H1584" t="s">
        <v>1491</v>
      </c>
    </row>
    <row r="1585" spans="1:8">
      <c r="A1585" t="s">
        <v>11</v>
      </c>
      <c r="B1585">
        <v>2025</v>
      </c>
      <c r="C1585" t="s">
        <v>34</v>
      </c>
      <c r="D1585" t="s">
        <v>324</v>
      </c>
      <c r="F1585" t="s">
        <v>208</v>
      </c>
      <c r="G1585">
        <v>8.5</v>
      </c>
      <c r="H1585" t="s">
        <v>1492</v>
      </c>
    </row>
    <row r="1586" spans="1:8">
      <c r="A1586" t="s">
        <v>11</v>
      </c>
      <c r="B1586">
        <v>2025</v>
      </c>
      <c r="C1586" t="s">
        <v>34</v>
      </c>
      <c r="D1586" t="s">
        <v>180</v>
      </c>
      <c r="F1586" t="s">
        <v>208</v>
      </c>
      <c r="G1586">
        <v>1.4</v>
      </c>
      <c r="H1586" t="s">
        <v>1493</v>
      </c>
    </row>
    <row r="1587" spans="1:8">
      <c r="A1587" t="s">
        <v>11</v>
      </c>
      <c r="B1587">
        <v>2025</v>
      </c>
      <c r="C1587" t="s">
        <v>34</v>
      </c>
      <c r="D1587" t="s">
        <v>199</v>
      </c>
      <c r="F1587" t="s">
        <v>208</v>
      </c>
      <c r="G1587">
        <v>5</v>
      </c>
      <c r="H1587" t="s">
        <v>1494</v>
      </c>
    </row>
    <row r="1588" spans="1:8">
      <c r="A1588" t="s">
        <v>11</v>
      </c>
      <c r="B1588">
        <v>2025</v>
      </c>
      <c r="C1588" t="s">
        <v>34</v>
      </c>
      <c r="D1588" t="s">
        <v>193</v>
      </c>
      <c r="F1588" t="s">
        <v>208</v>
      </c>
      <c r="G1588">
        <v>0.95</v>
      </c>
      <c r="H1588" t="s">
        <v>1495</v>
      </c>
    </row>
    <row r="1589" spans="1:8">
      <c r="A1589" t="s">
        <v>11</v>
      </c>
      <c r="B1589">
        <v>2025</v>
      </c>
      <c r="C1589" t="s">
        <v>34</v>
      </c>
      <c r="D1589" t="s">
        <v>180</v>
      </c>
      <c r="F1589" t="s">
        <v>208</v>
      </c>
      <c r="G1589">
        <v>2</v>
      </c>
      <c r="H1589" t="s">
        <v>1496</v>
      </c>
    </row>
    <row r="1590" spans="1:8">
      <c r="A1590" t="s">
        <v>11</v>
      </c>
      <c r="B1590">
        <v>2025</v>
      </c>
      <c r="C1590" t="s">
        <v>34</v>
      </c>
      <c r="D1590" t="s">
        <v>188</v>
      </c>
      <c r="F1590" t="s">
        <v>208</v>
      </c>
      <c r="G1590">
        <v>9.35</v>
      </c>
      <c r="H1590" t="s">
        <v>822</v>
      </c>
    </row>
    <row r="1591" spans="1:8">
      <c r="A1591" t="s">
        <v>11</v>
      </c>
      <c r="B1591">
        <v>2025</v>
      </c>
      <c r="C1591" t="s">
        <v>34</v>
      </c>
      <c r="D1591" t="s">
        <v>188</v>
      </c>
      <c r="F1591" t="s">
        <v>208</v>
      </c>
      <c r="G1591">
        <v>6.45</v>
      </c>
      <c r="H1591" t="s">
        <v>823</v>
      </c>
    </row>
    <row r="1592" spans="1:8">
      <c r="A1592" t="s">
        <v>11</v>
      </c>
      <c r="B1592">
        <v>2025</v>
      </c>
      <c r="C1592" t="s">
        <v>34</v>
      </c>
      <c r="D1592" t="s">
        <v>188</v>
      </c>
      <c r="F1592" t="s">
        <v>208</v>
      </c>
      <c r="G1592">
        <v>8</v>
      </c>
      <c r="H1592" t="s">
        <v>1240</v>
      </c>
    </row>
    <row r="1593" spans="1:8">
      <c r="A1593" t="s">
        <v>11</v>
      </c>
      <c r="B1593">
        <v>2025</v>
      </c>
      <c r="C1593" t="s">
        <v>38</v>
      </c>
      <c r="D1593" t="s">
        <v>180</v>
      </c>
      <c r="E1593" t="s">
        <v>799</v>
      </c>
      <c r="F1593" t="s">
        <v>181</v>
      </c>
      <c r="G1593">
        <v>6</v>
      </c>
      <c r="H1593" t="s">
        <v>216</v>
      </c>
    </row>
    <row r="1594" spans="1:8">
      <c r="A1594" t="s">
        <v>11</v>
      </c>
      <c r="B1594">
        <v>2025</v>
      </c>
      <c r="C1594" t="s">
        <v>38</v>
      </c>
      <c r="D1594" t="s">
        <v>180</v>
      </c>
      <c r="E1594" t="s">
        <v>339</v>
      </c>
      <c r="F1594" t="s">
        <v>181</v>
      </c>
      <c r="G1594">
        <v>2</v>
      </c>
      <c r="H1594" t="s">
        <v>216</v>
      </c>
    </row>
    <row r="1595" spans="1:8">
      <c r="A1595" t="s">
        <v>11</v>
      </c>
      <c r="B1595">
        <v>2025</v>
      </c>
      <c r="C1595" t="s">
        <v>38</v>
      </c>
      <c r="D1595" t="s">
        <v>184</v>
      </c>
      <c r="E1595" t="s">
        <v>827</v>
      </c>
      <c r="F1595" t="s">
        <v>181</v>
      </c>
      <c r="G1595">
        <v>2</v>
      </c>
      <c r="H1595" t="s">
        <v>216</v>
      </c>
    </row>
    <row r="1596" spans="1:8">
      <c r="A1596" t="s">
        <v>11</v>
      </c>
      <c r="B1596">
        <v>2025</v>
      </c>
      <c r="C1596" t="s">
        <v>38</v>
      </c>
      <c r="D1596" t="s">
        <v>180</v>
      </c>
      <c r="E1596" t="s">
        <v>800</v>
      </c>
      <c r="F1596" t="s">
        <v>181</v>
      </c>
      <c r="G1596">
        <v>1</v>
      </c>
      <c r="H1596" t="s">
        <v>216</v>
      </c>
    </row>
    <row r="1597" spans="1:8">
      <c r="A1597" t="s">
        <v>11</v>
      </c>
      <c r="B1597">
        <v>2025</v>
      </c>
      <c r="C1597" t="s">
        <v>38</v>
      </c>
      <c r="D1597" t="s">
        <v>180</v>
      </c>
      <c r="E1597" t="s">
        <v>801</v>
      </c>
      <c r="F1597" t="s">
        <v>181</v>
      </c>
      <c r="G1597">
        <v>1</v>
      </c>
      <c r="H1597" t="s">
        <v>216</v>
      </c>
    </row>
    <row r="1598" spans="1:8">
      <c r="A1598" t="s">
        <v>11</v>
      </c>
      <c r="B1598">
        <v>2025</v>
      </c>
      <c r="C1598" t="s">
        <v>38</v>
      </c>
      <c r="D1598" t="s">
        <v>188</v>
      </c>
      <c r="E1598" t="s">
        <v>827</v>
      </c>
      <c r="F1598" t="s">
        <v>181</v>
      </c>
      <c r="G1598">
        <v>6</v>
      </c>
      <c r="H1598" t="s">
        <v>802</v>
      </c>
    </row>
    <row r="1599" spans="1:8">
      <c r="A1599" t="s">
        <v>11</v>
      </c>
      <c r="B1599">
        <v>2025</v>
      </c>
      <c r="C1599" t="s">
        <v>38</v>
      </c>
      <c r="D1599" t="s">
        <v>180</v>
      </c>
      <c r="E1599" t="s">
        <v>803</v>
      </c>
      <c r="F1599" t="s">
        <v>181</v>
      </c>
      <c r="G1599">
        <v>1</v>
      </c>
      <c r="H1599" t="s">
        <v>804</v>
      </c>
    </row>
    <row r="1600" spans="1:8">
      <c r="A1600" t="s">
        <v>11</v>
      </c>
      <c r="B1600">
        <v>2025</v>
      </c>
      <c r="C1600" t="s">
        <v>38</v>
      </c>
      <c r="D1600" t="s">
        <v>180</v>
      </c>
      <c r="E1600" t="s">
        <v>1489</v>
      </c>
      <c r="F1600" t="s">
        <v>181</v>
      </c>
      <c r="G1600">
        <v>1</v>
      </c>
      <c r="H1600" t="s">
        <v>804</v>
      </c>
    </row>
    <row r="1601" spans="1:8">
      <c r="A1601" t="s">
        <v>11</v>
      </c>
      <c r="B1601">
        <v>2025</v>
      </c>
      <c r="C1601" t="s">
        <v>38</v>
      </c>
      <c r="D1601" t="s">
        <v>180</v>
      </c>
      <c r="E1601" t="s">
        <v>797</v>
      </c>
      <c r="F1601" t="s">
        <v>181</v>
      </c>
      <c r="G1601">
        <v>3</v>
      </c>
      <c r="H1601" t="s">
        <v>802</v>
      </c>
    </row>
    <row r="1602" spans="1:8">
      <c r="A1602" t="s">
        <v>11</v>
      </c>
      <c r="B1602">
        <v>2025</v>
      </c>
      <c r="C1602" t="s">
        <v>38</v>
      </c>
      <c r="D1602" t="s">
        <v>191</v>
      </c>
      <c r="E1602" t="s">
        <v>827</v>
      </c>
      <c r="F1602" t="s">
        <v>181</v>
      </c>
      <c r="G1602">
        <v>3</v>
      </c>
      <c r="H1602" t="s">
        <v>802</v>
      </c>
    </row>
    <row r="1603" spans="1:8">
      <c r="A1603" t="s">
        <v>11</v>
      </c>
      <c r="B1603">
        <v>2025</v>
      </c>
      <c r="C1603" t="s">
        <v>38</v>
      </c>
      <c r="D1603" t="s">
        <v>200</v>
      </c>
      <c r="E1603" t="s">
        <v>827</v>
      </c>
      <c r="F1603" t="s">
        <v>181</v>
      </c>
      <c r="G1603">
        <v>1</v>
      </c>
      <c r="H1603" t="s">
        <v>804</v>
      </c>
    </row>
    <row r="1604" spans="1:8">
      <c r="A1604" t="s">
        <v>11</v>
      </c>
      <c r="B1604">
        <v>2025</v>
      </c>
      <c r="C1604" t="s">
        <v>38</v>
      </c>
      <c r="D1604" t="s">
        <v>199</v>
      </c>
      <c r="E1604" t="s">
        <v>827</v>
      </c>
      <c r="F1604" t="s">
        <v>181</v>
      </c>
      <c r="G1604">
        <v>0.25</v>
      </c>
      <c r="H1604" t="s">
        <v>202</v>
      </c>
    </row>
    <row r="1605" spans="1:8">
      <c r="A1605" t="s">
        <v>11</v>
      </c>
      <c r="B1605">
        <v>2025</v>
      </c>
      <c r="C1605" t="s">
        <v>38</v>
      </c>
      <c r="D1605" t="s">
        <v>197</v>
      </c>
      <c r="E1605" t="s">
        <v>827</v>
      </c>
      <c r="F1605" t="s">
        <v>181</v>
      </c>
      <c r="G1605">
        <v>0.25</v>
      </c>
      <c r="H1605" t="s">
        <v>202</v>
      </c>
    </row>
    <row r="1606" spans="1:8">
      <c r="A1606" t="s">
        <v>11</v>
      </c>
      <c r="B1606">
        <v>2025</v>
      </c>
      <c r="C1606" t="s">
        <v>38</v>
      </c>
      <c r="D1606" t="s">
        <v>199</v>
      </c>
      <c r="E1606" t="s">
        <v>827</v>
      </c>
      <c r="F1606" t="s">
        <v>181</v>
      </c>
      <c r="G1606">
        <v>0.75</v>
      </c>
      <c r="H1606" t="s">
        <v>740</v>
      </c>
    </row>
    <row r="1607" spans="1:8">
      <c r="A1607" t="s">
        <v>11</v>
      </c>
      <c r="B1607">
        <v>2025</v>
      </c>
      <c r="C1607" t="s">
        <v>38</v>
      </c>
      <c r="D1607" t="s">
        <v>197</v>
      </c>
      <c r="E1607" t="s">
        <v>827</v>
      </c>
      <c r="F1607" t="s">
        <v>181</v>
      </c>
      <c r="G1607">
        <v>0.75</v>
      </c>
      <c r="H1607" t="s">
        <v>740</v>
      </c>
    </row>
    <row r="1608" spans="1:8">
      <c r="A1608" t="s">
        <v>11</v>
      </c>
      <c r="B1608">
        <v>2025</v>
      </c>
      <c r="C1608" t="s">
        <v>38</v>
      </c>
      <c r="D1608" t="s">
        <v>203</v>
      </c>
      <c r="E1608" t="s">
        <v>827</v>
      </c>
      <c r="F1608" t="s">
        <v>181</v>
      </c>
      <c r="G1608">
        <v>1</v>
      </c>
      <c r="H1608" t="s">
        <v>805</v>
      </c>
    </row>
    <row r="1609" spans="1:8">
      <c r="A1609" t="s">
        <v>11</v>
      </c>
      <c r="B1609">
        <v>2025</v>
      </c>
      <c r="C1609" t="s">
        <v>38</v>
      </c>
      <c r="D1609" t="s">
        <v>180</v>
      </c>
      <c r="E1609" t="s">
        <v>806</v>
      </c>
      <c r="F1609" t="s">
        <v>181</v>
      </c>
      <c r="G1609">
        <v>1</v>
      </c>
      <c r="H1609" t="s">
        <v>201</v>
      </c>
    </row>
    <row r="1610" spans="1:8">
      <c r="A1610" t="s">
        <v>11</v>
      </c>
      <c r="B1610">
        <v>2025</v>
      </c>
      <c r="C1610" t="s">
        <v>38</v>
      </c>
      <c r="D1610" t="s">
        <v>180</v>
      </c>
      <c r="E1610" t="s">
        <v>807</v>
      </c>
      <c r="F1610" t="s">
        <v>181</v>
      </c>
      <c r="G1610">
        <v>1</v>
      </c>
      <c r="H1610" t="s">
        <v>201</v>
      </c>
    </row>
    <row r="1611" spans="1:8">
      <c r="A1611" t="s">
        <v>11</v>
      </c>
      <c r="B1611">
        <v>2025</v>
      </c>
      <c r="C1611" t="s">
        <v>38</v>
      </c>
      <c r="D1611" t="s">
        <v>180</v>
      </c>
      <c r="F1611" t="s">
        <v>181</v>
      </c>
      <c r="G1611">
        <v>1</v>
      </c>
      <c r="H1611" t="s">
        <v>1235</v>
      </c>
    </row>
    <row r="1612" spans="1:8">
      <c r="A1612" t="s">
        <v>11</v>
      </c>
      <c r="B1612">
        <v>2025</v>
      </c>
      <c r="C1612" t="s">
        <v>38</v>
      </c>
      <c r="D1612" t="s">
        <v>180</v>
      </c>
      <c r="E1612" t="s">
        <v>808</v>
      </c>
      <c r="F1612" t="s">
        <v>181</v>
      </c>
      <c r="G1612">
        <v>1</v>
      </c>
      <c r="H1612" t="s">
        <v>804</v>
      </c>
    </row>
    <row r="1613" spans="1:8">
      <c r="A1613" t="s">
        <v>11</v>
      </c>
      <c r="B1613">
        <v>2025</v>
      </c>
      <c r="C1613" t="s">
        <v>38</v>
      </c>
      <c r="D1613" t="s">
        <v>180</v>
      </c>
      <c r="E1613" t="s">
        <v>809</v>
      </c>
      <c r="F1613" t="s">
        <v>181</v>
      </c>
      <c r="G1613">
        <v>4</v>
      </c>
      <c r="H1613" t="s">
        <v>285</v>
      </c>
    </row>
    <row r="1614" spans="1:8">
      <c r="A1614" t="s">
        <v>11</v>
      </c>
      <c r="B1614">
        <v>2025</v>
      </c>
      <c r="C1614" t="s">
        <v>38</v>
      </c>
      <c r="D1614" t="s">
        <v>180</v>
      </c>
      <c r="E1614" t="s">
        <v>291</v>
      </c>
      <c r="F1614" t="s">
        <v>181</v>
      </c>
      <c r="G1614">
        <v>1</v>
      </c>
      <c r="H1614" t="s">
        <v>216</v>
      </c>
    </row>
    <row r="1615" spans="1:8">
      <c r="A1615" t="s">
        <v>11</v>
      </c>
      <c r="B1615">
        <v>2025</v>
      </c>
      <c r="C1615" t="s">
        <v>38</v>
      </c>
      <c r="D1615" t="s">
        <v>180</v>
      </c>
      <c r="E1615" t="s">
        <v>810</v>
      </c>
      <c r="F1615" t="s">
        <v>181</v>
      </c>
      <c r="G1615">
        <v>1</v>
      </c>
      <c r="H1615" t="s">
        <v>216</v>
      </c>
    </row>
    <row r="1616" spans="1:8">
      <c r="A1616" t="s">
        <v>11</v>
      </c>
      <c r="B1616">
        <v>2025</v>
      </c>
      <c r="C1616" t="s">
        <v>38</v>
      </c>
      <c r="D1616" t="s">
        <v>180</v>
      </c>
      <c r="E1616" t="s">
        <v>811</v>
      </c>
      <c r="F1616" t="s">
        <v>181</v>
      </c>
      <c r="G1616">
        <v>2</v>
      </c>
      <c r="H1616" t="s">
        <v>216</v>
      </c>
    </row>
    <row r="1617" spans="1:8">
      <c r="A1617" t="s">
        <v>11</v>
      </c>
      <c r="B1617">
        <v>2025</v>
      </c>
      <c r="C1617" t="s">
        <v>38</v>
      </c>
      <c r="D1617" t="s">
        <v>180</v>
      </c>
      <c r="E1617" t="s">
        <v>812</v>
      </c>
      <c r="F1617" t="s">
        <v>181</v>
      </c>
      <c r="G1617">
        <v>1</v>
      </c>
      <c r="H1617" t="s">
        <v>216</v>
      </c>
    </row>
    <row r="1618" spans="1:8">
      <c r="A1618" t="s">
        <v>11</v>
      </c>
      <c r="B1618">
        <v>2025</v>
      </c>
      <c r="C1618" t="s">
        <v>38</v>
      </c>
      <c r="D1618" t="s">
        <v>180</v>
      </c>
      <c r="E1618" t="s">
        <v>813</v>
      </c>
      <c r="F1618" t="s">
        <v>181</v>
      </c>
      <c r="G1618">
        <v>0.67</v>
      </c>
      <c r="H1618" t="s">
        <v>216</v>
      </c>
    </row>
    <row r="1619" spans="1:8">
      <c r="A1619" t="s">
        <v>11</v>
      </c>
      <c r="B1619">
        <v>2025</v>
      </c>
      <c r="C1619" t="s">
        <v>38</v>
      </c>
      <c r="D1619" t="s">
        <v>180</v>
      </c>
      <c r="E1619" t="s">
        <v>814</v>
      </c>
      <c r="F1619" t="s">
        <v>181</v>
      </c>
      <c r="G1619">
        <v>1</v>
      </c>
      <c r="H1619" t="s">
        <v>216</v>
      </c>
    </row>
    <row r="1620" spans="1:8">
      <c r="A1620" t="s">
        <v>11</v>
      </c>
      <c r="B1620">
        <v>2025</v>
      </c>
      <c r="C1620" t="s">
        <v>38</v>
      </c>
      <c r="D1620" t="s">
        <v>188</v>
      </c>
      <c r="E1620" t="s">
        <v>827</v>
      </c>
      <c r="F1620" t="s">
        <v>181</v>
      </c>
      <c r="G1620">
        <v>1</v>
      </c>
      <c r="H1620" t="s">
        <v>815</v>
      </c>
    </row>
    <row r="1621" spans="1:8">
      <c r="A1621" t="s">
        <v>11</v>
      </c>
      <c r="B1621">
        <v>2025</v>
      </c>
      <c r="C1621" t="s">
        <v>38</v>
      </c>
      <c r="D1621" t="s">
        <v>180</v>
      </c>
      <c r="E1621" t="s">
        <v>827</v>
      </c>
      <c r="F1621" t="s">
        <v>181</v>
      </c>
      <c r="G1621">
        <v>2</v>
      </c>
      <c r="H1621" t="s">
        <v>1160</v>
      </c>
    </row>
    <row r="1622" spans="1:8">
      <c r="A1622" t="s">
        <v>11</v>
      </c>
      <c r="B1622">
        <v>2025</v>
      </c>
      <c r="C1622" t="s">
        <v>38</v>
      </c>
      <c r="D1622" t="s">
        <v>193</v>
      </c>
      <c r="F1622" t="s">
        <v>181</v>
      </c>
      <c r="G1622">
        <v>4</v>
      </c>
      <c r="H1622" t="s">
        <v>216</v>
      </c>
    </row>
    <row r="1623" spans="1:8">
      <c r="A1623" t="s">
        <v>11</v>
      </c>
      <c r="B1623">
        <v>2025</v>
      </c>
      <c r="C1623" t="s">
        <v>38</v>
      </c>
      <c r="D1623" t="s">
        <v>180</v>
      </c>
      <c r="F1623" t="s">
        <v>208</v>
      </c>
      <c r="G1623">
        <v>1</v>
      </c>
      <c r="H1623" t="s">
        <v>1502</v>
      </c>
    </row>
    <row r="1624" spans="1:8">
      <c r="A1624" t="s">
        <v>11</v>
      </c>
      <c r="B1624">
        <v>2025</v>
      </c>
      <c r="C1624" t="s">
        <v>38</v>
      </c>
      <c r="D1624" t="s">
        <v>191</v>
      </c>
      <c r="F1624" t="s">
        <v>208</v>
      </c>
      <c r="G1624">
        <v>1.5</v>
      </c>
      <c r="H1624" t="s">
        <v>1503</v>
      </c>
    </row>
    <row r="1625" spans="1:8">
      <c r="A1625" t="s">
        <v>11</v>
      </c>
      <c r="B1625">
        <v>2025</v>
      </c>
      <c r="C1625" t="s">
        <v>38</v>
      </c>
      <c r="D1625" t="s">
        <v>199</v>
      </c>
      <c r="F1625" t="s">
        <v>208</v>
      </c>
      <c r="G1625">
        <v>1</v>
      </c>
      <c r="H1625" t="s">
        <v>1504</v>
      </c>
    </row>
    <row r="1626" spans="1:8">
      <c r="A1626" t="s">
        <v>11</v>
      </c>
      <c r="B1626">
        <v>2025</v>
      </c>
      <c r="C1626" t="s">
        <v>38</v>
      </c>
      <c r="D1626" t="s">
        <v>203</v>
      </c>
      <c r="F1626" t="s">
        <v>208</v>
      </c>
      <c r="G1626">
        <v>0.9</v>
      </c>
      <c r="H1626" t="s">
        <v>1505</v>
      </c>
    </row>
    <row r="1627" spans="1:8">
      <c r="A1627" t="s">
        <v>11</v>
      </c>
      <c r="B1627">
        <v>2025</v>
      </c>
      <c r="C1627" t="s">
        <v>38</v>
      </c>
      <c r="D1627" t="s">
        <v>203</v>
      </c>
      <c r="F1627" t="s">
        <v>208</v>
      </c>
      <c r="G1627">
        <v>5</v>
      </c>
      <c r="H1627" t="s">
        <v>1506</v>
      </c>
    </row>
    <row r="1628" spans="1:8">
      <c r="A1628" t="s">
        <v>11</v>
      </c>
      <c r="B1628">
        <v>2025</v>
      </c>
      <c r="C1628" t="s">
        <v>38</v>
      </c>
      <c r="D1628" t="s">
        <v>188</v>
      </c>
      <c r="F1628" t="s">
        <v>208</v>
      </c>
      <c r="G1628">
        <v>7.2</v>
      </c>
      <c r="H1628" t="s">
        <v>822</v>
      </c>
    </row>
    <row r="1629" spans="1:8">
      <c r="A1629" t="s">
        <v>11</v>
      </c>
      <c r="B1629">
        <v>2025</v>
      </c>
      <c r="C1629" t="s">
        <v>38</v>
      </c>
      <c r="D1629" t="s">
        <v>188</v>
      </c>
      <c r="F1629" t="s">
        <v>208</v>
      </c>
      <c r="G1629">
        <v>9.4499999999999993</v>
      </c>
      <c r="H1629" t="s">
        <v>823</v>
      </c>
    </row>
    <row r="1630" spans="1:8">
      <c r="A1630" t="s">
        <v>11</v>
      </c>
      <c r="B1630">
        <v>2025</v>
      </c>
      <c r="C1630" t="s">
        <v>38</v>
      </c>
      <c r="D1630" t="s">
        <v>188</v>
      </c>
      <c r="F1630" t="s">
        <v>208</v>
      </c>
      <c r="G1630">
        <v>17</v>
      </c>
      <c r="H1630" t="s">
        <v>1240</v>
      </c>
    </row>
    <row r="1631" spans="1:8">
      <c r="A1631" t="s">
        <v>11</v>
      </c>
      <c r="B1631">
        <v>2025</v>
      </c>
      <c r="C1631" t="s">
        <v>1233</v>
      </c>
      <c r="D1631" t="s">
        <v>180</v>
      </c>
      <c r="E1631" t="s">
        <v>799</v>
      </c>
      <c r="F1631" t="s">
        <v>181</v>
      </c>
      <c r="G1631">
        <v>6</v>
      </c>
      <c r="H1631" t="s">
        <v>216</v>
      </c>
    </row>
    <row r="1632" spans="1:8">
      <c r="A1632" t="s">
        <v>11</v>
      </c>
      <c r="B1632">
        <v>2025</v>
      </c>
      <c r="C1632" t="s">
        <v>1233</v>
      </c>
      <c r="D1632" t="s">
        <v>180</v>
      </c>
      <c r="E1632" t="s">
        <v>339</v>
      </c>
      <c r="F1632" t="s">
        <v>181</v>
      </c>
      <c r="G1632">
        <v>2</v>
      </c>
      <c r="H1632" t="s">
        <v>216</v>
      </c>
    </row>
    <row r="1633" spans="1:8">
      <c r="A1633" t="s">
        <v>11</v>
      </c>
      <c r="B1633">
        <v>2025</v>
      </c>
      <c r="C1633" t="s">
        <v>1233</v>
      </c>
      <c r="D1633" t="s">
        <v>184</v>
      </c>
      <c r="E1633" t="s">
        <v>827</v>
      </c>
      <c r="F1633" t="s">
        <v>181</v>
      </c>
      <c r="G1633">
        <v>2</v>
      </c>
      <c r="H1633" t="s">
        <v>216</v>
      </c>
    </row>
    <row r="1634" spans="1:8">
      <c r="A1634" t="s">
        <v>11</v>
      </c>
      <c r="B1634">
        <v>2025</v>
      </c>
      <c r="C1634" t="s">
        <v>1233</v>
      </c>
      <c r="D1634" t="s">
        <v>180</v>
      </c>
      <c r="E1634" t="s">
        <v>800</v>
      </c>
      <c r="F1634" t="s">
        <v>181</v>
      </c>
      <c r="G1634">
        <v>1</v>
      </c>
      <c r="H1634" t="s">
        <v>216</v>
      </c>
    </row>
    <row r="1635" spans="1:8">
      <c r="A1635" t="s">
        <v>11</v>
      </c>
      <c r="B1635">
        <v>2025</v>
      </c>
      <c r="C1635" t="s">
        <v>1233</v>
      </c>
      <c r="D1635" t="s">
        <v>180</v>
      </c>
      <c r="E1635" t="s">
        <v>801</v>
      </c>
      <c r="F1635" t="s">
        <v>181</v>
      </c>
      <c r="G1635">
        <v>1</v>
      </c>
      <c r="H1635" t="s">
        <v>216</v>
      </c>
    </row>
    <row r="1636" spans="1:8">
      <c r="A1636" t="s">
        <v>11</v>
      </c>
      <c r="B1636">
        <v>2025</v>
      </c>
      <c r="C1636" t="s">
        <v>1233</v>
      </c>
      <c r="D1636" t="s">
        <v>188</v>
      </c>
      <c r="E1636" t="s">
        <v>827</v>
      </c>
      <c r="F1636" t="s">
        <v>181</v>
      </c>
      <c r="G1636">
        <v>6</v>
      </c>
      <c r="H1636" t="s">
        <v>802</v>
      </c>
    </row>
    <row r="1637" spans="1:8">
      <c r="A1637" t="s">
        <v>11</v>
      </c>
      <c r="B1637">
        <v>2025</v>
      </c>
      <c r="C1637" t="s">
        <v>1233</v>
      </c>
      <c r="D1637" t="s">
        <v>180</v>
      </c>
      <c r="E1637" t="s">
        <v>803</v>
      </c>
      <c r="F1637" t="s">
        <v>181</v>
      </c>
      <c r="G1637">
        <v>1</v>
      </c>
      <c r="H1637" t="s">
        <v>804</v>
      </c>
    </row>
    <row r="1638" spans="1:8">
      <c r="A1638" t="s">
        <v>11</v>
      </c>
      <c r="B1638">
        <v>2025</v>
      </c>
      <c r="C1638" t="s">
        <v>1233</v>
      </c>
      <c r="D1638" t="s">
        <v>180</v>
      </c>
      <c r="E1638" t="s">
        <v>1489</v>
      </c>
      <c r="F1638" t="s">
        <v>181</v>
      </c>
      <c r="G1638">
        <v>1</v>
      </c>
      <c r="H1638" t="s">
        <v>804</v>
      </c>
    </row>
    <row r="1639" spans="1:8">
      <c r="A1639" t="s">
        <v>11</v>
      </c>
      <c r="B1639">
        <v>2025</v>
      </c>
      <c r="C1639" t="s">
        <v>1233</v>
      </c>
      <c r="D1639" t="s">
        <v>180</v>
      </c>
      <c r="E1639" t="s">
        <v>797</v>
      </c>
      <c r="F1639" t="s">
        <v>181</v>
      </c>
      <c r="G1639">
        <v>3</v>
      </c>
      <c r="H1639" t="s">
        <v>802</v>
      </c>
    </row>
    <row r="1640" spans="1:8">
      <c r="A1640" t="s">
        <v>11</v>
      </c>
      <c r="B1640">
        <v>2025</v>
      </c>
      <c r="C1640" t="s">
        <v>1233</v>
      </c>
      <c r="D1640" t="s">
        <v>191</v>
      </c>
      <c r="E1640" t="s">
        <v>827</v>
      </c>
      <c r="F1640" t="s">
        <v>181</v>
      </c>
      <c r="G1640">
        <v>3</v>
      </c>
      <c r="H1640" t="s">
        <v>802</v>
      </c>
    </row>
    <row r="1641" spans="1:8">
      <c r="A1641" t="s">
        <v>11</v>
      </c>
      <c r="B1641">
        <v>2025</v>
      </c>
      <c r="C1641" t="s">
        <v>1233</v>
      </c>
      <c r="D1641" t="s">
        <v>200</v>
      </c>
      <c r="E1641" t="s">
        <v>827</v>
      </c>
      <c r="F1641" t="s">
        <v>181</v>
      </c>
      <c r="G1641">
        <v>1</v>
      </c>
      <c r="H1641" t="s">
        <v>804</v>
      </c>
    </row>
    <row r="1642" spans="1:8">
      <c r="A1642" t="s">
        <v>11</v>
      </c>
      <c r="B1642">
        <v>2025</v>
      </c>
      <c r="C1642" t="s">
        <v>1233</v>
      </c>
      <c r="D1642" t="s">
        <v>199</v>
      </c>
      <c r="E1642" t="s">
        <v>827</v>
      </c>
      <c r="F1642" t="s">
        <v>181</v>
      </c>
      <c r="G1642">
        <v>0.25</v>
      </c>
      <c r="H1642" t="s">
        <v>202</v>
      </c>
    </row>
    <row r="1643" spans="1:8">
      <c r="A1643" t="s">
        <v>11</v>
      </c>
      <c r="B1643">
        <v>2025</v>
      </c>
      <c r="C1643" t="s">
        <v>1233</v>
      </c>
      <c r="D1643" t="s">
        <v>197</v>
      </c>
      <c r="E1643" t="s">
        <v>827</v>
      </c>
      <c r="F1643" t="s">
        <v>181</v>
      </c>
      <c r="G1643">
        <v>0.25</v>
      </c>
      <c r="H1643" t="s">
        <v>202</v>
      </c>
    </row>
    <row r="1644" spans="1:8">
      <c r="A1644" t="s">
        <v>11</v>
      </c>
      <c r="B1644">
        <v>2025</v>
      </c>
      <c r="C1644" t="s">
        <v>1233</v>
      </c>
      <c r="D1644" t="s">
        <v>199</v>
      </c>
      <c r="E1644" t="s">
        <v>827</v>
      </c>
      <c r="F1644" t="s">
        <v>181</v>
      </c>
      <c r="G1644">
        <v>0.75</v>
      </c>
      <c r="H1644" t="s">
        <v>740</v>
      </c>
    </row>
    <row r="1645" spans="1:8">
      <c r="A1645" t="s">
        <v>11</v>
      </c>
      <c r="B1645">
        <v>2025</v>
      </c>
      <c r="C1645" t="s">
        <v>1233</v>
      </c>
      <c r="D1645" t="s">
        <v>197</v>
      </c>
      <c r="E1645" t="s">
        <v>827</v>
      </c>
      <c r="F1645" t="s">
        <v>181</v>
      </c>
      <c r="G1645">
        <v>0.75</v>
      </c>
      <c r="H1645" t="s">
        <v>740</v>
      </c>
    </row>
    <row r="1646" spans="1:8">
      <c r="A1646" t="s">
        <v>11</v>
      </c>
      <c r="B1646">
        <v>2025</v>
      </c>
      <c r="C1646" t="s">
        <v>1233</v>
      </c>
      <c r="D1646" t="s">
        <v>203</v>
      </c>
      <c r="E1646" t="s">
        <v>827</v>
      </c>
      <c r="F1646" t="s">
        <v>181</v>
      </c>
      <c r="G1646">
        <v>1</v>
      </c>
      <c r="H1646" t="s">
        <v>805</v>
      </c>
    </row>
    <row r="1647" spans="1:8">
      <c r="A1647" t="s">
        <v>11</v>
      </c>
      <c r="B1647">
        <v>2025</v>
      </c>
      <c r="C1647" t="s">
        <v>1233</v>
      </c>
      <c r="D1647" t="s">
        <v>180</v>
      </c>
      <c r="E1647" t="s">
        <v>806</v>
      </c>
      <c r="F1647" t="s">
        <v>181</v>
      </c>
      <c r="G1647">
        <v>1</v>
      </c>
      <c r="H1647" t="s">
        <v>201</v>
      </c>
    </row>
    <row r="1648" spans="1:8">
      <c r="A1648" t="s">
        <v>11</v>
      </c>
      <c r="B1648">
        <v>2025</v>
      </c>
      <c r="C1648" t="s">
        <v>1233</v>
      </c>
      <c r="D1648" t="s">
        <v>180</v>
      </c>
      <c r="E1648" t="s">
        <v>807</v>
      </c>
      <c r="F1648" t="s">
        <v>181</v>
      </c>
      <c r="G1648">
        <v>1</v>
      </c>
      <c r="H1648" t="s">
        <v>201</v>
      </c>
    </row>
    <row r="1649" spans="1:8">
      <c r="A1649" t="s">
        <v>11</v>
      </c>
      <c r="B1649">
        <v>2025</v>
      </c>
      <c r="C1649" t="s">
        <v>1233</v>
      </c>
      <c r="D1649" t="s">
        <v>180</v>
      </c>
      <c r="F1649" t="s">
        <v>181</v>
      </c>
      <c r="G1649">
        <v>1</v>
      </c>
      <c r="H1649" t="s">
        <v>1235</v>
      </c>
    </row>
    <row r="1650" spans="1:8">
      <c r="A1650" t="s">
        <v>11</v>
      </c>
      <c r="B1650">
        <v>2025</v>
      </c>
      <c r="C1650" t="s">
        <v>1233</v>
      </c>
      <c r="D1650" t="s">
        <v>180</v>
      </c>
      <c r="E1650" t="s">
        <v>808</v>
      </c>
      <c r="F1650" t="s">
        <v>181</v>
      </c>
      <c r="G1650">
        <v>1</v>
      </c>
      <c r="H1650" t="s">
        <v>804</v>
      </c>
    </row>
    <row r="1651" spans="1:8">
      <c r="A1651" t="s">
        <v>11</v>
      </c>
      <c r="B1651">
        <v>2025</v>
      </c>
      <c r="C1651" t="s">
        <v>1233</v>
      </c>
      <c r="D1651" t="s">
        <v>180</v>
      </c>
      <c r="E1651" t="s">
        <v>809</v>
      </c>
      <c r="F1651" t="s">
        <v>181</v>
      </c>
      <c r="G1651">
        <v>4</v>
      </c>
      <c r="H1651" t="s">
        <v>285</v>
      </c>
    </row>
    <row r="1652" spans="1:8">
      <c r="A1652" t="s">
        <v>11</v>
      </c>
      <c r="B1652">
        <v>2025</v>
      </c>
      <c r="C1652" t="s">
        <v>1233</v>
      </c>
      <c r="D1652" t="s">
        <v>180</v>
      </c>
      <c r="E1652" t="s">
        <v>291</v>
      </c>
      <c r="F1652" t="s">
        <v>181</v>
      </c>
      <c r="G1652">
        <v>1</v>
      </c>
      <c r="H1652" t="s">
        <v>216</v>
      </c>
    </row>
    <row r="1653" spans="1:8">
      <c r="A1653" t="s">
        <v>11</v>
      </c>
      <c r="B1653">
        <v>2025</v>
      </c>
      <c r="C1653" t="s">
        <v>1233</v>
      </c>
      <c r="D1653" t="s">
        <v>180</v>
      </c>
      <c r="E1653" t="s">
        <v>810</v>
      </c>
      <c r="F1653" t="s">
        <v>181</v>
      </c>
      <c r="G1653">
        <v>1</v>
      </c>
      <c r="H1653" t="s">
        <v>216</v>
      </c>
    </row>
    <row r="1654" spans="1:8">
      <c r="A1654" t="s">
        <v>11</v>
      </c>
      <c r="B1654">
        <v>2025</v>
      </c>
      <c r="C1654" t="s">
        <v>1233</v>
      </c>
      <c r="D1654" t="s">
        <v>180</v>
      </c>
      <c r="E1654" t="s">
        <v>811</v>
      </c>
      <c r="F1654" t="s">
        <v>181</v>
      </c>
      <c r="G1654">
        <v>2</v>
      </c>
      <c r="H1654" t="s">
        <v>216</v>
      </c>
    </row>
    <row r="1655" spans="1:8">
      <c r="A1655" t="s">
        <v>11</v>
      </c>
      <c r="B1655">
        <v>2025</v>
      </c>
      <c r="C1655" t="s">
        <v>1233</v>
      </c>
      <c r="D1655" t="s">
        <v>180</v>
      </c>
      <c r="E1655" t="s">
        <v>812</v>
      </c>
      <c r="F1655" t="s">
        <v>181</v>
      </c>
      <c r="G1655">
        <v>1</v>
      </c>
      <c r="H1655" t="s">
        <v>216</v>
      </c>
    </row>
    <row r="1656" spans="1:8">
      <c r="A1656" t="s">
        <v>11</v>
      </c>
      <c r="B1656">
        <v>2025</v>
      </c>
      <c r="C1656" t="s">
        <v>1233</v>
      </c>
      <c r="D1656" t="s">
        <v>180</v>
      </c>
      <c r="E1656" t="s">
        <v>813</v>
      </c>
      <c r="F1656" t="s">
        <v>181</v>
      </c>
      <c r="G1656">
        <v>0.67</v>
      </c>
      <c r="H1656" t="s">
        <v>216</v>
      </c>
    </row>
    <row r="1657" spans="1:8">
      <c r="A1657" t="s">
        <v>11</v>
      </c>
      <c r="B1657">
        <v>2025</v>
      </c>
      <c r="C1657" t="s">
        <v>1233</v>
      </c>
      <c r="D1657" t="s">
        <v>180</v>
      </c>
      <c r="E1657" t="s">
        <v>814</v>
      </c>
      <c r="F1657" t="s">
        <v>181</v>
      </c>
      <c r="G1657">
        <v>1</v>
      </c>
      <c r="H1657" t="s">
        <v>216</v>
      </c>
    </row>
    <row r="1658" spans="1:8">
      <c r="A1658" t="s">
        <v>11</v>
      </c>
      <c r="B1658">
        <v>2025</v>
      </c>
      <c r="C1658" t="s">
        <v>1233</v>
      </c>
      <c r="D1658" t="s">
        <v>188</v>
      </c>
      <c r="E1658" t="s">
        <v>827</v>
      </c>
      <c r="F1658" t="s">
        <v>181</v>
      </c>
      <c r="G1658">
        <v>1</v>
      </c>
      <c r="H1658" t="s">
        <v>815</v>
      </c>
    </row>
    <row r="1659" spans="1:8">
      <c r="A1659" t="s">
        <v>11</v>
      </c>
      <c r="B1659">
        <v>2025</v>
      </c>
      <c r="C1659" t="s">
        <v>1233</v>
      </c>
      <c r="D1659" t="s">
        <v>180</v>
      </c>
      <c r="E1659" t="s">
        <v>827</v>
      </c>
      <c r="F1659" t="s">
        <v>181</v>
      </c>
      <c r="G1659">
        <v>2</v>
      </c>
      <c r="H1659" t="s">
        <v>1160</v>
      </c>
    </row>
    <row r="1660" spans="1:8">
      <c r="A1660" t="s">
        <v>11</v>
      </c>
      <c r="B1660">
        <v>2025</v>
      </c>
      <c r="C1660" t="s">
        <v>1233</v>
      </c>
      <c r="D1660" t="s">
        <v>193</v>
      </c>
      <c r="F1660" t="s">
        <v>181</v>
      </c>
      <c r="G1660">
        <v>4</v>
      </c>
      <c r="H1660" t="s">
        <v>216</v>
      </c>
    </row>
    <row r="1661" spans="1:8">
      <c r="A1661" t="s">
        <v>11</v>
      </c>
      <c r="B1661">
        <v>2025</v>
      </c>
      <c r="C1661" t="s">
        <v>1233</v>
      </c>
      <c r="D1661" t="s">
        <v>180</v>
      </c>
      <c r="F1661" t="s">
        <v>181</v>
      </c>
      <c r="G1661">
        <v>2</v>
      </c>
      <c r="H1661" t="s">
        <v>1160</v>
      </c>
    </row>
    <row r="1662" spans="1:8">
      <c r="A1662" t="s">
        <v>11</v>
      </c>
      <c r="B1662">
        <v>2025</v>
      </c>
      <c r="C1662" t="s">
        <v>1233</v>
      </c>
      <c r="D1662" t="s">
        <v>180</v>
      </c>
      <c r="F1662" t="s">
        <v>181</v>
      </c>
      <c r="G1662">
        <v>2</v>
      </c>
      <c r="H1662" t="s">
        <v>1384</v>
      </c>
    </row>
    <row r="1663" spans="1:8">
      <c r="A1663" t="s">
        <v>11</v>
      </c>
      <c r="B1663">
        <v>2025</v>
      </c>
      <c r="C1663" t="s">
        <v>1233</v>
      </c>
      <c r="D1663" t="s">
        <v>180</v>
      </c>
      <c r="F1663" t="s">
        <v>181</v>
      </c>
      <c r="G1663">
        <v>3</v>
      </c>
      <c r="H1663" t="s">
        <v>1385</v>
      </c>
    </row>
    <row r="1664" spans="1:8">
      <c r="A1664" t="s">
        <v>11</v>
      </c>
      <c r="B1664">
        <v>2025</v>
      </c>
      <c r="C1664" t="s">
        <v>1233</v>
      </c>
      <c r="D1664" t="s">
        <v>180</v>
      </c>
      <c r="F1664" t="s">
        <v>181</v>
      </c>
      <c r="G1664">
        <v>3</v>
      </c>
      <c r="H1664" t="s">
        <v>1386</v>
      </c>
    </row>
    <row r="1665" spans="1:8">
      <c r="A1665" t="s">
        <v>11</v>
      </c>
      <c r="B1665">
        <v>2025</v>
      </c>
      <c r="C1665" t="s">
        <v>1233</v>
      </c>
      <c r="D1665" t="s">
        <v>180</v>
      </c>
      <c r="F1665" t="s">
        <v>181</v>
      </c>
      <c r="G1665">
        <v>2</v>
      </c>
      <c r="H1665" t="s">
        <v>1387</v>
      </c>
    </row>
    <row r="1666" spans="1:8">
      <c r="A1666" t="s">
        <v>11</v>
      </c>
      <c r="B1666">
        <v>2025</v>
      </c>
      <c r="C1666" t="s">
        <v>1233</v>
      </c>
      <c r="D1666" t="s">
        <v>188</v>
      </c>
      <c r="F1666" t="s">
        <v>181</v>
      </c>
      <c r="G1666">
        <v>1.5</v>
      </c>
      <c r="H1666" t="s">
        <v>1388</v>
      </c>
    </row>
    <row r="1667" spans="1:8">
      <c r="A1667" t="s">
        <v>11</v>
      </c>
      <c r="B1667">
        <v>2025</v>
      </c>
      <c r="C1667" t="s">
        <v>1233</v>
      </c>
      <c r="D1667" t="s">
        <v>197</v>
      </c>
      <c r="F1667" t="s">
        <v>181</v>
      </c>
      <c r="G1667">
        <v>0.5</v>
      </c>
      <c r="H1667" t="s">
        <v>1389</v>
      </c>
    </row>
    <row r="1668" spans="1:8">
      <c r="A1668" t="s">
        <v>11</v>
      </c>
      <c r="B1668">
        <v>2025</v>
      </c>
      <c r="C1668" t="s">
        <v>1233</v>
      </c>
      <c r="D1668" t="s">
        <v>199</v>
      </c>
      <c r="F1668" t="s">
        <v>181</v>
      </c>
      <c r="G1668">
        <v>0.5</v>
      </c>
      <c r="H1668" t="s">
        <v>1389</v>
      </c>
    </row>
    <row r="1669" spans="1:8">
      <c r="A1669" t="s">
        <v>11</v>
      </c>
      <c r="B1669">
        <v>2025</v>
      </c>
      <c r="C1669" t="s">
        <v>1233</v>
      </c>
      <c r="D1669" t="s">
        <v>188</v>
      </c>
      <c r="F1669" t="s">
        <v>181</v>
      </c>
      <c r="G1669">
        <v>0.5</v>
      </c>
      <c r="H1669" t="s">
        <v>1390</v>
      </c>
    </row>
    <row r="1670" spans="1:8">
      <c r="A1670" t="s">
        <v>11</v>
      </c>
      <c r="B1670">
        <v>2025</v>
      </c>
      <c r="C1670" t="s">
        <v>1233</v>
      </c>
      <c r="D1670" t="s">
        <v>191</v>
      </c>
      <c r="F1670" t="s">
        <v>181</v>
      </c>
      <c r="G1670">
        <v>0.5</v>
      </c>
      <c r="H1670" t="s">
        <v>1390</v>
      </c>
    </row>
    <row r="1671" spans="1:8">
      <c r="A1671" t="s">
        <v>11</v>
      </c>
      <c r="B1671">
        <v>2025</v>
      </c>
      <c r="C1671" t="s">
        <v>1233</v>
      </c>
      <c r="D1671" t="s">
        <v>191</v>
      </c>
      <c r="F1671" t="s">
        <v>181</v>
      </c>
      <c r="G1671">
        <v>3</v>
      </c>
      <c r="H1671" t="s">
        <v>1391</v>
      </c>
    </row>
    <row r="1672" spans="1:8">
      <c r="A1672" t="s">
        <v>11</v>
      </c>
      <c r="B1672">
        <v>2025</v>
      </c>
      <c r="C1672" t="s">
        <v>1233</v>
      </c>
      <c r="D1672" t="s">
        <v>188</v>
      </c>
      <c r="F1672" t="s">
        <v>181</v>
      </c>
      <c r="G1672">
        <v>16</v>
      </c>
      <c r="H1672" t="s">
        <v>1523</v>
      </c>
    </row>
    <row r="1673" spans="1:8">
      <c r="A1673" t="s">
        <v>11</v>
      </c>
      <c r="B1673">
        <v>2025</v>
      </c>
      <c r="C1673" t="s">
        <v>1233</v>
      </c>
      <c r="D1673" t="s">
        <v>191</v>
      </c>
      <c r="F1673" t="s">
        <v>181</v>
      </c>
      <c r="G1673">
        <v>22</v>
      </c>
      <c r="H1673" t="s">
        <v>1523</v>
      </c>
    </row>
    <row r="1674" spans="1:8">
      <c r="A1674" t="s">
        <v>11</v>
      </c>
      <c r="B1674">
        <v>2025</v>
      </c>
      <c r="C1674" t="s">
        <v>1233</v>
      </c>
      <c r="D1674" t="s">
        <v>191</v>
      </c>
      <c r="F1674" t="s">
        <v>208</v>
      </c>
      <c r="G1674">
        <v>4</v>
      </c>
      <c r="H1674" t="s">
        <v>1524</v>
      </c>
    </row>
    <row r="1675" spans="1:8">
      <c r="A1675" t="s">
        <v>11</v>
      </c>
      <c r="B1675">
        <v>2025</v>
      </c>
      <c r="C1675" t="s">
        <v>1233</v>
      </c>
      <c r="D1675" t="s">
        <v>193</v>
      </c>
      <c r="F1675" t="s">
        <v>208</v>
      </c>
      <c r="G1675">
        <v>0.75</v>
      </c>
      <c r="H1675" t="s">
        <v>1525</v>
      </c>
    </row>
    <row r="1676" spans="1:8">
      <c r="A1676" t="s">
        <v>11</v>
      </c>
      <c r="B1676">
        <v>2025</v>
      </c>
      <c r="C1676" t="s">
        <v>1233</v>
      </c>
      <c r="D1676" t="s">
        <v>193</v>
      </c>
      <c r="F1676" t="s">
        <v>208</v>
      </c>
      <c r="G1676">
        <v>5</v>
      </c>
      <c r="H1676" t="s">
        <v>1526</v>
      </c>
    </row>
    <row r="1677" spans="1:8">
      <c r="A1677" t="s">
        <v>11</v>
      </c>
      <c r="B1677">
        <v>2025</v>
      </c>
      <c r="C1677" t="s">
        <v>1233</v>
      </c>
      <c r="D1677" t="s">
        <v>199</v>
      </c>
      <c r="F1677" t="s">
        <v>208</v>
      </c>
      <c r="G1677">
        <v>1</v>
      </c>
      <c r="H1677" t="s">
        <v>1527</v>
      </c>
    </row>
    <row r="1678" spans="1:8">
      <c r="A1678" t="s">
        <v>11</v>
      </c>
      <c r="B1678">
        <v>2025</v>
      </c>
      <c r="C1678" t="s">
        <v>1233</v>
      </c>
      <c r="D1678" t="s">
        <v>184</v>
      </c>
      <c r="F1678" t="s">
        <v>208</v>
      </c>
      <c r="G1678">
        <v>1</v>
      </c>
      <c r="H1678" t="s">
        <v>1528</v>
      </c>
    </row>
    <row r="1679" spans="1:8">
      <c r="A1679" t="s">
        <v>11</v>
      </c>
      <c r="B1679">
        <v>2025</v>
      </c>
      <c r="C1679" t="s">
        <v>1233</v>
      </c>
      <c r="D1679" t="s">
        <v>652</v>
      </c>
      <c r="F1679" t="s">
        <v>208</v>
      </c>
      <c r="G1679">
        <v>2</v>
      </c>
      <c r="H1679" t="s">
        <v>1529</v>
      </c>
    </row>
    <row r="1680" spans="1:8">
      <c r="A1680" t="s">
        <v>11</v>
      </c>
      <c r="B1680">
        <v>2025</v>
      </c>
      <c r="C1680" t="s">
        <v>1233</v>
      </c>
      <c r="D1680" t="s">
        <v>191</v>
      </c>
      <c r="F1680" t="s">
        <v>208</v>
      </c>
      <c r="H1680" t="s">
        <v>1530</v>
      </c>
    </row>
    <row r="1681" spans="1:8">
      <c r="A1681" t="s">
        <v>11</v>
      </c>
      <c r="B1681">
        <v>2025</v>
      </c>
      <c r="C1681" t="s">
        <v>1233</v>
      </c>
      <c r="D1681" t="s">
        <v>203</v>
      </c>
      <c r="F1681" t="s">
        <v>208</v>
      </c>
      <c r="G1681">
        <v>1</v>
      </c>
      <c r="H1681" t="s">
        <v>1531</v>
      </c>
    </row>
    <row r="1682" spans="1:8">
      <c r="A1682" t="s">
        <v>11</v>
      </c>
      <c r="B1682">
        <v>2025</v>
      </c>
      <c r="C1682" t="s">
        <v>1233</v>
      </c>
      <c r="D1682" t="s">
        <v>203</v>
      </c>
      <c r="F1682" t="s">
        <v>208</v>
      </c>
      <c r="H1682" t="s">
        <v>1532</v>
      </c>
    </row>
    <row r="1683" spans="1:8">
      <c r="A1683" t="s">
        <v>11</v>
      </c>
      <c r="B1683">
        <v>2025</v>
      </c>
      <c r="C1683" t="s">
        <v>1233</v>
      </c>
      <c r="D1683" t="s">
        <v>188</v>
      </c>
      <c r="F1683" t="s">
        <v>208</v>
      </c>
      <c r="G1683">
        <v>1</v>
      </c>
      <c r="H1683" t="s">
        <v>822</v>
      </c>
    </row>
    <row r="1684" spans="1:8">
      <c r="A1684" t="s">
        <v>11</v>
      </c>
      <c r="B1684">
        <v>2025</v>
      </c>
      <c r="C1684" t="s">
        <v>1233</v>
      </c>
      <c r="D1684" t="s">
        <v>188</v>
      </c>
      <c r="F1684" t="s">
        <v>208</v>
      </c>
      <c r="G1684">
        <v>4.8499999999999996</v>
      </c>
      <c r="H1684" t="s">
        <v>823</v>
      </c>
    </row>
    <row r="1685" spans="1:8">
      <c r="A1685" t="s">
        <v>11</v>
      </c>
      <c r="B1685">
        <v>2025</v>
      </c>
      <c r="C1685" t="s">
        <v>1233</v>
      </c>
      <c r="D1685" t="s">
        <v>188</v>
      </c>
      <c r="F1685" t="s">
        <v>208</v>
      </c>
      <c r="G1685">
        <v>1</v>
      </c>
      <c r="H1685" t="s">
        <v>1240</v>
      </c>
    </row>
    <row r="1686" spans="1:8">
      <c r="A1686" t="s">
        <v>11</v>
      </c>
      <c r="B1686">
        <v>2025</v>
      </c>
      <c r="C1686" t="s">
        <v>45</v>
      </c>
      <c r="D1686" t="s">
        <v>180</v>
      </c>
      <c r="E1686" t="s">
        <v>799</v>
      </c>
      <c r="F1686" t="s">
        <v>181</v>
      </c>
      <c r="G1686">
        <v>6</v>
      </c>
      <c r="H1686" t="s">
        <v>216</v>
      </c>
    </row>
    <row r="1687" spans="1:8">
      <c r="A1687" t="s">
        <v>11</v>
      </c>
      <c r="B1687">
        <v>2025</v>
      </c>
      <c r="C1687" t="s">
        <v>45</v>
      </c>
      <c r="D1687" t="s">
        <v>180</v>
      </c>
      <c r="E1687" t="s">
        <v>339</v>
      </c>
      <c r="F1687" t="s">
        <v>181</v>
      </c>
      <c r="G1687">
        <v>2</v>
      </c>
      <c r="H1687" t="s">
        <v>216</v>
      </c>
    </row>
    <row r="1688" spans="1:8">
      <c r="A1688" t="s">
        <v>11</v>
      </c>
      <c r="B1688">
        <v>2025</v>
      </c>
      <c r="C1688" t="s">
        <v>45</v>
      </c>
      <c r="D1688" t="s">
        <v>184</v>
      </c>
      <c r="E1688" t="s">
        <v>827</v>
      </c>
      <c r="F1688" t="s">
        <v>181</v>
      </c>
      <c r="G1688">
        <v>2</v>
      </c>
      <c r="H1688" t="s">
        <v>216</v>
      </c>
    </row>
    <row r="1689" spans="1:8">
      <c r="A1689" t="s">
        <v>11</v>
      </c>
      <c r="B1689">
        <v>2025</v>
      </c>
      <c r="C1689" t="s">
        <v>45</v>
      </c>
      <c r="D1689" t="s">
        <v>180</v>
      </c>
      <c r="E1689" t="s">
        <v>800</v>
      </c>
      <c r="F1689" t="s">
        <v>181</v>
      </c>
      <c r="G1689">
        <v>1</v>
      </c>
      <c r="H1689" t="s">
        <v>216</v>
      </c>
    </row>
    <row r="1690" spans="1:8">
      <c r="A1690" t="s">
        <v>11</v>
      </c>
      <c r="B1690">
        <v>2025</v>
      </c>
      <c r="C1690" t="s">
        <v>45</v>
      </c>
      <c r="D1690" t="s">
        <v>180</v>
      </c>
      <c r="E1690" t="s">
        <v>801</v>
      </c>
      <c r="F1690" t="s">
        <v>181</v>
      </c>
      <c r="G1690">
        <v>1</v>
      </c>
      <c r="H1690" t="s">
        <v>216</v>
      </c>
    </row>
    <row r="1691" spans="1:8">
      <c r="A1691" t="s">
        <v>11</v>
      </c>
      <c r="B1691">
        <v>2025</v>
      </c>
      <c r="C1691" t="s">
        <v>45</v>
      </c>
      <c r="D1691" t="s">
        <v>188</v>
      </c>
      <c r="E1691" t="s">
        <v>827</v>
      </c>
      <c r="F1691" t="s">
        <v>181</v>
      </c>
      <c r="G1691">
        <v>6</v>
      </c>
      <c r="H1691" t="s">
        <v>802</v>
      </c>
    </row>
    <row r="1692" spans="1:8">
      <c r="A1692" t="s">
        <v>11</v>
      </c>
      <c r="B1692">
        <v>2025</v>
      </c>
      <c r="C1692" t="s">
        <v>45</v>
      </c>
      <c r="D1692" t="s">
        <v>180</v>
      </c>
      <c r="E1692" t="s">
        <v>803</v>
      </c>
      <c r="F1692" t="s">
        <v>181</v>
      </c>
      <c r="G1692">
        <v>1</v>
      </c>
      <c r="H1692" t="s">
        <v>804</v>
      </c>
    </row>
    <row r="1693" spans="1:8">
      <c r="A1693" t="s">
        <v>11</v>
      </c>
      <c r="B1693">
        <v>2025</v>
      </c>
      <c r="C1693" t="s">
        <v>45</v>
      </c>
      <c r="D1693" t="s">
        <v>180</v>
      </c>
      <c r="E1693" t="s">
        <v>1489</v>
      </c>
      <c r="F1693" t="s">
        <v>181</v>
      </c>
      <c r="G1693">
        <v>1</v>
      </c>
      <c r="H1693" t="s">
        <v>804</v>
      </c>
    </row>
    <row r="1694" spans="1:8">
      <c r="A1694" t="s">
        <v>11</v>
      </c>
      <c r="B1694">
        <v>2025</v>
      </c>
      <c r="C1694" t="s">
        <v>45</v>
      </c>
      <c r="D1694" t="s">
        <v>180</v>
      </c>
      <c r="E1694" t="s">
        <v>797</v>
      </c>
      <c r="F1694" t="s">
        <v>181</v>
      </c>
      <c r="G1694">
        <v>3</v>
      </c>
      <c r="H1694" t="s">
        <v>802</v>
      </c>
    </row>
    <row r="1695" spans="1:8">
      <c r="A1695" t="s">
        <v>11</v>
      </c>
      <c r="B1695">
        <v>2025</v>
      </c>
      <c r="C1695" t="s">
        <v>45</v>
      </c>
      <c r="D1695" t="s">
        <v>191</v>
      </c>
      <c r="E1695" t="s">
        <v>827</v>
      </c>
      <c r="F1695" t="s">
        <v>181</v>
      </c>
      <c r="G1695">
        <v>3</v>
      </c>
      <c r="H1695" t="s">
        <v>802</v>
      </c>
    </row>
    <row r="1696" spans="1:8">
      <c r="A1696" t="s">
        <v>11</v>
      </c>
      <c r="B1696">
        <v>2025</v>
      </c>
      <c r="C1696" t="s">
        <v>45</v>
      </c>
      <c r="D1696" t="s">
        <v>200</v>
      </c>
      <c r="E1696" t="s">
        <v>827</v>
      </c>
      <c r="F1696" t="s">
        <v>181</v>
      </c>
      <c r="G1696">
        <v>1</v>
      </c>
      <c r="H1696" t="s">
        <v>804</v>
      </c>
    </row>
    <row r="1697" spans="1:8">
      <c r="A1697" t="s">
        <v>11</v>
      </c>
      <c r="B1697">
        <v>2025</v>
      </c>
      <c r="C1697" t="s">
        <v>45</v>
      </c>
      <c r="D1697" t="s">
        <v>199</v>
      </c>
      <c r="E1697" t="s">
        <v>827</v>
      </c>
      <c r="F1697" t="s">
        <v>181</v>
      </c>
      <c r="G1697">
        <v>0.25</v>
      </c>
      <c r="H1697" t="s">
        <v>202</v>
      </c>
    </row>
    <row r="1698" spans="1:8">
      <c r="A1698" t="s">
        <v>11</v>
      </c>
      <c r="B1698">
        <v>2025</v>
      </c>
      <c r="C1698" t="s">
        <v>45</v>
      </c>
      <c r="D1698" t="s">
        <v>197</v>
      </c>
      <c r="E1698" t="s">
        <v>827</v>
      </c>
      <c r="F1698" t="s">
        <v>181</v>
      </c>
      <c r="G1698">
        <v>0.25</v>
      </c>
      <c r="H1698" t="s">
        <v>202</v>
      </c>
    </row>
    <row r="1699" spans="1:8">
      <c r="A1699" t="s">
        <v>11</v>
      </c>
      <c r="B1699">
        <v>2025</v>
      </c>
      <c r="C1699" t="s">
        <v>45</v>
      </c>
      <c r="D1699" t="s">
        <v>199</v>
      </c>
      <c r="E1699" t="s">
        <v>827</v>
      </c>
      <c r="F1699" t="s">
        <v>181</v>
      </c>
      <c r="G1699">
        <v>0.75</v>
      </c>
      <c r="H1699" t="s">
        <v>740</v>
      </c>
    </row>
    <row r="1700" spans="1:8">
      <c r="A1700" t="s">
        <v>11</v>
      </c>
      <c r="B1700">
        <v>2025</v>
      </c>
      <c r="C1700" t="s">
        <v>45</v>
      </c>
      <c r="D1700" t="s">
        <v>197</v>
      </c>
      <c r="E1700" t="s">
        <v>827</v>
      </c>
      <c r="F1700" t="s">
        <v>181</v>
      </c>
      <c r="G1700">
        <v>0.75</v>
      </c>
      <c r="H1700" t="s">
        <v>740</v>
      </c>
    </row>
    <row r="1701" spans="1:8">
      <c r="A1701" t="s">
        <v>11</v>
      </c>
      <c r="B1701">
        <v>2025</v>
      </c>
      <c r="C1701" t="s">
        <v>45</v>
      </c>
      <c r="D1701" t="s">
        <v>203</v>
      </c>
      <c r="E1701" t="s">
        <v>827</v>
      </c>
      <c r="F1701" t="s">
        <v>181</v>
      </c>
      <c r="G1701">
        <v>1</v>
      </c>
      <c r="H1701" t="s">
        <v>805</v>
      </c>
    </row>
    <row r="1702" spans="1:8">
      <c r="A1702" t="s">
        <v>11</v>
      </c>
      <c r="B1702">
        <v>2025</v>
      </c>
      <c r="C1702" t="s">
        <v>45</v>
      </c>
      <c r="D1702" t="s">
        <v>180</v>
      </c>
      <c r="E1702" t="s">
        <v>806</v>
      </c>
      <c r="F1702" t="s">
        <v>181</v>
      </c>
      <c r="G1702">
        <v>1</v>
      </c>
      <c r="H1702" t="s">
        <v>201</v>
      </c>
    </row>
    <row r="1703" spans="1:8">
      <c r="A1703" t="s">
        <v>11</v>
      </c>
      <c r="B1703">
        <v>2025</v>
      </c>
      <c r="C1703" t="s">
        <v>45</v>
      </c>
      <c r="D1703" t="s">
        <v>180</v>
      </c>
      <c r="E1703" t="s">
        <v>807</v>
      </c>
      <c r="F1703" t="s">
        <v>181</v>
      </c>
      <c r="G1703">
        <v>1</v>
      </c>
      <c r="H1703" t="s">
        <v>201</v>
      </c>
    </row>
    <row r="1704" spans="1:8">
      <c r="A1704" t="s">
        <v>11</v>
      </c>
      <c r="B1704">
        <v>2025</v>
      </c>
      <c r="C1704" t="s">
        <v>45</v>
      </c>
      <c r="D1704" t="s">
        <v>180</v>
      </c>
      <c r="F1704" t="s">
        <v>181</v>
      </c>
      <c r="G1704">
        <v>1</v>
      </c>
      <c r="H1704" t="s">
        <v>1235</v>
      </c>
    </row>
    <row r="1705" spans="1:8">
      <c r="A1705" t="s">
        <v>11</v>
      </c>
      <c r="B1705">
        <v>2025</v>
      </c>
      <c r="C1705" t="s">
        <v>45</v>
      </c>
      <c r="D1705" t="s">
        <v>180</v>
      </c>
      <c r="E1705" t="s">
        <v>808</v>
      </c>
      <c r="F1705" t="s">
        <v>181</v>
      </c>
      <c r="G1705">
        <v>1</v>
      </c>
      <c r="H1705" t="s">
        <v>804</v>
      </c>
    </row>
    <row r="1706" spans="1:8">
      <c r="A1706" t="s">
        <v>11</v>
      </c>
      <c r="B1706">
        <v>2025</v>
      </c>
      <c r="C1706" t="s">
        <v>45</v>
      </c>
      <c r="D1706" t="s">
        <v>180</v>
      </c>
      <c r="E1706" t="s">
        <v>809</v>
      </c>
      <c r="F1706" t="s">
        <v>181</v>
      </c>
      <c r="G1706">
        <v>4</v>
      </c>
      <c r="H1706" t="s">
        <v>285</v>
      </c>
    </row>
    <row r="1707" spans="1:8">
      <c r="A1707" t="s">
        <v>11</v>
      </c>
      <c r="B1707">
        <v>2025</v>
      </c>
      <c r="C1707" t="s">
        <v>45</v>
      </c>
      <c r="D1707" t="s">
        <v>180</v>
      </c>
      <c r="E1707" t="s">
        <v>291</v>
      </c>
      <c r="F1707" t="s">
        <v>181</v>
      </c>
      <c r="G1707">
        <v>1</v>
      </c>
      <c r="H1707" t="s">
        <v>216</v>
      </c>
    </row>
    <row r="1708" spans="1:8">
      <c r="A1708" t="s">
        <v>11</v>
      </c>
      <c r="B1708">
        <v>2025</v>
      </c>
      <c r="C1708" t="s">
        <v>45</v>
      </c>
      <c r="D1708" t="s">
        <v>180</v>
      </c>
      <c r="E1708" t="s">
        <v>810</v>
      </c>
      <c r="F1708" t="s">
        <v>181</v>
      </c>
      <c r="G1708">
        <v>1</v>
      </c>
      <c r="H1708" t="s">
        <v>216</v>
      </c>
    </row>
    <row r="1709" spans="1:8">
      <c r="A1709" t="s">
        <v>11</v>
      </c>
      <c r="B1709">
        <v>2025</v>
      </c>
      <c r="C1709" t="s">
        <v>45</v>
      </c>
      <c r="D1709" t="s">
        <v>180</v>
      </c>
      <c r="E1709" t="s">
        <v>811</v>
      </c>
      <c r="F1709" t="s">
        <v>181</v>
      </c>
      <c r="G1709">
        <v>2</v>
      </c>
      <c r="H1709" t="s">
        <v>216</v>
      </c>
    </row>
    <row r="1710" spans="1:8">
      <c r="A1710" t="s">
        <v>11</v>
      </c>
      <c r="B1710">
        <v>2025</v>
      </c>
      <c r="C1710" t="s">
        <v>45</v>
      </c>
      <c r="D1710" t="s">
        <v>180</v>
      </c>
      <c r="E1710" t="s">
        <v>812</v>
      </c>
      <c r="F1710" t="s">
        <v>181</v>
      </c>
      <c r="G1710">
        <v>1</v>
      </c>
      <c r="H1710" t="s">
        <v>216</v>
      </c>
    </row>
    <row r="1711" spans="1:8">
      <c r="A1711" t="s">
        <v>11</v>
      </c>
      <c r="B1711">
        <v>2025</v>
      </c>
      <c r="C1711" t="s">
        <v>45</v>
      </c>
      <c r="D1711" t="s">
        <v>180</v>
      </c>
      <c r="E1711" t="s">
        <v>813</v>
      </c>
      <c r="F1711" t="s">
        <v>181</v>
      </c>
      <c r="G1711">
        <v>0.67</v>
      </c>
      <c r="H1711" t="s">
        <v>216</v>
      </c>
    </row>
    <row r="1712" spans="1:8">
      <c r="A1712" t="s">
        <v>11</v>
      </c>
      <c r="B1712">
        <v>2025</v>
      </c>
      <c r="C1712" t="s">
        <v>45</v>
      </c>
      <c r="D1712" t="s">
        <v>180</v>
      </c>
      <c r="E1712" t="s">
        <v>814</v>
      </c>
      <c r="F1712" t="s">
        <v>181</v>
      </c>
      <c r="G1712">
        <v>1</v>
      </c>
      <c r="H1712" t="s">
        <v>216</v>
      </c>
    </row>
    <row r="1713" spans="1:8">
      <c r="A1713" t="s">
        <v>11</v>
      </c>
      <c r="B1713">
        <v>2025</v>
      </c>
      <c r="C1713" t="s">
        <v>45</v>
      </c>
      <c r="D1713" t="s">
        <v>188</v>
      </c>
      <c r="E1713" t="s">
        <v>827</v>
      </c>
      <c r="F1713" t="s">
        <v>181</v>
      </c>
      <c r="G1713">
        <v>1</v>
      </c>
      <c r="H1713" t="s">
        <v>815</v>
      </c>
    </row>
    <row r="1714" spans="1:8">
      <c r="A1714" t="s">
        <v>11</v>
      </c>
      <c r="B1714">
        <v>2025</v>
      </c>
      <c r="C1714" t="s">
        <v>45</v>
      </c>
      <c r="D1714" t="s">
        <v>180</v>
      </c>
      <c r="E1714" t="s">
        <v>827</v>
      </c>
      <c r="F1714" t="s">
        <v>181</v>
      </c>
      <c r="G1714">
        <v>2</v>
      </c>
      <c r="H1714" t="s">
        <v>1160</v>
      </c>
    </row>
    <row r="1715" spans="1:8">
      <c r="A1715" t="s">
        <v>11</v>
      </c>
      <c r="B1715">
        <v>2025</v>
      </c>
      <c r="C1715" t="s">
        <v>45</v>
      </c>
      <c r="D1715" t="s">
        <v>193</v>
      </c>
      <c r="F1715" t="s">
        <v>181</v>
      </c>
      <c r="G1715">
        <v>4</v>
      </c>
      <c r="H1715" t="s">
        <v>216</v>
      </c>
    </row>
    <row r="1716" spans="1:8">
      <c r="A1716" t="s">
        <v>11</v>
      </c>
      <c r="B1716">
        <v>2025</v>
      </c>
      <c r="C1716" t="s">
        <v>45</v>
      </c>
      <c r="D1716" t="s">
        <v>180</v>
      </c>
      <c r="F1716" t="s">
        <v>181</v>
      </c>
      <c r="G1716">
        <v>2</v>
      </c>
      <c r="H1716" t="s">
        <v>1160</v>
      </c>
    </row>
    <row r="1717" spans="1:8">
      <c r="A1717" t="s">
        <v>11</v>
      </c>
      <c r="B1717">
        <v>2025</v>
      </c>
      <c r="C1717" t="s">
        <v>45</v>
      </c>
      <c r="D1717" t="s">
        <v>188</v>
      </c>
      <c r="F1717" t="s">
        <v>181</v>
      </c>
      <c r="G1717">
        <v>16</v>
      </c>
      <c r="H1717" t="s">
        <v>1523</v>
      </c>
    </row>
    <row r="1718" spans="1:8">
      <c r="A1718" t="s">
        <v>11</v>
      </c>
      <c r="B1718">
        <v>2025</v>
      </c>
      <c r="C1718" t="s">
        <v>45</v>
      </c>
      <c r="D1718" t="s">
        <v>191</v>
      </c>
      <c r="F1718" t="s">
        <v>181</v>
      </c>
      <c r="G1718">
        <v>22</v>
      </c>
      <c r="H1718" t="s">
        <v>1523</v>
      </c>
    </row>
    <row r="1719" spans="1:8">
      <c r="A1719" t="s">
        <v>11</v>
      </c>
      <c r="B1719">
        <v>2025</v>
      </c>
      <c r="C1719" t="s">
        <v>45</v>
      </c>
      <c r="D1719" t="s">
        <v>180</v>
      </c>
      <c r="F1719" t="s">
        <v>208</v>
      </c>
      <c r="G1719">
        <v>6</v>
      </c>
      <c r="H1719" t="s">
        <v>1554</v>
      </c>
    </row>
    <row r="1720" spans="1:8">
      <c r="A1720" t="s">
        <v>11</v>
      </c>
      <c r="B1720">
        <v>2025</v>
      </c>
      <c r="C1720" t="s">
        <v>45</v>
      </c>
      <c r="D1720" t="s">
        <v>184</v>
      </c>
      <c r="F1720" t="s">
        <v>208</v>
      </c>
      <c r="G1720">
        <v>0.25</v>
      </c>
      <c r="H1720" t="s">
        <v>1555</v>
      </c>
    </row>
    <row r="1721" spans="1:8">
      <c r="A1721" t="s">
        <v>11</v>
      </c>
      <c r="B1721">
        <v>2025</v>
      </c>
      <c r="C1721" t="s">
        <v>45</v>
      </c>
      <c r="D1721" t="s">
        <v>199</v>
      </c>
      <c r="F1721" t="s">
        <v>208</v>
      </c>
      <c r="G1721">
        <v>7.5</v>
      </c>
      <c r="H1721" t="s">
        <v>1556</v>
      </c>
    </row>
    <row r="1722" spans="1:8">
      <c r="A1722" t="s">
        <v>11</v>
      </c>
      <c r="B1722">
        <v>2025</v>
      </c>
      <c r="C1722" t="s">
        <v>45</v>
      </c>
      <c r="D1722" t="s">
        <v>180</v>
      </c>
      <c r="F1722" t="s">
        <v>208</v>
      </c>
      <c r="G1722">
        <v>1.5</v>
      </c>
      <c r="H1722" t="s">
        <v>1557</v>
      </c>
    </row>
    <row r="1723" spans="1:8">
      <c r="A1723" t="s">
        <v>11</v>
      </c>
      <c r="B1723">
        <v>2025</v>
      </c>
      <c r="C1723" t="s">
        <v>45</v>
      </c>
      <c r="D1723" t="s">
        <v>193</v>
      </c>
      <c r="F1723" t="s">
        <v>208</v>
      </c>
      <c r="G1723">
        <v>0.4</v>
      </c>
      <c r="H1723" t="s">
        <v>1558</v>
      </c>
    </row>
    <row r="1724" spans="1:8">
      <c r="A1724" t="s">
        <v>11</v>
      </c>
      <c r="B1724">
        <v>2025</v>
      </c>
      <c r="C1724" t="s">
        <v>45</v>
      </c>
      <c r="D1724" t="s">
        <v>193</v>
      </c>
      <c r="F1724" t="s">
        <v>208</v>
      </c>
      <c r="G1724">
        <v>0.8</v>
      </c>
      <c r="H1724" t="s">
        <v>1559</v>
      </c>
    </row>
    <row r="1725" spans="1:8">
      <c r="A1725" t="s">
        <v>11</v>
      </c>
      <c r="B1725">
        <v>2025</v>
      </c>
      <c r="C1725" t="s">
        <v>45</v>
      </c>
      <c r="D1725" t="s">
        <v>193</v>
      </c>
      <c r="F1725" t="s">
        <v>208</v>
      </c>
      <c r="G1725">
        <v>0.5</v>
      </c>
      <c r="H1725" t="s">
        <v>1560</v>
      </c>
    </row>
    <row r="1726" spans="1:8">
      <c r="A1726" t="s">
        <v>11</v>
      </c>
      <c r="B1726">
        <v>2025</v>
      </c>
      <c r="C1726" t="s">
        <v>45</v>
      </c>
      <c r="D1726" t="s">
        <v>193</v>
      </c>
      <c r="F1726" t="s">
        <v>208</v>
      </c>
      <c r="G1726">
        <v>0.8</v>
      </c>
      <c r="H1726" t="s">
        <v>1561</v>
      </c>
    </row>
    <row r="1727" spans="1:8">
      <c r="A1727" t="s">
        <v>11</v>
      </c>
      <c r="B1727">
        <v>2025</v>
      </c>
      <c r="C1727" t="s">
        <v>45</v>
      </c>
      <c r="D1727" t="s">
        <v>188</v>
      </c>
      <c r="F1727" t="s">
        <v>208</v>
      </c>
      <c r="G1727">
        <v>1.3</v>
      </c>
      <c r="H1727" t="s">
        <v>822</v>
      </c>
    </row>
    <row r="1728" spans="1:8">
      <c r="A1728" t="s">
        <v>11</v>
      </c>
      <c r="B1728">
        <v>2025</v>
      </c>
      <c r="C1728" t="s">
        <v>45</v>
      </c>
      <c r="D1728" t="s">
        <v>188</v>
      </c>
      <c r="F1728" t="s">
        <v>208</v>
      </c>
      <c r="G1728">
        <v>8.1</v>
      </c>
      <c r="H1728" t="s">
        <v>823</v>
      </c>
    </row>
    <row r="1729" spans="1:8">
      <c r="A1729" t="s">
        <v>11</v>
      </c>
      <c r="B1729">
        <v>2025</v>
      </c>
      <c r="C1729" t="s">
        <v>45</v>
      </c>
      <c r="D1729" t="s">
        <v>188</v>
      </c>
      <c r="F1729" t="s">
        <v>208</v>
      </c>
      <c r="G1729">
        <v>7.5</v>
      </c>
      <c r="H1729" t="s">
        <v>1562</v>
      </c>
    </row>
    <row r="1730" spans="1:8">
      <c r="A1730" t="s">
        <v>11</v>
      </c>
      <c r="B1730">
        <v>2025</v>
      </c>
      <c r="C1730" t="s">
        <v>47</v>
      </c>
      <c r="D1730" t="s">
        <v>180</v>
      </c>
      <c r="E1730" t="s">
        <v>799</v>
      </c>
      <c r="F1730" t="s">
        <v>181</v>
      </c>
      <c r="G1730">
        <v>6</v>
      </c>
      <c r="H1730" t="s">
        <v>216</v>
      </c>
    </row>
    <row r="1731" spans="1:8">
      <c r="A1731" t="s">
        <v>11</v>
      </c>
      <c r="B1731">
        <v>2025</v>
      </c>
      <c r="C1731" t="s">
        <v>47</v>
      </c>
      <c r="D1731" t="s">
        <v>180</v>
      </c>
      <c r="E1731" t="s">
        <v>339</v>
      </c>
      <c r="F1731" t="s">
        <v>181</v>
      </c>
      <c r="G1731">
        <v>2</v>
      </c>
      <c r="H1731" t="s">
        <v>216</v>
      </c>
    </row>
    <row r="1732" spans="1:8">
      <c r="A1732" t="s">
        <v>11</v>
      </c>
      <c r="B1732">
        <v>2025</v>
      </c>
      <c r="C1732" t="s">
        <v>47</v>
      </c>
      <c r="D1732" t="s">
        <v>184</v>
      </c>
      <c r="E1732" t="s">
        <v>827</v>
      </c>
      <c r="F1732" t="s">
        <v>181</v>
      </c>
      <c r="G1732">
        <v>2</v>
      </c>
      <c r="H1732" t="s">
        <v>216</v>
      </c>
    </row>
    <row r="1733" spans="1:8">
      <c r="A1733" t="s">
        <v>11</v>
      </c>
      <c r="B1733">
        <v>2025</v>
      </c>
      <c r="C1733" t="s">
        <v>47</v>
      </c>
      <c r="D1733" t="s">
        <v>180</v>
      </c>
      <c r="E1733" t="s">
        <v>800</v>
      </c>
      <c r="F1733" t="s">
        <v>181</v>
      </c>
      <c r="G1733">
        <v>1</v>
      </c>
      <c r="H1733" t="s">
        <v>216</v>
      </c>
    </row>
    <row r="1734" spans="1:8">
      <c r="A1734" t="s">
        <v>11</v>
      </c>
      <c r="B1734">
        <v>2025</v>
      </c>
      <c r="C1734" t="s">
        <v>47</v>
      </c>
      <c r="D1734" t="s">
        <v>180</v>
      </c>
      <c r="E1734" t="s">
        <v>801</v>
      </c>
      <c r="F1734" t="s">
        <v>181</v>
      </c>
      <c r="G1734">
        <v>1</v>
      </c>
      <c r="H1734" t="s">
        <v>216</v>
      </c>
    </row>
    <row r="1735" spans="1:8">
      <c r="A1735" t="s">
        <v>11</v>
      </c>
      <c r="B1735">
        <v>2025</v>
      </c>
      <c r="C1735" t="s">
        <v>47</v>
      </c>
      <c r="D1735" t="s">
        <v>188</v>
      </c>
      <c r="E1735" t="s">
        <v>827</v>
      </c>
      <c r="F1735" t="s">
        <v>181</v>
      </c>
      <c r="G1735">
        <v>6</v>
      </c>
      <c r="H1735" t="s">
        <v>802</v>
      </c>
    </row>
    <row r="1736" spans="1:8">
      <c r="A1736" t="s">
        <v>11</v>
      </c>
      <c r="B1736">
        <v>2025</v>
      </c>
      <c r="C1736" t="s">
        <v>47</v>
      </c>
      <c r="D1736" t="s">
        <v>180</v>
      </c>
      <c r="E1736" t="s">
        <v>803</v>
      </c>
      <c r="F1736" t="s">
        <v>181</v>
      </c>
      <c r="G1736">
        <v>1</v>
      </c>
      <c r="H1736" t="s">
        <v>804</v>
      </c>
    </row>
    <row r="1737" spans="1:8">
      <c r="A1737" t="s">
        <v>11</v>
      </c>
      <c r="B1737">
        <v>2025</v>
      </c>
      <c r="C1737" t="s">
        <v>47</v>
      </c>
      <c r="D1737" t="s">
        <v>180</v>
      </c>
      <c r="E1737" t="s">
        <v>1489</v>
      </c>
      <c r="F1737" t="s">
        <v>181</v>
      </c>
      <c r="G1737">
        <v>1</v>
      </c>
      <c r="H1737" t="s">
        <v>804</v>
      </c>
    </row>
    <row r="1738" spans="1:8">
      <c r="A1738" t="s">
        <v>11</v>
      </c>
      <c r="B1738">
        <v>2025</v>
      </c>
      <c r="C1738" t="s">
        <v>47</v>
      </c>
      <c r="D1738" t="s">
        <v>180</v>
      </c>
      <c r="E1738" t="s">
        <v>797</v>
      </c>
      <c r="F1738" t="s">
        <v>181</v>
      </c>
      <c r="G1738">
        <v>3</v>
      </c>
      <c r="H1738" t="s">
        <v>802</v>
      </c>
    </row>
    <row r="1739" spans="1:8">
      <c r="A1739" t="s">
        <v>11</v>
      </c>
      <c r="B1739">
        <v>2025</v>
      </c>
      <c r="C1739" t="s">
        <v>47</v>
      </c>
      <c r="D1739" t="s">
        <v>191</v>
      </c>
      <c r="E1739" t="s">
        <v>827</v>
      </c>
      <c r="F1739" t="s">
        <v>181</v>
      </c>
      <c r="G1739">
        <v>3</v>
      </c>
      <c r="H1739" t="s">
        <v>802</v>
      </c>
    </row>
    <row r="1740" spans="1:8">
      <c r="A1740" t="s">
        <v>11</v>
      </c>
      <c r="B1740">
        <v>2025</v>
      </c>
      <c r="C1740" t="s">
        <v>47</v>
      </c>
      <c r="D1740" t="s">
        <v>200</v>
      </c>
      <c r="E1740" t="s">
        <v>827</v>
      </c>
      <c r="F1740" t="s">
        <v>181</v>
      </c>
      <c r="G1740">
        <v>1</v>
      </c>
      <c r="H1740" t="s">
        <v>804</v>
      </c>
    </row>
    <row r="1741" spans="1:8">
      <c r="A1741" t="s">
        <v>11</v>
      </c>
      <c r="B1741">
        <v>2025</v>
      </c>
      <c r="C1741" t="s">
        <v>47</v>
      </c>
      <c r="D1741" t="s">
        <v>199</v>
      </c>
      <c r="E1741" t="s">
        <v>827</v>
      </c>
      <c r="F1741" t="s">
        <v>181</v>
      </c>
      <c r="G1741">
        <v>0.25</v>
      </c>
      <c r="H1741" t="s">
        <v>202</v>
      </c>
    </row>
    <row r="1742" spans="1:8">
      <c r="A1742" t="s">
        <v>11</v>
      </c>
      <c r="B1742">
        <v>2025</v>
      </c>
      <c r="C1742" t="s">
        <v>47</v>
      </c>
      <c r="D1742" t="s">
        <v>197</v>
      </c>
      <c r="E1742" t="s">
        <v>827</v>
      </c>
      <c r="F1742" t="s">
        <v>181</v>
      </c>
      <c r="G1742">
        <v>0.25</v>
      </c>
      <c r="H1742" t="s">
        <v>202</v>
      </c>
    </row>
    <row r="1743" spans="1:8">
      <c r="A1743" t="s">
        <v>11</v>
      </c>
      <c r="B1743">
        <v>2025</v>
      </c>
      <c r="C1743" t="s">
        <v>47</v>
      </c>
      <c r="D1743" t="s">
        <v>199</v>
      </c>
      <c r="E1743" t="s">
        <v>827</v>
      </c>
      <c r="F1743" t="s">
        <v>181</v>
      </c>
      <c r="G1743">
        <v>0.75</v>
      </c>
      <c r="H1743" t="s">
        <v>740</v>
      </c>
    </row>
    <row r="1744" spans="1:8">
      <c r="A1744" t="s">
        <v>11</v>
      </c>
      <c r="B1744">
        <v>2025</v>
      </c>
      <c r="C1744" t="s">
        <v>47</v>
      </c>
      <c r="D1744" t="s">
        <v>197</v>
      </c>
      <c r="E1744" t="s">
        <v>827</v>
      </c>
      <c r="F1744" t="s">
        <v>181</v>
      </c>
      <c r="G1744">
        <v>0.75</v>
      </c>
      <c r="H1744" t="s">
        <v>740</v>
      </c>
    </row>
    <row r="1745" spans="1:8">
      <c r="A1745" t="s">
        <v>11</v>
      </c>
      <c r="B1745">
        <v>2025</v>
      </c>
      <c r="C1745" t="s">
        <v>47</v>
      </c>
      <c r="D1745" t="s">
        <v>203</v>
      </c>
      <c r="E1745" t="s">
        <v>827</v>
      </c>
      <c r="F1745" t="s">
        <v>181</v>
      </c>
      <c r="G1745">
        <v>1</v>
      </c>
      <c r="H1745" t="s">
        <v>805</v>
      </c>
    </row>
    <row r="1746" spans="1:8">
      <c r="A1746" t="s">
        <v>11</v>
      </c>
      <c r="B1746">
        <v>2025</v>
      </c>
      <c r="C1746" t="s">
        <v>47</v>
      </c>
      <c r="D1746" t="s">
        <v>180</v>
      </c>
      <c r="E1746" t="s">
        <v>806</v>
      </c>
      <c r="F1746" t="s">
        <v>181</v>
      </c>
      <c r="G1746">
        <v>1</v>
      </c>
      <c r="H1746" t="s">
        <v>201</v>
      </c>
    </row>
    <row r="1747" spans="1:8">
      <c r="A1747" t="s">
        <v>11</v>
      </c>
      <c r="B1747">
        <v>2025</v>
      </c>
      <c r="C1747" t="s">
        <v>47</v>
      </c>
      <c r="D1747" t="s">
        <v>180</v>
      </c>
      <c r="E1747" t="s">
        <v>807</v>
      </c>
      <c r="F1747" t="s">
        <v>181</v>
      </c>
      <c r="G1747">
        <v>1</v>
      </c>
      <c r="H1747" t="s">
        <v>201</v>
      </c>
    </row>
    <row r="1748" spans="1:8">
      <c r="A1748" t="s">
        <v>11</v>
      </c>
      <c r="B1748">
        <v>2025</v>
      </c>
      <c r="C1748" t="s">
        <v>47</v>
      </c>
      <c r="D1748" t="s">
        <v>180</v>
      </c>
      <c r="F1748" t="s">
        <v>181</v>
      </c>
      <c r="G1748">
        <v>1</v>
      </c>
      <c r="H1748" t="s">
        <v>1235</v>
      </c>
    </row>
    <row r="1749" spans="1:8">
      <c r="A1749" t="s">
        <v>11</v>
      </c>
      <c r="B1749">
        <v>2025</v>
      </c>
      <c r="C1749" t="s">
        <v>47</v>
      </c>
      <c r="D1749" t="s">
        <v>180</v>
      </c>
      <c r="E1749" t="s">
        <v>808</v>
      </c>
      <c r="F1749" t="s">
        <v>181</v>
      </c>
      <c r="G1749">
        <v>1</v>
      </c>
      <c r="H1749" t="s">
        <v>804</v>
      </c>
    </row>
    <row r="1750" spans="1:8">
      <c r="A1750" t="s">
        <v>11</v>
      </c>
      <c r="B1750">
        <v>2025</v>
      </c>
      <c r="C1750" t="s">
        <v>47</v>
      </c>
      <c r="D1750" t="s">
        <v>180</v>
      </c>
      <c r="E1750" t="s">
        <v>809</v>
      </c>
      <c r="F1750" t="s">
        <v>181</v>
      </c>
      <c r="G1750">
        <v>4</v>
      </c>
      <c r="H1750" t="s">
        <v>285</v>
      </c>
    </row>
    <row r="1751" spans="1:8">
      <c r="A1751" t="s">
        <v>11</v>
      </c>
      <c r="B1751">
        <v>2025</v>
      </c>
      <c r="C1751" t="s">
        <v>47</v>
      </c>
      <c r="D1751" t="s">
        <v>180</v>
      </c>
      <c r="E1751" t="s">
        <v>291</v>
      </c>
      <c r="F1751" t="s">
        <v>181</v>
      </c>
      <c r="G1751">
        <v>1</v>
      </c>
      <c r="H1751" t="s">
        <v>216</v>
      </c>
    </row>
    <row r="1752" spans="1:8">
      <c r="A1752" t="s">
        <v>11</v>
      </c>
      <c r="B1752">
        <v>2025</v>
      </c>
      <c r="C1752" t="s">
        <v>47</v>
      </c>
      <c r="D1752" t="s">
        <v>180</v>
      </c>
      <c r="E1752" t="s">
        <v>810</v>
      </c>
      <c r="F1752" t="s">
        <v>181</v>
      </c>
      <c r="G1752">
        <v>1</v>
      </c>
      <c r="H1752" t="s">
        <v>216</v>
      </c>
    </row>
    <row r="1753" spans="1:8">
      <c r="A1753" t="s">
        <v>11</v>
      </c>
      <c r="B1753">
        <v>2025</v>
      </c>
      <c r="C1753" t="s">
        <v>47</v>
      </c>
      <c r="D1753" t="s">
        <v>180</v>
      </c>
      <c r="E1753" t="s">
        <v>811</v>
      </c>
      <c r="F1753" t="s">
        <v>181</v>
      </c>
      <c r="G1753">
        <v>2</v>
      </c>
      <c r="H1753" t="s">
        <v>216</v>
      </c>
    </row>
    <row r="1754" spans="1:8">
      <c r="A1754" t="s">
        <v>11</v>
      </c>
      <c r="B1754">
        <v>2025</v>
      </c>
      <c r="C1754" t="s">
        <v>47</v>
      </c>
      <c r="D1754" t="s">
        <v>180</v>
      </c>
      <c r="E1754" t="s">
        <v>812</v>
      </c>
      <c r="F1754" t="s">
        <v>181</v>
      </c>
      <c r="G1754">
        <v>1</v>
      </c>
      <c r="H1754" t="s">
        <v>216</v>
      </c>
    </row>
    <row r="1755" spans="1:8">
      <c r="A1755" t="s">
        <v>11</v>
      </c>
      <c r="B1755">
        <v>2025</v>
      </c>
      <c r="C1755" t="s">
        <v>47</v>
      </c>
      <c r="D1755" t="s">
        <v>180</v>
      </c>
      <c r="E1755" t="s">
        <v>813</v>
      </c>
      <c r="F1755" t="s">
        <v>181</v>
      </c>
      <c r="G1755">
        <v>0.67</v>
      </c>
      <c r="H1755" t="s">
        <v>216</v>
      </c>
    </row>
    <row r="1756" spans="1:8">
      <c r="A1756" t="s">
        <v>11</v>
      </c>
      <c r="B1756">
        <v>2025</v>
      </c>
      <c r="C1756" t="s">
        <v>47</v>
      </c>
      <c r="D1756" t="s">
        <v>180</v>
      </c>
      <c r="E1756" t="s">
        <v>814</v>
      </c>
      <c r="F1756" t="s">
        <v>181</v>
      </c>
      <c r="G1756">
        <v>1</v>
      </c>
      <c r="H1756" t="s">
        <v>216</v>
      </c>
    </row>
    <row r="1757" spans="1:8">
      <c r="A1757" t="s">
        <v>11</v>
      </c>
      <c r="B1757">
        <v>2025</v>
      </c>
      <c r="C1757" t="s">
        <v>47</v>
      </c>
      <c r="D1757" t="s">
        <v>188</v>
      </c>
      <c r="E1757" t="s">
        <v>827</v>
      </c>
      <c r="F1757" t="s">
        <v>181</v>
      </c>
      <c r="G1757">
        <v>1</v>
      </c>
      <c r="H1757" t="s">
        <v>815</v>
      </c>
    </row>
    <row r="1758" spans="1:8">
      <c r="A1758" t="s">
        <v>11</v>
      </c>
      <c r="B1758">
        <v>2025</v>
      </c>
      <c r="C1758" t="s">
        <v>47</v>
      </c>
      <c r="D1758" t="s">
        <v>180</v>
      </c>
      <c r="E1758" t="s">
        <v>827</v>
      </c>
      <c r="F1758" t="s">
        <v>181</v>
      </c>
      <c r="G1758">
        <v>2</v>
      </c>
      <c r="H1758" t="s">
        <v>1160</v>
      </c>
    </row>
    <row r="1759" spans="1:8">
      <c r="A1759" t="s">
        <v>11</v>
      </c>
      <c r="B1759">
        <v>2025</v>
      </c>
      <c r="C1759" t="s">
        <v>47</v>
      </c>
      <c r="D1759" t="s">
        <v>193</v>
      </c>
      <c r="F1759" t="s">
        <v>181</v>
      </c>
      <c r="G1759">
        <v>4</v>
      </c>
      <c r="H1759" t="s">
        <v>216</v>
      </c>
    </row>
    <row r="1760" spans="1:8">
      <c r="A1760" t="s">
        <v>11</v>
      </c>
      <c r="B1760">
        <v>2025</v>
      </c>
      <c r="C1760" t="s">
        <v>47</v>
      </c>
      <c r="D1760" t="s">
        <v>180</v>
      </c>
      <c r="F1760" t="s">
        <v>181</v>
      </c>
      <c r="G1760">
        <v>2</v>
      </c>
      <c r="H1760" t="s">
        <v>1160</v>
      </c>
    </row>
    <row r="1761" spans="1:8">
      <c r="A1761" t="s">
        <v>11</v>
      </c>
      <c r="B1761">
        <v>2025</v>
      </c>
      <c r="C1761" t="s">
        <v>47</v>
      </c>
      <c r="D1761" t="s">
        <v>188</v>
      </c>
      <c r="F1761" t="s">
        <v>181</v>
      </c>
      <c r="G1761">
        <v>16</v>
      </c>
      <c r="H1761" t="s">
        <v>1523</v>
      </c>
    </row>
    <row r="1762" spans="1:8">
      <c r="A1762" t="s">
        <v>11</v>
      </c>
      <c r="B1762">
        <v>2025</v>
      </c>
      <c r="C1762" t="s">
        <v>47</v>
      </c>
      <c r="D1762" t="s">
        <v>191</v>
      </c>
      <c r="F1762" t="s">
        <v>181</v>
      </c>
      <c r="G1762">
        <v>22</v>
      </c>
      <c r="H1762" t="s">
        <v>1523</v>
      </c>
    </row>
    <row r="1763" spans="1:8">
      <c r="A1763" t="s">
        <v>11</v>
      </c>
      <c r="B1763">
        <v>2025</v>
      </c>
      <c r="C1763" t="s">
        <v>47</v>
      </c>
      <c r="D1763" t="s">
        <v>191</v>
      </c>
      <c r="F1763" t="s">
        <v>208</v>
      </c>
      <c r="G1763">
        <v>3.15</v>
      </c>
      <c r="H1763" t="s">
        <v>1564</v>
      </c>
    </row>
    <row r="1764" spans="1:8">
      <c r="A1764" t="s">
        <v>11</v>
      </c>
      <c r="B1764">
        <v>2025</v>
      </c>
      <c r="C1764" t="s">
        <v>47</v>
      </c>
      <c r="D1764" t="s">
        <v>191</v>
      </c>
      <c r="F1764" t="s">
        <v>208</v>
      </c>
      <c r="G1764">
        <v>2</v>
      </c>
      <c r="H1764" t="s">
        <v>1565</v>
      </c>
    </row>
    <row r="1765" spans="1:8">
      <c r="A1765" t="s">
        <v>11</v>
      </c>
      <c r="B1765">
        <v>2025</v>
      </c>
      <c r="C1765" t="s">
        <v>47</v>
      </c>
      <c r="D1765" t="s">
        <v>180</v>
      </c>
      <c r="F1765" t="s">
        <v>208</v>
      </c>
      <c r="G1765">
        <v>0.4</v>
      </c>
      <c r="H1765" t="s">
        <v>1566</v>
      </c>
    </row>
    <row r="1766" spans="1:8">
      <c r="A1766" t="s">
        <v>11</v>
      </c>
      <c r="B1766">
        <v>2025</v>
      </c>
      <c r="C1766" t="s">
        <v>47</v>
      </c>
      <c r="D1766" t="s">
        <v>203</v>
      </c>
      <c r="F1766" t="s">
        <v>208</v>
      </c>
      <c r="G1766">
        <v>1.8</v>
      </c>
      <c r="H1766" t="s">
        <v>1567</v>
      </c>
    </row>
    <row r="1767" spans="1:8">
      <c r="A1767" t="s">
        <v>11</v>
      </c>
      <c r="B1767">
        <v>2025</v>
      </c>
      <c r="C1767" t="s">
        <v>47</v>
      </c>
      <c r="D1767" t="s">
        <v>180</v>
      </c>
      <c r="F1767" t="s">
        <v>208</v>
      </c>
      <c r="G1767">
        <v>2</v>
      </c>
      <c r="H1767" t="s">
        <v>1568</v>
      </c>
    </row>
    <row r="1768" spans="1:8">
      <c r="A1768" t="s">
        <v>11</v>
      </c>
      <c r="B1768">
        <v>2025</v>
      </c>
      <c r="C1768" t="s">
        <v>47</v>
      </c>
      <c r="D1768" t="s">
        <v>199</v>
      </c>
      <c r="F1768" t="s">
        <v>208</v>
      </c>
      <c r="G1768">
        <v>4</v>
      </c>
      <c r="H1768" t="s">
        <v>1569</v>
      </c>
    </row>
    <row r="1769" spans="1:8">
      <c r="A1769" t="s">
        <v>11</v>
      </c>
      <c r="B1769">
        <v>2025</v>
      </c>
      <c r="C1769" t="s">
        <v>47</v>
      </c>
      <c r="D1769" t="s">
        <v>199</v>
      </c>
      <c r="F1769" t="s">
        <v>208</v>
      </c>
      <c r="G1769">
        <v>1.5</v>
      </c>
      <c r="H1769" t="s">
        <v>1570</v>
      </c>
    </row>
    <row r="1770" spans="1:8">
      <c r="A1770" t="s">
        <v>11</v>
      </c>
      <c r="B1770">
        <v>2025</v>
      </c>
      <c r="C1770" t="s">
        <v>47</v>
      </c>
      <c r="D1770" t="s">
        <v>180</v>
      </c>
      <c r="F1770" t="s">
        <v>208</v>
      </c>
      <c r="G1770">
        <v>0.5</v>
      </c>
      <c r="H1770" t="s">
        <v>1571</v>
      </c>
    </row>
    <row r="1771" spans="1:8">
      <c r="A1771" t="s">
        <v>11</v>
      </c>
      <c r="B1771">
        <v>2025</v>
      </c>
      <c r="C1771" t="s">
        <v>47</v>
      </c>
      <c r="D1771" t="s">
        <v>199</v>
      </c>
      <c r="F1771" t="s">
        <v>208</v>
      </c>
      <c r="G1771">
        <v>0.6</v>
      </c>
      <c r="H1771" t="s">
        <v>1572</v>
      </c>
    </row>
    <row r="1772" spans="1:8">
      <c r="A1772" t="s">
        <v>11</v>
      </c>
      <c r="B1772">
        <v>2025</v>
      </c>
      <c r="C1772" t="s">
        <v>47</v>
      </c>
      <c r="D1772" t="s">
        <v>199</v>
      </c>
      <c r="F1772" t="s">
        <v>208</v>
      </c>
      <c r="G1772">
        <v>4.5</v>
      </c>
      <c r="H1772" t="s">
        <v>1573</v>
      </c>
    </row>
    <row r="1773" spans="1:8">
      <c r="A1773" t="s">
        <v>11</v>
      </c>
      <c r="B1773">
        <v>2025</v>
      </c>
      <c r="C1773" t="s">
        <v>47</v>
      </c>
      <c r="D1773" t="s">
        <v>199</v>
      </c>
      <c r="F1773" t="s">
        <v>208</v>
      </c>
      <c r="G1773">
        <v>1.4</v>
      </c>
      <c r="H1773" t="s">
        <v>1574</v>
      </c>
    </row>
    <row r="1774" spans="1:8">
      <c r="A1774" t="s">
        <v>11</v>
      </c>
      <c r="B1774">
        <v>2025</v>
      </c>
      <c r="C1774" t="s">
        <v>47</v>
      </c>
      <c r="D1774" t="s">
        <v>180</v>
      </c>
      <c r="F1774" t="s">
        <v>208</v>
      </c>
      <c r="G1774">
        <v>0.75</v>
      </c>
      <c r="H1774" t="s">
        <v>1575</v>
      </c>
    </row>
    <row r="1775" spans="1:8">
      <c r="A1775" t="s">
        <v>11</v>
      </c>
      <c r="B1775">
        <v>2025</v>
      </c>
      <c r="C1775" t="s">
        <v>47</v>
      </c>
      <c r="D1775" t="s">
        <v>193</v>
      </c>
      <c r="F1775" t="s">
        <v>208</v>
      </c>
      <c r="G1775">
        <v>1</v>
      </c>
      <c r="H1775" t="s">
        <v>1576</v>
      </c>
    </row>
    <row r="1776" spans="1:8">
      <c r="A1776" t="s">
        <v>11</v>
      </c>
      <c r="B1776">
        <v>2025</v>
      </c>
      <c r="C1776" t="s">
        <v>47</v>
      </c>
      <c r="D1776" t="s">
        <v>188</v>
      </c>
      <c r="F1776" t="s">
        <v>208</v>
      </c>
      <c r="G1776">
        <v>5</v>
      </c>
      <c r="H1776" t="s">
        <v>822</v>
      </c>
    </row>
    <row r="1777" spans="1:8">
      <c r="A1777" t="s">
        <v>11</v>
      </c>
      <c r="B1777">
        <v>2025</v>
      </c>
      <c r="C1777" t="s">
        <v>47</v>
      </c>
      <c r="D1777" t="s">
        <v>188</v>
      </c>
      <c r="F1777" t="s">
        <v>208</v>
      </c>
      <c r="G1777">
        <v>5.65</v>
      </c>
      <c r="H1777" t="s">
        <v>823</v>
      </c>
    </row>
    <row r="1778" spans="1:8">
      <c r="A1778" t="s">
        <v>11</v>
      </c>
      <c r="B1778">
        <v>2025</v>
      </c>
      <c r="C1778" t="s">
        <v>47</v>
      </c>
      <c r="D1778" t="s">
        <v>188</v>
      </c>
      <c r="F1778" t="s">
        <v>208</v>
      </c>
      <c r="G1778">
        <v>4.5999999999999996</v>
      </c>
      <c r="H1778" t="s">
        <v>1562</v>
      </c>
    </row>
    <row r="1779" spans="1:8">
      <c r="A1779" t="s">
        <v>11</v>
      </c>
      <c r="B1779">
        <v>2025</v>
      </c>
      <c r="C1779" t="s">
        <v>49</v>
      </c>
      <c r="D1779" t="s">
        <v>180</v>
      </c>
      <c r="E1779" t="s">
        <v>799</v>
      </c>
      <c r="F1779" t="s">
        <v>181</v>
      </c>
      <c r="G1779">
        <v>6</v>
      </c>
      <c r="H1779" t="s">
        <v>216</v>
      </c>
    </row>
    <row r="1780" spans="1:8">
      <c r="A1780" t="s">
        <v>11</v>
      </c>
      <c r="B1780">
        <v>2025</v>
      </c>
      <c r="C1780" t="s">
        <v>49</v>
      </c>
      <c r="D1780" t="s">
        <v>180</v>
      </c>
      <c r="E1780" t="s">
        <v>339</v>
      </c>
      <c r="F1780" t="s">
        <v>181</v>
      </c>
      <c r="G1780">
        <v>2</v>
      </c>
      <c r="H1780" t="s">
        <v>216</v>
      </c>
    </row>
    <row r="1781" spans="1:8">
      <c r="A1781" t="s">
        <v>11</v>
      </c>
      <c r="B1781">
        <v>2025</v>
      </c>
      <c r="C1781" t="s">
        <v>49</v>
      </c>
      <c r="D1781" t="s">
        <v>184</v>
      </c>
      <c r="E1781" t="s">
        <v>827</v>
      </c>
      <c r="F1781" t="s">
        <v>181</v>
      </c>
      <c r="G1781">
        <v>2</v>
      </c>
      <c r="H1781" t="s">
        <v>216</v>
      </c>
    </row>
    <row r="1782" spans="1:8">
      <c r="A1782" t="s">
        <v>11</v>
      </c>
      <c r="B1782">
        <v>2025</v>
      </c>
      <c r="C1782" t="s">
        <v>49</v>
      </c>
      <c r="D1782" t="s">
        <v>180</v>
      </c>
      <c r="E1782" t="s">
        <v>800</v>
      </c>
      <c r="F1782" t="s">
        <v>181</v>
      </c>
      <c r="G1782">
        <v>1</v>
      </c>
      <c r="H1782" t="s">
        <v>216</v>
      </c>
    </row>
    <row r="1783" spans="1:8">
      <c r="A1783" t="s">
        <v>11</v>
      </c>
      <c r="B1783">
        <v>2025</v>
      </c>
      <c r="C1783" t="s">
        <v>49</v>
      </c>
      <c r="D1783" t="s">
        <v>180</v>
      </c>
      <c r="E1783" t="s">
        <v>801</v>
      </c>
      <c r="F1783" t="s">
        <v>181</v>
      </c>
      <c r="G1783">
        <v>1</v>
      </c>
      <c r="H1783" t="s">
        <v>216</v>
      </c>
    </row>
    <row r="1784" spans="1:8">
      <c r="A1784" t="s">
        <v>11</v>
      </c>
      <c r="B1784">
        <v>2025</v>
      </c>
      <c r="C1784" t="s">
        <v>49</v>
      </c>
      <c r="D1784" t="s">
        <v>188</v>
      </c>
      <c r="E1784" t="s">
        <v>827</v>
      </c>
      <c r="F1784" t="s">
        <v>181</v>
      </c>
      <c r="G1784">
        <v>6</v>
      </c>
      <c r="H1784" t="s">
        <v>802</v>
      </c>
    </row>
    <row r="1785" spans="1:8">
      <c r="A1785" t="s">
        <v>11</v>
      </c>
      <c r="B1785">
        <v>2025</v>
      </c>
      <c r="C1785" t="s">
        <v>49</v>
      </c>
      <c r="D1785" t="s">
        <v>180</v>
      </c>
      <c r="E1785" t="s">
        <v>803</v>
      </c>
      <c r="F1785" t="s">
        <v>181</v>
      </c>
      <c r="G1785">
        <v>1</v>
      </c>
      <c r="H1785" t="s">
        <v>804</v>
      </c>
    </row>
    <row r="1786" spans="1:8">
      <c r="A1786" t="s">
        <v>11</v>
      </c>
      <c r="B1786">
        <v>2025</v>
      </c>
      <c r="C1786" t="s">
        <v>49</v>
      </c>
      <c r="D1786" t="s">
        <v>180</v>
      </c>
      <c r="E1786" t="s">
        <v>1489</v>
      </c>
      <c r="F1786" t="s">
        <v>181</v>
      </c>
      <c r="G1786">
        <v>1</v>
      </c>
      <c r="H1786" t="s">
        <v>804</v>
      </c>
    </row>
    <row r="1787" spans="1:8">
      <c r="A1787" t="s">
        <v>11</v>
      </c>
      <c r="B1787">
        <v>2025</v>
      </c>
      <c r="C1787" t="s">
        <v>49</v>
      </c>
      <c r="D1787" t="s">
        <v>180</v>
      </c>
      <c r="E1787" t="s">
        <v>797</v>
      </c>
      <c r="F1787" t="s">
        <v>181</v>
      </c>
      <c r="G1787">
        <v>3</v>
      </c>
      <c r="H1787" t="s">
        <v>802</v>
      </c>
    </row>
    <row r="1788" spans="1:8">
      <c r="A1788" t="s">
        <v>11</v>
      </c>
      <c r="B1788">
        <v>2025</v>
      </c>
      <c r="C1788" t="s">
        <v>49</v>
      </c>
      <c r="D1788" t="s">
        <v>191</v>
      </c>
      <c r="E1788" t="s">
        <v>827</v>
      </c>
      <c r="F1788" t="s">
        <v>181</v>
      </c>
      <c r="G1788">
        <v>3</v>
      </c>
      <c r="H1788" t="s">
        <v>802</v>
      </c>
    </row>
    <row r="1789" spans="1:8">
      <c r="A1789" t="s">
        <v>11</v>
      </c>
      <c r="B1789">
        <v>2025</v>
      </c>
      <c r="C1789" t="s">
        <v>49</v>
      </c>
      <c r="D1789" t="s">
        <v>200</v>
      </c>
      <c r="E1789" t="s">
        <v>827</v>
      </c>
      <c r="F1789" t="s">
        <v>181</v>
      </c>
      <c r="G1789">
        <v>1</v>
      </c>
      <c r="H1789" t="s">
        <v>804</v>
      </c>
    </row>
    <row r="1790" spans="1:8">
      <c r="A1790" t="s">
        <v>11</v>
      </c>
      <c r="B1790">
        <v>2025</v>
      </c>
      <c r="C1790" t="s">
        <v>49</v>
      </c>
      <c r="D1790" t="s">
        <v>199</v>
      </c>
      <c r="E1790" t="s">
        <v>827</v>
      </c>
      <c r="F1790" t="s">
        <v>181</v>
      </c>
      <c r="G1790">
        <v>0.25</v>
      </c>
      <c r="H1790" t="s">
        <v>202</v>
      </c>
    </row>
    <row r="1791" spans="1:8">
      <c r="A1791" t="s">
        <v>11</v>
      </c>
      <c r="B1791">
        <v>2025</v>
      </c>
      <c r="C1791" t="s">
        <v>49</v>
      </c>
      <c r="D1791" t="s">
        <v>197</v>
      </c>
      <c r="E1791" t="s">
        <v>827</v>
      </c>
      <c r="F1791" t="s">
        <v>181</v>
      </c>
      <c r="G1791">
        <v>0.25</v>
      </c>
      <c r="H1791" t="s">
        <v>202</v>
      </c>
    </row>
    <row r="1792" spans="1:8">
      <c r="A1792" t="s">
        <v>11</v>
      </c>
      <c r="B1792">
        <v>2025</v>
      </c>
      <c r="C1792" t="s">
        <v>49</v>
      </c>
      <c r="D1792" t="s">
        <v>199</v>
      </c>
      <c r="E1792" t="s">
        <v>827</v>
      </c>
      <c r="F1792" t="s">
        <v>181</v>
      </c>
      <c r="G1792">
        <v>0.75</v>
      </c>
      <c r="H1792" t="s">
        <v>740</v>
      </c>
    </row>
    <row r="1793" spans="1:8">
      <c r="A1793" t="s">
        <v>11</v>
      </c>
      <c r="B1793">
        <v>2025</v>
      </c>
      <c r="C1793" t="s">
        <v>49</v>
      </c>
      <c r="D1793" t="s">
        <v>197</v>
      </c>
      <c r="E1793" t="s">
        <v>827</v>
      </c>
      <c r="F1793" t="s">
        <v>181</v>
      </c>
      <c r="G1793">
        <v>0.75</v>
      </c>
      <c r="H1793" t="s">
        <v>740</v>
      </c>
    </row>
    <row r="1794" spans="1:8">
      <c r="A1794" t="s">
        <v>11</v>
      </c>
      <c r="B1794">
        <v>2025</v>
      </c>
      <c r="C1794" t="s">
        <v>49</v>
      </c>
      <c r="D1794" t="s">
        <v>203</v>
      </c>
      <c r="E1794" t="s">
        <v>827</v>
      </c>
      <c r="F1794" t="s">
        <v>181</v>
      </c>
      <c r="G1794">
        <v>1</v>
      </c>
      <c r="H1794" t="s">
        <v>805</v>
      </c>
    </row>
    <row r="1795" spans="1:8">
      <c r="A1795" t="s">
        <v>11</v>
      </c>
      <c r="B1795">
        <v>2025</v>
      </c>
      <c r="C1795" t="s">
        <v>49</v>
      </c>
      <c r="D1795" t="s">
        <v>180</v>
      </c>
      <c r="E1795" t="s">
        <v>806</v>
      </c>
      <c r="F1795" t="s">
        <v>181</v>
      </c>
      <c r="G1795">
        <v>1</v>
      </c>
      <c r="H1795" t="s">
        <v>201</v>
      </c>
    </row>
    <row r="1796" spans="1:8">
      <c r="A1796" t="s">
        <v>11</v>
      </c>
      <c r="B1796">
        <v>2025</v>
      </c>
      <c r="C1796" t="s">
        <v>49</v>
      </c>
      <c r="D1796" t="s">
        <v>180</v>
      </c>
      <c r="E1796" t="s">
        <v>807</v>
      </c>
      <c r="F1796" t="s">
        <v>181</v>
      </c>
      <c r="G1796">
        <v>1</v>
      </c>
      <c r="H1796" t="s">
        <v>201</v>
      </c>
    </row>
    <row r="1797" spans="1:8">
      <c r="A1797" t="s">
        <v>11</v>
      </c>
      <c r="B1797">
        <v>2025</v>
      </c>
      <c r="C1797" t="s">
        <v>49</v>
      </c>
      <c r="D1797" t="s">
        <v>180</v>
      </c>
      <c r="F1797" t="s">
        <v>181</v>
      </c>
      <c r="G1797">
        <v>1</v>
      </c>
      <c r="H1797" t="s">
        <v>1235</v>
      </c>
    </row>
    <row r="1798" spans="1:8">
      <c r="A1798" t="s">
        <v>11</v>
      </c>
      <c r="B1798">
        <v>2025</v>
      </c>
      <c r="C1798" t="s">
        <v>49</v>
      </c>
      <c r="D1798" t="s">
        <v>180</v>
      </c>
      <c r="E1798" t="s">
        <v>808</v>
      </c>
      <c r="F1798" t="s">
        <v>181</v>
      </c>
      <c r="G1798">
        <v>1</v>
      </c>
      <c r="H1798" t="s">
        <v>804</v>
      </c>
    </row>
    <row r="1799" spans="1:8">
      <c r="A1799" t="s">
        <v>11</v>
      </c>
      <c r="B1799">
        <v>2025</v>
      </c>
      <c r="C1799" t="s">
        <v>49</v>
      </c>
      <c r="D1799" t="s">
        <v>180</v>
      </c>
      <c r="E1799" t="s">
        <v>809</v>
      </c>
      <c r="F1799" t="s">
        <v>181</v>
      </c>
      <c r="G1799">
        <v>4</v>
      </c>
      <c r="H1799" t="s">
        <v>285</v>
      </c>
    </row>
    <row r="1800" spans="1:8">
      <c r="A1800" t="s">
        <v>11</v>
      </c>
      <c r="B1800">
        <v>2025</v>
      </c>
      <c r="C1800" t="s">
        <v>49</v>
      </c>
      <c r="D1800" t="s">
        <v>180</v>
      </c>
      <c r="E1800" t="s">
        <v>291</v>
      </c>
      <c r="F1800" t="s">
        <v>181</v>
      </c>
      <c r="G1800">
        <v>1</v>
      </c>
      <c r="H1800" t="s">
        <v>216</v>
      </c>
    </row>
    <row r="1801" spans="1:8">
      <c r="A1801" t="s">
        <v>11</v>
      </c>
      <c r="B1801">
        <v>2025</v>
      </c>
      <c r="C1801" t="s">
        <v>49</v>
      </c>
      <c r="D1801" t="s">
        <v>180</v>
      </c>
      <c r="E1801" t="s">
        <v>810</v>
      </c>
      <c r="F1801" t="s">
        <v>181</v>
      </c>
      <c r="G1801">
        <v>1</v>
      </c>
      <c r="H1801" t="s">
        <v>216</v>
      </c>
    </row>
    <row r="1802" spans="1:8">
      <c r="A1802" t="s">
        <v>11</v>
      </c>
      <c r="B1802">
        <v>2025</v>
      </c>
      <c r="C1802" t="s">
        <v>49</v>
      </c>
      <c r="D1802" t="s">
        <v>180</v>
      </c>
      <c r="E1802" t="s">
        <v>811</v>
      </c>
      <c r="F1802" t="s">
        <v>181</v>
      </c>
      <c r="G1802">
        <v>2</v>
      </c>
      <c r="H1802" t="s">
        <v>216</v>
      </c>
    </row>
    <row r="1803" spans="1:8">
      <c r="A1803" t="s">
        <v>11</v>
      </c>
      <c r="B1803">
        <v>2025</v>
      </c>
      <c r="C1803" t="s">
        <v>49</v>
      </c>
      <c r="D1803" t="s">
        <v>180</v>
      </c>
      <c r="E1803" t="s">
        <v>812</v>
      </c>
      <c r="F1803" t="s">
        <v>181</v>
      </c>
      <c r="G1803">
        <v>1</v>
      </c>
      <c r="H1803" t="s">
        <v>216</v>
      </c>
    </row>
    <row r="1804" spans="1:8">
      <c r="A1804" t="s">
        <v>11</v>
      </c>
      <c r="B1804">
        <v>2025</v>
      </c>
      <c r="C1804" t="s">
        <v>49</v>
      </c>
      <c r="D1804" t="s">
        <v>180</v>
      </c>
      <c r="E1804" t="s">
        <v>813</v>
      </c>
      <c r="F1804" t="s">
        <v>181</v>
      </c>
      <c r="G1804">
        <v>0.67</v>
      </c>
      <c r="H1804" t="s">
        <v>216</v>
      </c>
    </row>
    <row r="1805" spans="1:8">
      <c r="A1805" t="s">
        <v>11</v>
      </c>
      <c r="B1805">
        <v>2025</v>
      </c>
      <c r="C1805" t="s">
        <v>49</v>
      </c>
      <c r="D1805" t="s">
        <v>180</v>
      </c>
      <c r="E1805" t="s">
        <v>814</v>
      </c>
      <c r="F1805" t="s">
        <v>181</v>
      </c>
      <c r="G1805">
        <v>1</v>
      </c>
      <c r="H1805" t="s">
        <v>216</v>
      </c>
    </row>
    <row r="1806" spans="1:8">
      <c r="A1806" t="s">
        <v>11</v>
      </c>
      <c r="B1806">
        <v>2025</v>
      </c>
      <c r="C1806" t="s">
        <v>49</v>
      </c>
      <c r="D1806" t="s">
        <v>188</v>
      </c>
      <c r="E1806" t="s">
        <v>827</v>
      </c>
      <c r="F1806" t="s">
        <v>181</v>
      </c>
      <c r="G1806">
        <v>1</v>
      </c>
      <c r="H1806" t="s">
        <v>815</v>
      </c>
    </row>
    <row r="1807" spans="1:8">
      <c r="A1807" t="s">
        <v>11</v>
      </c>
      <c r="B1807">
        <v>2025</v>
      </c>
      <c r="C1807" t="s">
        <v>49</v>
      </c>
      <c r="D1807" t="s">
        <v>180</v>
      </c>
      <c r="E1807" t="s">
        <v>827</v>
      </c>
      <c r="F1807" t="s">
        <v>181</v>
      </c>
      <c r="G1807">
        <v>2</v>
      </c>
      <c r="H1807" t="s">
        <v>1160</v>
      </c>
    </row>
    <row r="1808" spans="1:8">
      <c r="A1808" t="s">
        <v>11</v>
      </c>
      <c r="B1808">
        <v>2025</v>
      </c>
      <c r="C1808" t="s">
        <v>49</v>
      </c>
      <c r="D1808" t="s">
        <v>193</v>
      </c>
      <c r="F1808" t="s">
        <v>181</v>
      </c>
      <c r="G1808">
        <v>4</v>
      </c>
      <c r="H1808" t="s">
        <v>216</v>
      </c>
    </row>
    <row r="1809" spans="1:8">
      <c r="A1809" t="s">
        <v>11</v>
      </c>
      <c r="B1809">
        <v>2025</v>
      </c>
      <c r="C1809" t="s">
        <v>49</v>
      </c>
      <c r="D1809" t="s">
        <v>180</v>
      </c>
      <c r="F1809" t="s">
        <v>181</v>
      </c>
      <c r="G1809">
        <v>2</v>
      </c>
      <c r="H1809" t="s">
        <v>1160</v>
      </c>
    </row>
    <row r="1810" spans="1:8">
      <c r="A1810" t="s">
        <v>11</v>
      </c>
      <c r="B1810">
        <v>2025</v>
      </c>
      <c r="C1810" t="s">
        <v>49</v>
      </c>
      <c r="D1810" t="s">
        <v>180</v>
      </c>
      <c r="F1810" t="s">
        <v>181</v>
      </c>
      <c r="G1810">
        <v>2</v>
      </c>
      <c r="H1810" t="s">
        <v>1384</v>
      </c>
    </row>
    <row r="1811" spans="1:8">
      <c r="A1811" t="s">
        <v>11</v>
      </c>
      <c r="B1811">
        <v>2025</v>
      </c>
      <c r="C1811" t="s">
        <v>49</v>
      </c>
      <c r="D1811" t="s">
        <v>180</v>
      </c>
      <c r="F1811" t="s">
        <v>181</v>
      </c>
      <c r="G1811">
        <v>3</v>
      </c>
      <c r="H1811" t="s">
        <v>1385</v>
      </c>
    </row>
    <row r="1812" spans="1:8">
      <c r="A1812" t="s">
        <v>11</v>
      </c>
      <c r="B1812">
        <v>2025</v>
      </c>
      <c r="C1812" t="s">
        <v>49</v>
      </c>
      <c r="D1812" t="s">
        <v>180</v>
      </c>
      <c r="F1812" t="s">
        <v>181</v>
      </c>
      <c r="G1812">
        <v>3</v>
      </c>
      <c r="H1812" t="s">
        <v>1386</v>
      </c>
    </row>
    <row r="1813" spans="1:8">
      <c r="A1813" t="s">
        <v>11</v>
      </c>
      <c r="B1813">
        <v>2025</v>
      </c>
      <c r="C1813" t="s">
        <v>49</v>
      </c>
      <c r="D1813" t="s">
        <v>180</v>
      </c>
      <c r="F1813" t="s">
        <v>181</v>
      </c>
      <c r="G1813">
        <v>2</v>
      </c>
      <c r="H1813" t="s">
        <v>1387</v>
      </c>
    </row>
    <row r="1814" spans="1:8">
      <c r="A1814" t="s">
        <v>11</v>
      </c>
      <c r="B1814">
        <v>2025</v>
      </c>
      <c r="C1814" t="s">
        <v>49</v>
      </c>
      <c r="D1814" t="s">
        <v>188</v>
      </c>
      <c r="F1814" t="s">
        <v>181</v>
      </c>
      <c r="G1814">
        <v>1.5</v>
      </c>
      <c r="H1814" t="s">
        <v>1388</v>
      </c>
    </row>
    <row r="1815" spans="1:8">
      <c r="A1815" t="s">
        <v>11</v>
      </c>
      <c r="B1815">
        <v>2025</v>
      </c>
      <c r="C1815" t="s">
        <v>49</v>
      </c>
      <c r="D1815" t="s">
        <v>197</v>
      </c>
      <c r="F1815" t="s">
        <v>181</v>
      </c>
      <c r="G1815">
        <v>0.5</v>
      </c>
      <c r="H1815" t="s">
        <v>1389</v>
      </c>
    </row>
    <row r="1816" spans="1:8">
      <c r="A1816" t="s">
        <v>11</v>
      </c>
      <c r="B1816">
        <v>2025</v>
      </c>
      <c r="C1816" t="s">
        <v>49</v>
      </c>
      <c r="D1816" t="s">
        <v>199</v>
      </c>
      <c r="F1816" t="s">
        <v>181</v>
      </c>
      <c r="G1816">
        <v>0.5</v>
      </c>
      <c r="H1816" t="s">
        <v>1389</v>
      </c>
    </row>
    <row r="1817" spans="1:8">
      <c r="A1817" t="s">
        <v>11</v>
      </c>
      <c r="B1817">
        <v>2025</v>
      </c>
      <c r="C1817" t="s">
        <v>49</v>
      </c>
      <c r="D1817" t="s">
        <v>188</v>
      </c>
      <c r="F1817" t="s">
        <v>181</v>
      </c>
      <c r="G1817">
        <v>0.5</v>
      </c>
      <c r="H1817" t="s">
        <v>1390</v>
      </c>
    </row>
    <row r="1818" spans="1:8">
      <c r="A1818" t="s">
        <v>11</v>
      </c>
      <c r="B1818">
        <v>2025</v>
      </c>
      <c r="C1818" t="s">
        <v>49</v>
      </c>
      <c r="D1818" t="s">
        <v>191</v>
      </c>
      <c r="F1818" t="s">
        <v>181</v>
      </c>
      <c r="G1818">
        <v>0.5</v>
      </c>
      <c r="H1818" t="s">
        <v>1390</v>
      </c>
    </row>
    <row r="1819" spans="1:8">
      <c r="A1819" t="s">
        <v>11</v>
      </c>
      <c r="B1819">
        <v>2025</v>
      </c>
      <c r="C1819" t="s">
        <v>49</v>
      </c>
      <c r="D1819" t="s">
        <v>191</v>
      </c>
      <c r="F1819" t="s">
        <v>181</v>
      </c>
      <c r="G1819">
        <v>3</v>
      </c>
      <c r="H1819" t="s">
        <v>1391</v>
      </c>
    </row>
    <row r="1820" spans="1:8">
      <c r="A1820" t="s">
        <v>11</v>
      </c>
      <c r="B1820">
        <v>2025</v>
      </c>
      <c r="C1820" t="s">
        <v>49</v>
      </c>
      <c r="D1820" t="s">
        <v>180</v>
      </c>
      <c r="F1820" t="s">
        <v>181</v>
      </c>
      <c r="G1820">
        <v>1</v>
      </c>
      <c r="H1820" t="s">
        <v>1453</v>
      </c>
    </row>
    <row r="1821" spans="1:8">
      <c r="A1821" t="s">
        <v>11</v>
      </c>
      <c r="B1821">
        <v>2025</v>
      </c>
      <c r="C1821" t="s">
        <v>49</v>
      </c>
      <c r="D1821" t="s">
        <v>180</v>
      </c>
      <c r="F1821" t="s">
        <v>181</v>
      </c>
      <c r="G1821">
        <v>3</v>
      </c>
      <c r="H1821" t="s">
        <v>1454</v>
      </c>
    </row>
    <row r="1822" spans="1:8">
      <c r="A1822" t="s">
        <v>11</v>
      </c>
      <c r="B1822">
        <v>2025</v>
      </c>
      <c r="C1822" t="s">
        <v>49</v>
      </c>
      <c r="D1822" t="s">
        <v>180</v>
      </c>
      <c r="E1822" t="s">
        <v>291</v>
      </c>
      <c r="F1822" t="s">
        <v>181</v>
      </c>
      <c r="G1822">
        <v>0.5</v>
      </c>
      <c r="H1822" t="s">
        <v>1455</v>
      </c>
    </row>
    <row r="1823" spans="1:8">
      <c r="A1823" t="s">
        <v>11</v>
      </c>
      <c r="B1823">
        <v>2025</v>
      </c>
      <c r="C1823" t="s">
        <v>49</v>
      </c>
      <c r="D1823" t="s">
        <v>180</v>
      </c>
      <c r="E1823" t="s">
        <v>811</v>
      </c>
      <c r="F1823" t="s">
        <v>181</v>
      </c>
      <c r="G1823">
        <v>2</v>
      </c>
      <c r="H1823" t="s">
        <v>1455</v>
      </c>
    </row>
    <row r="1824" spans="1:8">
      <c r="A1824" t="s">
        <v>11</v>
      </c>
      <c r="B1824">
        <v>2025</v>
      </c>
      <c r="C1824" t="s">
        <v>49</v>
      </c>
      <c r="D1824" t="s">
        <v>180</v>
      </c>
      <c r="E1824" t="s">
        <v>812</v>
      </c>
      <c r="F1824" t="s">
        <v>181</v>
      </c>
      <c r="G1824">
        <v>1</v>
      </c>
      <c r="H1824" t="s">
        <v>1455</v>
      </c>
    </row>
    <row r="1825" spans="1:8">
      <c r="A1825" t="s">
        <v>11</v>
      </c>
      <c r="B1825">
        <v>2025</v>
      </c>
      <c r="C1825" t="s">
        <v>49</v>
      </c>
      <c r="D1825" t="s">
        <v>180</v>
      </c>
      <c r="E1825" t="s">
        <v>813</v>
      </c>
      <c r="F1825" t="s">
        <v>181</v>
      </c>
      <c r="G1825">
        <v>1</v>
      </c>
      <c r="H1825" t="s">
        <v>1455</v>
      </c>
    </row>
    <row r="1826" spans="1:8">
      <c r="A1826" t="s">
        <v>11</v>
      </c>
      <c r="B1826">
        <v>2025</v>
      </c>
      <c r="C1826" t="s">
        <v>49</v>
      </c>
      <c r="D1826" t="s">
        <v>180</v>
      </c>
      <c r="F1826" t="s">
        <v>181</v>
      </c>
      <c r="G1826">
        <v>63</v>
      </c>
      <c r="H1826" t="s">
        <v>1580</v>
      </c>
    </row>
    <row r="1827" spans="1:8">
      <c r="A1827" t="s">
        <v>11</v>
      </c>
      <c r="B1827">
        <v>2025</v>
      </c>
      <c r="C1827" t="s">
        <v>49</v>
      </c>
      <c r="D1827" t="s">
        <v>191</v>
      </c>
      <c r="F1827" t="s">
        <v>208</v>
      </c>
      <c r="G1827">
        <v>1.6</v>
      </c>
      <c r="H1827" t="s">
        <v>1581</v>
      </c>
    </row>
    <row r="1828" spans="1:8">
      <c r="A1828" t="s">
        <v>11</v>
      </c>
      <c r="B1828">
        <v>2025</v>
      </c>
      <c r="C1828" t="s">
        <v>49</v>
      </c>
      <c r="D1828" t="s">
        <v>180</v>
      </c>
      <c r="F1828" t="s">
        <v>208</v>
      </c>
      <c r="G1828">
        <v>0.4</v>
      </c>
      <c r="H1828" t="s">
        <v>1582</v>
      </c>
    </row>
    <row r="1829" spans="1:8">
      <c r="A1829" t="s">
        <v>11</v>
      </c>
      <c r="B1829">
        <v>2025</v>
      </c>
      <c r="C1829" t="s">
        <v>49</v>
      </c>
      <c r="D1829" t="s">
        <v>180</v>
      </c>
      <c r="F1829" t="s">
        <v>208</v>
      </c>
      <c r="G1829">
        <v>2.1</v>
      </c>
      <c r="H1829" t="s">
        <v>1562</v>
      </c>
    </row>
    <row r="1902" spans="1:8" hidden="1">
      <c r="A1902" t="s">
        <v>11</v>
      </c>
      <c r="B1902">
        <v>2023</v>
      </c>
      <c r="C1902" t="s">
        <v>47</v>
      </c>
      <c r="D1902" t="s">
        <v>199</v>
      </c>
      <c r="F1902" t="s">
        <v>181</v>
      </c>
      <c r="G1902">
        <v>1</v>
      </c>
      <c r="H1902" t="s">
        <v>1157</v>
      </c>
    </row>
    <row r="1903" spans="1:8" hidden="1">
      <c r="A1903" t="s">
        <v>11</v>
      </c>
      <c r="B1903">
        <v>2023</v>
      </c>
      <c r="C1903" t="s">
        <v>47</v>
      </c>
      <c r="D1903" t="s">
        <v>191</v>
      </c>
      <c r="F1903" t="s">
        <v>181</v>
      </c>
      <c r="G1903">
        <v>2</v>
      </c>
      <c r="H1903" t="s">
        <v>1158</v>
      </c>
    </row>
    <row r="1904" spans="1:8" hidden="1">
      <c r="A1904" t="s">
        <v>11</v>
      </c>
      <c r="B1904">
        <v>2023</v>
      </c>
      <c r="C1904" t="s">
        <v>47</v>
      </c>
      <c r="D1904" t="s">
        <v>197</v>
      </c>
      <c r="F1904" t="s">
        <v>208</v>
      </c>
      <c r="G1904">
        <v>2</v>
      </c>
      <c r="H1904" t="s">
        <v>1159</v>
      </c>
    </row>
    <row r="1905" spans="1:8" hidden="1">
      <c r="A1905" t="s">
        <v>11</v>
      </c>
      <c r="B1905">
        <v>2023</v>
      </c>
      <c r="C1905" t="s">
        <v>47</v>
      </c>
      <c r="D1905" t="s">
        <v>180</v>
      </c>
      <c r="F1905" t="s">
        <v>181</v>
      </c>
      <c r="G1905">
        <v>2</v>
      </c>
      <c r="H1905" t="s">
        <v>1160</v>
      </c>
    </row>
    <row r="1906" spans="1:8" hidden="1">
      <c r="A1906" t="s">
        <v>11</v>
      </c>
      <c r="B1906">
        <v>2023</v>
      </c>
      <c r="C1906" t="s">
        <v>47</v>
      </c>
      <c r="D1906" t="s">
        <v>191</v>
      </c>
      <c r="F1906" t="s">
        <v>208</v>
      </c>
      <c r="G1906">
        <v>1.33</v>
      </c>
      <c r="H1906" t="s">
        <v>1161</v>
      </c>
    </row>
    <row r="1907" spans="1:8" hidden="1">
      <c r="A1907" t="s">
        <v>11</v>
      </c>
      <c r="B1907">
        <v>2023</v>
      </c>
      <c r="C1907" t="s">
        <v>47</v>
      </c>
      <c r="D1907" t="s">
        <v>203</v>
      </c>
      <c r="F1907" t="s">
        <v>181</v>
      </c>
      <c r="G1907">
        <v>1.25</v>
      </c>
      <c r="H1907" t="s">
        <v>1162</v>
      </c>
    </row>
    <row r="1908" spans="1:8" hidden="1">
      <c r="A1908" t="s">
        <v>11</v>
      </c>
      <c r="B1908">
        <v>2023</v>
      </c>
      <c r="C1908" t="s">
        <v>47</v>
      </c>
      <c r="D1908" t="s">
        <v>199</v>
      </c>
      <c r="F1908" t="s">
        <v>208</v>
      </c>
      <c r="G1908">
        <v>3</v>
      </c>
      <c r="H1908" t="s">
        <v>1163</v>
      </c>
    </row>
    <row r="1909" spans="1:8" hidden="1">
      <c r="A1909" t="s">
        <v>11</v>
      </c>
      <c r="B1909">
        <v>2023</v>
      </c>
      <c r="C1909" t="s">
        <v>47</v>
      </c>
      <c r="D1909" t="s">
        <v>188</v>
      </c>
      <c r="E1909" t="s">
        <v>827</v>
      </c>
      <c r="F1909" t="s">
        <v>208</v>
      </c>
      <c r="G1909">
        <v>2.2000000000000002</v>
      </c>
      <c r="H1909" t="s">
        <v>824</v>
      </c>
    </row>
    <row r="1910" spans="1:8" hidden="1">
      <c r="A1910" t="s">
        <v>11</v>
      </c>
      <c r="B1910">
        <v>2023</v>
      </c>
      <c r="C1910" t="s">
        <v>47</v>
      </c>
      <c r="D1910" t="s">
        <v>188</v>
      </c>
      <c r="E1910" t="s">
        <v>827</v>
      </c>
      <c r="F1910" t="s">
        <v>208</v>
      </c>
      <c r="G1910">
        <v>0.4</v>
      </c>
      <c r="H1910" t="s">
        <v>823</v>
      </c>
    </row>
    <row r="1911" spans="1:8" ht="13.8" hidden="1" customHeight="1">
      <c r="A1911" t="s">
        <v>11</v>
      </c>
      <c r="B1911">
        <v>2023</v>
      </c>
      <c r="C1911" t="s">
        <v>47</v>
      </c>
      <c r="D1911" t="s">
        <v>188</v>
      </c>
      <c r="E1911" t="s">
        <v>827</v>
      </c>
      <c r="F1911" t="s">
        <v>208</v>
      </c>
      <c r="G1911">
        <v>0.27</v>
      </c>
      <c r="H1911" t="s">
        <v>822</v>
      </c>
    </row>
    <row r="1912" spans="1:8" hidden="1">
      <c r="A1912" t="s">
        <v>11</v>
      </c>
      <c r="B1912">
        <v>2023</v>
      </c>
      <c r="C1912" t="s">
        <v>49</v>
      </c>
      <c r="D1912" t="s">
        <v>180</v>
      </c>
      <c r="E1912" t="s">
        <v>799</v>
      </c>
      <c r="F1912" t="s">
        <v>181</v>
      </c>
      <c r="G1912">
        <v>3</v>
      </c>
      <c r="H1912" t="s">
        <v>216</v>
      </c>
    </row>
    <row r="1913" spans="1:8" hidden="1">
      <c r="A1913" t="s">
        <v>11</v>
      </c>
      <c r="B1913">
        <v>2023</v>
      </c>
      <c r="C1913" t="s">
        <v>49</v>
      </c>
      <c r="D1913" t="s">
        <v>180</v>
      </c>
      <c r="E1913" t="s">
        <v>339</v>
      </c>
      <c r="F1913" t="s">
        <v>181</v>
      </c>
      <c r="G1913">
        <v>1</v>
      </c>
      <c r="H1913" t="s">
        <v>216</v>
      </c>
    </row>
    <row r="1914" spans="1:8" hidden="1">
      <c r="A1914" t="s">
        <v>11</v>
      </c>
      <c r="B1914">
        <v>2023</v>
      </c>
      <c r="C1914" t="s">
        <v>49</v>
      </c>
      <c r="D1914" t="s">
        <v>184</v>
      </c>
      <c r="E1914" t="s">
        <v>827</v>
      </c>
      <c r="F1914" t="s">
        <v>181</v>
      </c>
      <c r="G1914">
        <v>1</v>
      </c>
      <c r="H1914" t="s">
        <v>216</v>
      </c>
    </row>
    <row r="1915" spans="1:8" hidden="1">
      <c r="A1915" t="s">
        <v>11</v>
      </c>
      <c r="B1915">
        <v>2023</v>
      </c>
      <c r="C1915" t="s">
        <v>49</v>
      </c>
      <c r="D1915" t="s">
        <v>180</v>
      </c>
      <c r="E1915" t="s">
        <v>800</v>
      </c>
      <c r="F1915" t="s">
        <v>181</v>
      </c>
      <c r="G1915">
        <v>0.5</v>
      </c>
      <c r="H1915" t="s">
        <v>216</v>
      </c>
    </row>
    <row r="1916" spans="1:8" hidden="1">
      <c r="A1916" t="s">
        <v>11</v>
      </c>
      <c r="B1916">
        <v>2023</v>
      </c>
      <c r="C1916" t="s">
        <v>49</v>
      </c>
      <c r="D1916" t="s">
        <v>180</v>
      </c>
      <c r="E1916" t="s">
        <v>801</v>
      </c>
      <c r="F1916" t="s">
        <v>181</v>
      </c>
      <c r="G1916">
        <v>0.5</v>
      </c>
      <c r="H1916" t="s">
        <v>216</v>
      </c>
    </row>
    <row r="1917" spans="1:8" hidden="1">
      <c r="A1917" t="s">
        <v>11</v>
      </c>
      <c r="B1917">
        <v>2023</v>
      </c>
      <c r="C1917" t="s">
        <v>49</v>
      </c>
      <c r="D1917" t="s">
        <v>188</v>
      </c>
      <c r="E1917" t="s">
        <v>827</v>
      </c>
      <c r="F1917" t="s">
        <v>181</v>
      </c>
      <c r="G1917">
        <v>3</v>
      </c>
      <c r="H1917" t="s">
        <v>802</v>
      </c>
    </row>
    <row r="1918" spans="1:8" hidden="1">
      <c r="A1918" t="s">
        <v>11</v>
      </c>
      <c r="B1918">
        <v>2023</v>
      </c>
      <c r="C1918" t="s">
        <v>49</v>
      </c>
      <c r="D1918" t="s">
        <v>180</v>
      </c>
      <c r="E1918" t="s">
        <v>803</v>
      </c>
      <c r="F1918" t="s">
        <v>181</v>
      </c>
      <c r="G1918">
        <v>0.5</v>
      </c>
      <c r="H1918" t="s">
        <v>804</v>
      </c>
    </row>
    <row r="1919" spans="1:8" hidden="1">
      <c r="A1919" t="s">
        <v>11</v>
      </c>
      <c r="B1919">
        <v>2023</v>
      </c>
      <c r="C1919" t="s">
        <v>49</v>
      </c>
      <c r="D1919" t="s">
        <v>180</v>
      </c>
      <c r="E1919" t="s">
        <v>797</v>
      </c>
      <c r="F1919" t="s">
        <v>181</v>
      </c>
      <c r="G1919">
        <v>1.5</v>
      </c>
      <c r="H1919" t="s">
        <v>802</v>
      </c>
    </row>
    <row r="1920" spans="1:8" hidden="1">
      <c r="A1920" t="s">
        <v>11</v>
      </c>
      <c r="B1920">
        <v>2023</v>
      </c>
      <c r="C1920" t="s">
        <v>49</v>
      </c>
      <c r="D1920" t="s">
        <v>191</v>
      </c>
      <c r="E1920" t="s">
        <v>827</v>
      </c>
      <c r="F1920" t="s">
        <v>181</v>
      </c>
      <c r="G1920">
        <v>1.5</v>
      </c>
      <c r="H1920" t="s">
        <v>802</v>
      </c>
    </row>
    <row r="1921" spans="1:8" hidden="1">
      <c r="A1921" t="s">
        <v>11</v>
      </c>
      <c r="B1921">
        <v>2023</v>
      </c>
      <c r="C1921" t="s">
        <v>49</v>
      </c>
      <c r="D1921" t="s">
        <v>200</v>
      </c>
      <c r="E1921" t="s">
        <v>827</v>
      </c>
      <c r="F1921" t="s">
        <v>181</v>
      </c>
      <c r="G1921">
        <v>0.5</v>
      </c>
      <c r="H1921" t="s">
        <v>804</v>
      </c>
    </row>
    <row r="1922" spans="1:8" hidden="1">
      <c r="A1922" t="s">
        <v>11</v>
      </c>
      <c r="B1922">
        <v>2023</v>
      </c>
      <c r="C1922" t="s">
        <v>49</v>
      </c>
      <c r="D1922" t="s">
        <v>199</v>
      </c>
      <c r="E1922" t="s">
        <v>827</v>
      </c>
      <c r="F1922" t="s">
        <v>181</v>
      </c>
      <c r="G1922" s="29" t="s">
        <v>1179</v>
      </c>
      <c r="H1922" t="s">
        <v>202</v>
      </c>
    </row>
    <row r="1923" spans="1:8" hidden="1">
      <c r="A1923" t="s">
        <v>11</v>
      </c>
      <c r="B1923">
        <v>2023</v>
      </c>
      <c r="C1923" t="s">
        <v>49</v>
      </c>
      <c r="D1923" t="s">
        <v>197</v>
      </c>
      <c r="E1923" t="s">
        <v>827</v>
      </c>
      <c r="F1923" t="s">
        <v>181</v>
      </c>
      <c r="G1923" s="29" t="s">
        <v>1179</v>
      </c>
      <c r="H1923" t="s">
        <v>202</v>
      </c>
    </row>
    <row r="1924" spans="1:8" hidden="1">
      <c r="A1924" t="s">
        <v>11</v>
      </c>
      <c r="B1924">
        <v>2023</v>
      </c>
      <c r="C1924" t="s">
        <v>49</v>
      </c>
      <c r="D1924" t="s">
        <v>199</v>
      </c>
      <c r="E1924" t="s">
        <v>827</v>
      </c>
      <c r="F1924" t="s">
        <v>181</v>
      </c>
      <c r="G1924" s="29" t="s">
        <v>1180</v>
      </c>
      <c r="H1924" t="s">
        <v>740</v>
      </c>
    </row>
    <row r="1925" spans="1:8" hidden="1">
      <c r="A1925" t="s">
        <v>11</v>
      </c>
      <c r="B1925">
        <v>2023</v>
      </c>
      <c r="C1925" t="s">
        <v>49</v>
      </c>
      <c r="D1925" t="s">
        <v>197</v>
      </c>
      <c r="E1925" t="s">
        <v>827</v>
      </c>
      <c r="F1925" t="s">
        <v>181</v>
      </c>
      <c r="G1925" s="29" t="s">
        <v>1180</v>
      </c>
      <c r="H1925" t="s">
        <v>740</v>
      </c>
    </row>
    <row r="1926" spans="1:8" hidden="1">
      <c r="A1926" t="s">
        <v>11</v>
      </c>
      <c r="B1926">
        <v>2023</v>
      </c>
      <c r="C1926" t="s">
        <v>49</v>
      </c>
      <c r="D1926" t="s">
        <v>203</v>
      </c>
      <c r="E1926" t="s">
        <v>827</v>
      </c>
      <c r="F1926" t="s">
        <v>181</v>
      </c>
      <c r="G1926" s="29" t="s">
        <v>1181</v>
      </c>
      <c r="H1926" t="s">
        <v>805</v>
      </c>
    </row>
    <row r="1927" spans="1:8" hidden="1">
      <c r="A1927" t="s">
        <v>11</v>
      </c>
      <c r="B1927">
        <v>2023</v>
      </c>
      <c r="C1927" t="s">
        <v>49</v>
      </c>
      <c r="D1927" t="s">
        <v>180</v>
      </c>
      <c r="E1927" t="s">
        <v>806</v>
      </c>
      <c r="F1927" t="s">
        <v>181</v>
      </c>
      <c r="G1927" s="29" t="s">
        <v>1181</v>
      </c>
      <c r="H1927" t="s">
        <v>201</v>
      </c>
    </row>
    <row r="1928" spans="1:8" hidden="1">
      <c r="A1928" t="s">
        <v>11</v>
      </c>
      <c r="B1928">
        <v>2023</v>
      </c>
      <c r="C1928" t="s">
        <v>49</v>
      </c>
      <c r="D1928" t="s">
        <v>180</v>
      </c>
      <c r="E1928" t="s">
        <v>807</v>
      </c>
      <c r="F1928" t="s">
        <v>181</v>
      </c>
      <c r="G1928" s="29" t="s">
        <v>1181</v>
      </c>
      <c r="H1928" t="s">
        <v>201</v>
      </c>
    </row>
    <row r="1929" spans="1:8" hidden="1">
      <c r="A1929" t="s">
        <v>11</v>
      </c>
      <c r="B1929">
        <v>2023</v>
      </c>
      <c r="C1929" t="s">
        <v>49</v>
      </c>
      <c r="D1929" t="s">
        <v>180</v>
      </c>
      <c r="E1929" t="s">
        <v>808</v>
      </c>
      <c r="F1929" t="s">
        <v>181</v>
      </c>
      <c r="G1929">
        <v>0.5</v>
      </c>
      <c r="H1929" t="s">
        <v>804</v>
      </c>
    </row>
    <row r="1930" spans="1:8" hidden="1">
      <c r="A1930" t="s">
        <v>11</v>
      </c>
      <c r="B1930">
        <v>2023</v>
      </c>
      <c r="C1930" t="s">
        <v>49</v>
      </c>
      <c r="D1930" t="s">
        <v>180</v>
      </c>
      <c r="E1930" t="s">
        <v>809</v>
      </c>
      <c r="F1930" t="s">
        <v>181</v>
      </c>
      <c r="G1930">
        <v>2</v>
      </c>
      <c r="H1930" t="s">
        <v>285</v>
      </c>
    </row>
    <row r="1931" spans="1:8" hidden="1">
      <c r="A1931" t="s">
        <v>11</v>
      </c>
      <c r="B1931">
        <v>2023</v>
      </c>
      <c r="C1931" t="s">
        <v>49</v>
      </c>
      <c r="D1931" t="s">
        <v>180</v>
      </c>
      <c r="E1931" t="s">
        <v>291</v>
      </c>
      <c r="F1931" t="s">
        <v>181</v>
      </c>
      <c r="G1931">
        <v>0.5</v>
      </c>
      <c r="H1931" t="s">
        <v>216</v>
      </c>
    </row>
    <row r="1932" spans="1:8" hidden="1">
      <c r="A1932" t="s">
        <v>11</v>
      </c>
      <c r="B1932">
        <v>2023</v>
      </c>
      <c r="C1932" t="s">
        <v>49</v>
      </c>
      <c r="D1932" t="s">
        <v>180</v>
      </c>
      <c r="E1932" t="s">
        <v>810</v>
      </c>
      <c r="F1932" t="s">
        <v>181</v>
      </c>
      <c r="G1932">
        <v>0.5</v>
      </c>
      <c r="H1932" t="s">
        <v>216</v>
      </c>
    </row>
    <row r="1933" spans="1:8" hidden="1">
      <c r="A1933" t="s">
        <v>11</v>
      </c>
      <c r="B1933">
        <v>2023</v>
      </c>
      <c r="C1933" t="s">
        <v>49</v>
      </c>
      <c r="D1933" t="s">
        <v>180</v>
      </c>
      <c r="E1933" t="s">
        <v>811</v>
      </c>
      <c r="F1933" t="s">
        <v>181</v>
      </c>
      <c r="G1933">
        <v>1</v>
      </c>
      <c r="H1933" t="s">
        <v>216</v>
      </c>
    </row>
    <row r="1934" spans="1:8" hidden="1">
      <c r="A1934" t="s">
        <v>11</v>
      </c>
      <c r="B1934">
        <v>2023</v>
      </c>
      <c r="C1934" t="s">
        <v>49</v>
      </c>
      <c r="D1934" t="s">
        <v>180</v>
      </c>
      <c r="E1934" t="s">
        <v>812</v>
      </c>
      <c r="F1934" t="s">
        <v>181</v>
      </c>
      <c r="G1934">
        <v>0.5</v>
      </c>
      <c r="H1934" t="s">
        <v>216</v>
      </c>
    </row>
    <row r="1935" spans="1:8" hidden="1">
      <c r="A1935" t="s">
        <v>11</v>
      </c>
      <c r="B1935">
        <v>2023</v>
      </c>
      <c r="C1935" t="s">
        <v>49</v>
      </c>
      <c r="D1935" t="s">
        <v>180</v>
      </c>
      <c r="E1935" t="s">
        <v>813</v>
      </c>
      <c r="F1935" t="s">
        <v>181</v>
      </c>
      <c r="G1935">
        <v>1.34</v>
      </c>
      <c r="H1935" t="s">
        <v>216</v>
      </c>
    </row>
    <row r="1936" spans="1:8" hidden="1">
      <c r="A1936" t="s">
        <v>11</v>
      </c>
      <c r="B1936">
        <v>2023</v>
      </c>
      <c r="C1936" t="s">
        <v>49</v>
      </c>
      <c r="D1936" t="s">
        <v>180</v>
      </c>
      <c r="E1936" t="s">
        <v>814</v>
      </c>
      <c r="F1936" t="s">
        <v>181</v>
      </c>
      <c r="G1936">
        <v>0.5</v>
      </c>
      <c r="H1936" t="s">
        <v>216</v>
      </c>
    </row>
    <row r="1937" spans="1:8" hidden="1">
      <c r="A1937" t="s">
        <v>11</v>
      </c>
      <c r="B1937">
        <v>2023</v>
      </c>
      <c r="C1937" t="s">
        <v>49</v>
      </c>
      <c r="D1937" t="s">
        <v>188</v>
      </c>
      <c r="E1937" t="s">
        <v>827</v>
      </c>
      <c r="F1937" t="s">
        <v>181</v>
      </c>
      <c r="G1937">
        <v>1</v>
      </c>
      <c r="H1937" t="s">
        <v>815</v>
      </c>
    </row>
    <row r="1938" spans="1:8" hidden="1">
      <c r="A1938" t="s">
        <v>11</v>
      </c>
      <c r="B1938">
        <v>2023</v>
      </c>
      <c r="C1938" t="s">
        <v>49</v>
      </c>
      <c r="D1938" t="s">
        <v>193</v>
      </c>
      <c r="E1938" t="s">
        <v>827</v>
      </c>
      <c r="F1938" t="s">
        <v>181</v>
      </c>
      <c r="G1938">
        <v>2</v>
      </c>
      <c r="H1938" t="s">
        <v>1152</v>
      </c>
    </row>
    <row r="1939" spans="1:8" hidden="1">
      <c r="A1939" t="s">
        <v>11</v>
      </c>
      <c r="B1939">
        <v>2023</v>
      </c>
      <c r="C1939" t="s">
        <v>49</v>
      </c>
      <c r="D1939" t="s">
        <v>199</v>
      </c>
      <c r="E1939" t="s">
        <v>827</v>
      </c>
      <c r="F1939" t="s">
        <v>181</v>
      </c>
      <c r="G1939">
        <v>0.67</v>
      </c>
      <c r="H1939" t="s">
        <v>1156</v>
      </c>
    </row>
    <row r="1940" spans="1:8" hidden="1">
      <c r="A1940" t="s">
        <v>11</v>
      </c>
      <c r="B1940">
        <v>2023</v>
      </c>
      <c r="C1940" t="s">
        <v>49</v>
      </c>
      <c r="D1940" t="s">
        <v>180</v>
      </c>
      <c r="E1940" t="s">
        <v>1164</v>
      </c>
      <c r="F1940" t="s">
        <v>181</v>
      </c>
      <c r="G1940">
        <v>2</v>
      </c>
      <c r="H1940" t="s">
        <v>1160</v>
      </c>
    </row>
    <row r="1941" spans="1:8" hidden="1">
      <c r="A1941" t="s">
        <v>11</v>
      </c>
      <c r="B1941">
        <v>2023</v>
      </c>
      <c r="C1941" t="s">
        <v>49</v>
      </c>
      <c r="D1941" t="s">
        <v>199</v>
      </c>
      <c r="E1941" t="s">
        <v>1165</v>
      </c>
      <c r="F1941" t="s">
        <v>208</v>
      </c>
      <c r="G1941">
        <v>5.5</v>
      </c>
      <c r="H1941" t="s">
        <v>1166</v>
      </c>
    </row>
    <row r="1942" spans="1:8" hidden="1">
      <c r="A1942" t="s">
        <v>11</v>
      </c>
      <c r="B1942">
        <v>2023</v>
      </c>
      <c r="C1942" t="s">
        <v>49</v>
      </c>
      <c r="D1942" t="s">
        <v>188</v>
      </c>
      <c r="E1942" t="s">
        <v>827</v>
      </c>
      <c r="F1942" t="s">
        <v>208</v>
      </c>
      <c r="G1942">
        <v>1.67</v>
      </c>
      <c r="H1942" t="s">
        <v>824</v>
      </c>
    </row>
    <row r="1943" spans="1:8" hidden="1">
      <c r="A1943" t="s">
        <v>11</v>
      </c>
      <c r="B1943">
        <v>2023</v>
      </c>
      <c r="C1943" t="s">
        <v>49</v>
      </c>
      <c r="D1943" t="s">
        <v>188</v>
      </c>
      <c r="E1943" t="s">
        <v>827</v>
      </c>
      <c r="F1943" t="s">
        <v>208</v>
      </c>
      <c r="G1943">
        <v>6.8</v>
      </c>
      <c r="H1943" t="s">
        <v>823</v>
      </c>
    </row>
    <row r="1944" spans="1:8" hidden="1">
      <c r="A1944" t="s">
        <v>11</v>
      </c>
      <c r="B1944">
        <v>2023</v>
      </c>
      <c r="C1944" t="s">
        <v>49</v>
      </c>
      <c r="D1944" t="s">
        <v>188</v>
      </c>
      <c r="E1944" t="s">
        <v>827</v>
      </c>
      <c r="F1944" t="s">
        <v>208</v>
      </c>
      <c r="G1944">
        <v>3.47</v>
      </c>
      <c r="H1944" t="s">
        <v>822</v>
      </c>
    </row>
    <row r="1945" spans="1:8" hidden="1">
      <c r="A1945" t="s">
        <v>11</v>
      </c>
      <c r="B1945">
        <v>2023</v>
      </c>
      <c r="C1945" t="s">
        <v>49</v>
      </c>
      <c r="D1945" t="s">
        <v>199</v>
      </c>
      <c r="F1945" t="s">
        <v>181</v>
      </c>
      <c r="G1945">
        <v>6.75</v>
      </c>
      <c r="H1945" t="s">
        <v>1167</v>
      </c>
    </row>
    <row r="1946" spans="1:8" hidden="1">
      <c r="A1946" t="s">
        <v>11</v>
      </c>
      <c r="B1946">
        <v>2023</v>
      </c>
      <c r="C1946" t="s">
        <v>49</v>
      </c>
      <c r="D1946" t="s">
        <v>197</v>
      </c>
      <c r="F1946" t="s">
        <v>181</v>
      </c>
      <c r="G1946">
        <v>1.5</v>
      </c>
      <c r="H1946" t="s">
        <v>1167</v>
      </c>
    </row>
    <row r="1947" spans="1:8" hidden="1">
      <c r="A1947" t="s">
        <v>11</v>
      </c>
      <c r="B1947">
        <v>2023</v>
      </c>
      <c r="C1947" t="s">
        <v>49</v>
      </c>
      <c r="D1947" t="s">
        <v>191</v>
      </c>
      <c r="F1947" t="s">
        <v>181</v>
      </c>
      <c r="G1947">
        <v>1</v>
      </c>
      <c r="H1947" t="s">
        <v>1167</v>
      </c>
    </row>
    <row r="1948" spans="1:8" hidden="1">
      <c r="A1948" t="s">
        <v>11</v>
      </c>
      <c r="B1948">
        <v>2023</v>
      </c>
      <c r="C1948" t="s">
        <v>49</v>
      </c>
      <c r="D1948" t="s">
        <v>191</v>
      </c>
      <c r="F1948" t="s">
        <v>181</v>
      </c>
      <c r="G1948">
        <v>3.5</v>
      </c>
      <c r="H1948" t="s">
        <v>1168</v>
      </c>
    </row>
    <row r="1949" spans="1:8" hidden="1">
      <c r="A1949" t="s">
        <v>11</v>
      </c>
      <c r="B1949">
        <v>2023</v>
      </c>
      <c r="C1949" t="s">
        <v>49</v>
      </c>
      <c r="D1949" t="s">
        <v>203</v>
      </c>
      <c r="F1949" t="s">
        <v>181</v>
      </c>
      <c r="G1949">
        <v>4.25</v>
      </c>
      <c r="H1949" t="s">
        <v>1169</v>
      </c>
    </row>
    <row r="1950" spans="1:8" hidden="1">
      <c r="A1950" t="s">
        <v>11</v>
      </c>
      <c r="B1950">
        <v>2023</v>
      </c>
      <c r="C1950" t="s">
        <v>49</v>
      </c>
      <c r="D1950" t="s">
        <v>199</v>
      </c>
      <c r="E1950" t="s">
        <v>1165</v>
      </c>
      <c r="F1950" t="s">
        <v>181</v>
      </c>
      <c r="G1950">
        <v>1.75</v>
      </c>
      <c r="H1950" t="s">
        <v>1170</v>
      </c>
    </row>
    <row r="1951" spans="1:8" hidden="1">
      <c r="A1951" t="s">
        <v>11</v>
      </c>
      <c r="B1951">
        <v>2023</v>
      </c>
      <c r="C1951" t="s">
        <v>49</v>
      </c>
      <c r="D1951" t="s">
        <v>199</v>
      </c>
      <c r="E1951" t="s">
        <v>1171</v>
      </c>
      <c r="F1951" t="s">
        <v>181</v>
      </c>
      <c r="G1951">
        <v>3.5</v>
      </c>
      <c r="H1951" t="s">
        <v>1172</v>
      </c>
    </row>
    <row r="1952" spans="1:8" hidden="1">
      <c r="A1952" t="s">
        <v>11</v>
      </c>
      <c r="B1952">
        <v>2023</v>
      </c>
      <c r="C1952" t="s">
        <v>49</v>
      </c>
      <c r="D1952" t="s">
        <v>199</v>
      </c>
      <c r="E1952" t="s">
        <v>1171</v>
      </c>
      <c r="F1952" t="s">
        <v>181</v>
      </c>
      <c r="G1952">
        <v>3</v>
      </c>
      <c r="H1952" t="s">
        <v>1173</v>
      </c>
    </row>
    <row r="1953" spans="1:8" hidden="1">
      <c r="A1953" t="s">
        <v>11</v>
      </c>
      <c r="B1953">
        <v>2023</v>
      </c>
      <c r="C1953" t="s">
        <v>49</v>
      </c>
      <c r="D1953" t="s">
        <v>180</v>
      </c>
      <c r="E1953" t="s">
        <v>533</v>
      </c>
      <c r="F1953" t="s">
        <v>181</v>
      </c>
      <c r="G1953">
        <v>10.5</v>
      </c>
      <c r="H1953" t="s">
        <v>1174</v>
      </c>
    </row>
    <row r="1954" spans="1:8" hidden="1">
      <c r="A1954" t="s">
        <v>11</v>
      </c>
      <c r="B1954">
        <v>2023</v>
      </c>
      <c r="C1954" t="s">
        <v>49</v>
      </c>
      <c r="D1954" t="s">
        <v>199</v>
      </c>
      <c r="F1954" t="s">
        <v>181</v>
      </c>
      <c r="G1954">
        <v>10</v>
      </c>
      <c r="H1954" t="s">
        <v>1175</v>
      </c>
    </row>
    <row r="1955" spans="1:8" hidden="1">
      <c r="A1955" t="s">
        <v>11</v>
      </c>
      <c r="B1955">
        <v>2023</v>
      </c>
      <c r="C1955" t="s">
        <v>49</v>
      </c>
      <c r="D1955" t="s">
        <v>203</v>
      </c>
      <c r="F1955" t="s">
        <v>181</v>
      </c>
      <c r="G1955">
        <v>3</v>
      </c>
      <c r="H1955" t="s">
        <v>1176</v>
      </c>
    </row>
    <row r="1956" spans="1:8" hidden="1">
      <c r="A1956" t="s">
        <v>11</v>
      </c>
      <c r="B1956">
        <v>2023</v>
      </c>
      <c r="C1956" t="s">
        <v>49</v>
      </c>
      <c r="D1956" t="s">
        <v>199</v>
      </c>
      <c r="F1956" t="s">
        <v>181</v>
      </c>
      <c r="G1956">
        <v>4.5</v>
      </c>
      <c r="H1956" t="s">
        <v>1177</v>
      </c>
    </row>
    <row r="1957" spans="1:8" hidden="1">
      <c r="A1957" t="s">
        <v>11</v>
      </c>
      <c r="B1957">
        <v>2023</v>
      </c>
      <c r="C1957" t="s">
        <v>49</v>
      </c>
      <c r="D1957" t="s">
        <v>191</v>
      </c>
      <c r="F1957" t="s">
        <v>181</v>
      </c>
      <c r="G1957">
        <v>13.5</v>
      </c>
      <c r="H1957" t="s">
        <v>1178</v>
      </c>
    </row>
    <row r="1958" spans="1:8" hidden="1"/>
    <row r="1959" spans="1:8" hidden="1"/>
    <row r="1960" spans="1:8" hidden="1"/>
    <row r="1961" spans="1:8" hidden="1"/>
    <row r="1962" spans="1:8" hidden="1"/>
    <row r="1963" spans="1:8" hidden="1"/>
    <row r="1964" spans="1:8" hidden="1"/>
    <row r="1965" spans="1:8" hidden="1"/>
    <row r="1966" spans="1:8" hidden="1"/>
    <row r="1967" spans="1:8" hidden="1"/>
    <row r="1968" spans="1:8" hidden="1"/>
    <row r="1969" spans="7:7" hidden="1"/>
    <row r="1970" spans="7:7" hidden="1"/>
    <row r="1971" spans="7:7" hidden="1"/>
    <row r="1972" spans="7:7" hidden="1"/>
    <row r="1973" spans="7:7" ht="20.399999999999999" hidden="1" customHeight="1"/>
    <row r="1974" spans="7:7">
      <c r="G1974">
        <f>SUBTOTAL(9,G2:G1973)</f>
        <v>1365.5900000000001</v>
      </c>
    </row>
  </sheetData>
  <phoneticPr fontId="13"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9800B-747B-40ED-B616-653F354B0B7F}">
  <dimension ref="A1:AS41"/>
  <sheetViews>
    <sheetView topLeftCell="F25" zoomScale="70" zoomScaleNormal="70" workbookViewId="0">
      <selection activeCell="AF6" sqref="AF1:AU1048576"/>
    </sheetView>
  </sheetViews>
  <sheetFormatPr baseColWidth="10" defaultRowHeight="14.4"/>
  <cols>
    <col min="2" max="2" width="14.6640625" customWidth="1"/>
    <col min="3" max="3" width="14.109375" customWidth="1"/>
    <col min="4" max="4" width="11" customWidth="1"/>
    <col min="5" max="5" width="9.33203125" customWidth="1"/>
    <col min="6" max="6" width="10.77734375" customWidth="1"/>
    <col min="7" max="7" width="11.88671875" customWidth="1"/>
    <col min="8" max="8" width="8" customWidth="1"/>
    <col min="9" max="9" width="11.21875" customWidth="1"/>
    <col min="10" max="10" width="9.109375" customWidth="1"/>
    <col min="11" max="11" width="10.5546875" customWidth="1"/>
    <col min="12" max="12" width="9.88671875" customWidth="1"/>
    <col min="13" max="13" width="10.77734375" customWidth="1"/>
    <col min="14" max="14" width="9.5546875" customWidth="1"/>
    <col min="15" max="15" width="9.77734375" customWidth="1"/>
    <col min="16" max="16" width="9.77734375" style="62" customWidth="1"/>
    <col min="17" max="17" width="10.44140625" customWidth="1"/>
    <col min="19" max="19" width="9.6640625" customWidth="1"/>
    <col min="20" max="20" width="9.77734375" customWidth="1"/>
    <col min="21" max="21" width="9.21875" customWidth="1"/>
    <col min="22" max="22" width="3.88671875" customWidth="1"/>
    <col min="23" max="23" width="7.88671875" customWidth="1"/>
    <col min="24" max="24" width="8" customWidth="1"/>
    <col min="25" max="25" width="9.6640625" customWidth="1"/>
    <col min="26" max="26" width="1.44140625" customWidth="1"/>
    <col min="27" max="27" width="3" customWidth="1"/>
    <col min="28" max="28" width="20.5546875" customWidth="1"/>
    <col min="29" max="29" width="17.44140625" customWidth="1"/>
  </cols>
  <sheetData>
    <row r="1" spans="1:29" ht="28.2" customHeight="1">
      <c r="A1" s="201"/>
      <c r="B1" s="201"/>
      <c r="C1" s="201"/>
      <c r="D1" s="201"/>
      <c r="E1" s="201"/>
      <c r="F1" s="201"/>
      <c r="G1" s="211"/>
      <c r="H1" s="212"/>
      <c r="I1" s="212"/>
      <c r="J1" s="213"/>
      <c r="K1" s="214" t="s">
        <v>1228</v>
      </c>
      <c r="L1" s="214"/>
      <c r="M1" s="214"/>
      <c r="N1" s="214"/>
      <c r="O1" s="214"/>
      <c r="P1" s="214"/>
      <c r="Q1" s="214"/>
    </row>
    <row r="2" spans="1:29" ht="24" customHeight="1">
      <c r="A2" s="210" t="s">
        <v>1227</v>
      </c>
      <c r="B2" s="210"/>
      <c r="C2" s="210"/>
      <c r="D2" s="210"/>
      <c r="E2" s="210"/>
      <c r="F2" s="210"/>
      <c r="G2" s="210"/>
      <c r="H2" s="210"/>
      <c r="I2" s="210"/>
      <c r="J2" s="210"/>
      <c r="K2" s="210"/>
      <c r="L2" s="210"/>
      <c r="M2" s="210"/>
      <c r="N2" s="210"/>
      <c r="O2" s="210"/>
      <c r="P2" s="210"/>
      <c r="Q2" s="210"/>
    </row>
    <row r="3" spans="1:29" ht="18">
      <c r="A3" s="215" t="s">
        <v>1210</v>
      </c>
      <c r="B3" s="216"/>
      <c r="C3" s="216"/>
      <c r="D3" s="216"/>
      <c r="E3" s="216"/>
      <c r="F3" s="217"/>
      <c r="G3" s="218" t="s">
        <v>1209</v>
      </c>
      <c r="H3" s="219"/>
      <c r="I3" s="219"/>
      <c r="J3" s="220"/>
      <c r="K3" s="221" t="s">
        <v>1208</v>
      </c>
      <c r="L3" s="222"/>
      <c r="M3" s="222"/>
      <c r="N3" s="222"/>
      <c r="O3" s="222"/>
      <c r="P3" s="222"/>
      <c r="Q3" s="222"/>
    </row>
    <row r="4" spans="1:29" ht="71.400000000000006" customHeight="1">
      <c r="A4" s="221" t="s">
        <v>1224</v>
      </c>
      <c r="B4" s="222"/>
      <c r="C4" s="222"/>
      <c r="D4" s="222"/>
      <c r="E4" s="222"/>
      <c r="F4" s="222"/>
      <c r="G4" s="218" t="s">
        <v>1225</v>
      </c>
      <c r="H4" s="219"/>
      <c r="I4" s="219"/>
      <c r="J4" s="220"/>
      <c r="K4" s="221" t="s">
        <v>1226</v>
      </c>
      <c r="L4" s="222"/>
      <c r="M4" s="222"/>
      <c r="N4" s="222"/>
      <c r="O4" s="222"/>
      <c r="P4" s="222"/>
      <c r="Q4" s="222"/>
    </row>
    <row r="5" spans="1:29" ht="21" customHeight="1">
      <c r="A5" s="222" t="s">
        <v>1211</v>
      </c>
      <c r="B5" s="222"/>
      <c r="C5" s="222"/>
      <c r="D5" s="222"/>
      <c r="E5" s="222"/>
      <c r="F5" s="222"/>
      <c r="G5" s="222"/>
      <c r="H5" s="222"/>
      <c r="I5" s="222"/>
      <c r="J5" s="222"/>
      <c r="K5" s="222"/>
      <c r="L5" s="222"/>
      <c r="M5" s="222"/>
      <c r="N5" s="222"/>
      <c r="O5" s="222"/>
      <c r="P5" s="222"/>
      <c r="Q5" s="222"/>
    </row>
    <row r="6" spans="1:29" ht="22.2" customHeight="1">
      <c r="N6" s="79"/>
      <c r="O6" s="79"/>
      <c r="P6" s="79"/>
      <c r="Q6" s="79"/>
    </row>
    <row r="7" spans="1:29" ht="31.8" customHeight="1">
      <c r="A7" s="238" t="s">
        <v>1150</v>
      </c>
      <c r="B7" s="238" t="s">
        <v>1148</v>
      </c>
      <c r="C7" s="239" t="s">
        <v>1149</v>
      </c>
      <c r="D7" s="80" t="s">
        <v>1147</v>
      </c>
      <c r="E7" s="81"/>
      <c r="F7" s="81"/>
      <c r="G7" s="81"/>
      <c r="H7" s="81"/>
      <c r="I7" s="81"/>
      <c r="J7" s="81"/>
      <c r="K7" s="81"/>
      <c r="L7" s="81"/>
      <c r="M7" s="81"/>
      <c r="N7" s="81"/>
      <c r="O7" s="81"/>
      <c r="P7" s="81"/>
      <c r="Q7" s="81"/>
    </row>
    <row r="8" spans="1:29" ht="67.2" customHeight="1">
      <c r="A8" s="238"/>
      <c r="B8" s="238"/>
      <c r="C8" s="239"/>
      <c r="D8" s="104" t="s">
        <v>184</v>
      </c>
      <c r="E8" s="105" t="s">
        <v>200</v>
      </c>
      <c r="F8" s="104" t="s">
        <v>191</v>
      </c>
      <c r="G8" s="105" t="s">
        <v>203</v>
      </c>
      <c r="H8" s="104" t="s">
        <v>197</v>
      </c>
      <c r="I8" s="105" t="s">
        <v>180</v>
      </c>
      <c r="J8" s="104" t="s">
        <v>188</v>
      </c>
      <c r="K8" s="105" t="s">
        <v>199</v>
      </c>
      <c r="L8" s="104" t="s">
        <v>193</v>
      </c>
      <c r="M8" s="104" t="s">
        <v>324</v>
      </c>
      <c r="N8" s="104" t="s">
        <v>259</v>
      </c>
      <c r="O8" s="104" t="s">
        <v>652</v>
      </c>
      <c r="P8" s="104" t="s">
        <v>1151</v>
      </c>
      <c r="Q8" s="104" t="s">
        <v>1155</v>
      </c>
      <c r="R8" s="207" t="s">
        <v>1234</v>
      </c>
      <c r="S8" s="207"/>
      <c r="T8" s="207"/>
      <c r="U8" s="207"/>
      <c r="V8" s="207"/>
      <c r="W8" s="207" t="s">
        <v>1232</v>
      </c>
      <c r="X8" s="207"/>
      <c r="Y8" s="207"/>
      <c r="Z8" s="207"/>
      <c r="AA8" s="207"/>
      <c r="AB8" s="170" t="s">
        <v>1438</v>
      </c>
      <c r="AC8" s="170" t="s">
        <v>1439</v>
      </c>
    </row>
    <row r="9" spans="1:29" ht="29.4" customHeight="1">
      <c r="A9" s="235">
        <v>2025</v>
      </c>
      <c r="B9" s="208" t="s">
        <v>12</v>
      </c>
      <c r="C9" s="100" t="s">
        <v>181</v>
      </c>
      <c r="D9" s="98">
        <f>SUMIFS(T_Maint_Innofaso!G:G,T_Maint_Innofaso!B:B,A$11,T_Maint_Innofaso!C:C,B9,T_Maint_Innofaso!F:F,C9,T_Maint_Innofaso!D:D,compilation!D$8)</f>
        <v>5</v>
      </c>
      <c r="E9" s="98">
        <f>SUMIFS(T_Maint_Innofaso!G:G,T_Maint_Innofaso!B:B,A$11,T_Maint_Innofaso!C:C,B9,T_Maint_Innofaso!F:F,C9,T_Maint_Innofaso!D:D,E$8)</f>
        <v>1</v>
      </c>
      <c r="F9" s="98">
        <f>SUMIFS(T_Maint_Innofaso!G:G,T_Maint_Innofaso!B:B,A$11,T_Maint_Innofaso!C:C,B9,T_Maint_Innofaso!F:F,C9,T_Maint_Innofaso!D:D,F$8)</f>
        <v>3</v>
      </c>
      <c r="G9" s="98">
        <f>SUMIFS(T_Maint_Innofaso!G:G,T_Maint_Innofaso!B:B,A$11,T_Maint_Innofaso!C:C,B9,T_Maint_Innofaso!F:F,C9,T_Maint_Innofaso!D:D,G$8)</f>
        <v>1</v>
      </c>
      <c r="H9" s="98">
        <f>SUMIFS(T_Maint_Innofaso!G:G,T_Maint_Innofaso!B:B,A$11,T_Maint_Innofaso!C:C,B9,T_Maint_Innofaso!F:F,C9,T_Maint_Innofaso!D:D,H$8)</f>
        <v>1</v>
      </c>
      <c r="I9" s="98">
        <f>SUMIFS(T_Maint_Innofaso!G:G,T_Maint_Innofaso!B:B,A$11,T_Maint_Innofaso!C:C,B9,T_Maint_Innofaso!F:F,C9,T_Maint_Innofaso!D:D,I$8)</f>
        <v>30.67</v>
      </c>
      <c r="J9" s="98">
        <f>SUMIFS(T_Maint_Innofaso!G:G,T_Maint_Innofaso!B:B,A$11,T_Maint_Innofaso!C:C,B9,T_Maint_Innofaso!F:F,C9,T_Maint_Innofaso!D:D,J$8)</f>
        <v>9</v>
      </c>
      <c r="K9" s="98">
        <f>SUMIFS(T_Maint_Innofaso!G:G,T_Maint_Innofaso!B:B,A$11,T_Maint_Innofaso!C:C,B9,T_Maint_Innofaso!F:F,C9,T_Maint_Innofaso!D:D,K$8)</f>
        <v>2</v>
      </c>
      <c r="L9" s="98">
        <f>SUMIFS(T_Maint_Innofaso!G:G,T_Maint_Innofaso!B:B,A$11,T_Maint_Innofaso!C:C,B9,T_Maint_Innofaso!F:F,C9,T_Maint_Innofaso!D:D,L$8)</f>
        <v>0</v>
      </c>
      <c r="M9" s="98">
        <f>SUMIFS(T_Maint_Innofaso!G:G,T_Maint_Innofaso!B:B,A$11,T_Maint_Innofaso!C:C,B9,T_Maint_Innofaso!F:F,C9,T_Maint_Innofaso!D:D,M$8)</f>
        <v>0</v>
      </c>
      <c r="N9" s="98">
        <f>SUMIFS(T_Maint_Innofaso!G:G,T_Maint_Innofaso!B:B,A$11,T_Maint_Innofaso!C:C,B9,T_Maint_Innofaso!F:F,C9,T_Maint_Innofaso!D:D,N$8)</f>
        <v>0</v>
      </c>
      <c r="O9" s="98">
        <f>SUMIFS(T_Maint_Innofaso!G:G,T_Maint_Innofaso!B:B,A$11,T_Maint_Innofaso!C:C,B9,T_Maint_Innofaso!F:F,C9,T_Maint_Innofaso!D:D,O$8)</f>
        <v>0</v>
      </c>
      <c r="P9" s="99">
        <f t="shared" ref="P9:P32" si="0">SUM(D9:O9)</f>
        <v>52.67</v>
      </c>
      <c r="Q9" s="237">
        <f>P9+P10</f>
        <v>96.72</v>
      </c>
      <c r="R9" s="201" t="s">
        <v>1244</v>
      </c>
      <c r="S9" s="201"/>
      <c r="T9" s="201"/>
      <c r="U9" s="201"/>
      <c r="V9" s="201"/>
      <c r="W9" s="201" t="s">
        <v>1245</v>
      </c>
      <c r="X9" s="201"/>
      <c r="Y9" s="201"/>
      <c r="Z9" s="201"/>
      <c r="AA9" s="201"/>
      <c r="AB9" s="201" t="s">
        <v>1440</v>
      </c>
      <c r="AC9" s="203">
        <v>45716</v>
      </c>
    </row>
    <row r="10" spans="1:29" ht="31.2" customHeight="1">
      <c r="A10" s="236"/>
      <c r="B10" s="209"/>
      <c r="C10" s="97" t="s">
        <v>208</v>
      </c>
      <c r="D10" s="66">
        <f>SUMIFS(T_Maint_Innofaso!G:G,T_Maint_Innofaso!B:B,A$11,T_Maint_Innofaso!C:C,B9,T_Maint_Innofaso!F:F,C10,T_Maint_Innofaso!D:D,compilation!D$8)</f>
        <v>0</v>
      </c>
      <c r="E10" s="66">
        <f>SUMIFS(T_Maint_Innofaso!G:G,T_Maint_Innofaso!B:B,A$11,T_Maint_Innofaso!C:C,B9,T_Maint_Innofaso!F:F,C10,T_Maint_Innofaso!D:D,E$8)</f>
        <v>0</v>
      </c>
      <c r="F10" s="66">
        <f>SUMIFS(T_Maint_Innofaso!G:G,T_Maint_Innofaso!B:B,A$11,T_Maint_Innofaso!C:C,B9,T_Maint_Innofaso!F:F,C10,T_Maint_Innofaso!D:D,F$8)</f>
        <v>4.5</v>
      </c>
      <c r="G10" s="66">
        <f>SUMIFS(T_Maint_Innofaso!G:G,T_Maint_Innofaso!B:B,A$11,T_Maint_Innofaso!C:C,B9,T_Maint_Innofaso!F:F,C10,T_Maint_Innofaso!D:D,G$8)</f>
        <v>0</v>
      </c>
      <c r="H10" s="66">
        <f>SUMIFS(T_Maint_Innofaso!G:G,T_Maint_Innofaso!B:B,A$11,T_Maint_Innofaso!C:C,B9,T_Maint_Innofaso!F:F,C10,T_Maint_Innofaso!D:D,H$8)</f>
        <v>0</v>
      </c>
      <c r="I10" s="66">
        <f>SUMIFS(T_Maint_Innofaso!G:G,T_Maint_Innofaso!B:B,A$11,T_Maint_Innofaso!C:C,B9,T_Maint_Innofaso!F:F,C10,T_Maint_Innofaso!D:D,I$8)</f>
        <v>0</v>
      </c>
      <c r="J10" s="66">
        <f>SUMIFS(T_Maint_Innofaso!G:G,T_Maint_Innofaso!B:B,A$11,T_Maint_Innofaso!C:C,B9,T_Maint_Innofaso!F:F,C10,T_Maint_Innofaso!D:D,J$8)</f>
        <v>15.9</v>
      </c>
      <c r="K10" s="66">
        <f>SUMIFS(T_Maint_Innofaso!G:G,T_Maint_Innofaso!B:B,A$11,T_Maint_Innofaso!C:C,B9,T_Maint_Innofaso!F:F,C10,T_Maint_Innofaso!D:D,K$8)</f>
        <v>10</v>
      </c>
      <c r="L10" s="66">
        <f>SUMIFS(T_Maint_Innofaso!G:G,T_Maint_Innofaso!B:B,A$11,T_Maint_Innofaso!C:C,B9,T_Maint_Innofaso!F:F,C10,T_Maint_Innofaso!D:D,L$8)</f>
        <v>12.4</v>
      </c>
      <c r="M10" s="66">
        <f>SUMIFS(T_Maint_Innofaso!G:G,T_Maint_Innofaso!B:B,A$11,T_Maint_Innofaso!C:C,B9,T_Maint_Innofaso!F:F,C10,T_Maint_Innofaso!D:D,M$8)</f>
        <v>0</v>
      </c>
      <c r="N10" s="66">
        <f>SUMIFS(T_Maint_Innofaso!G:G,T_Maint_Innofaso!B:B,A$11,T_Maint_Innofaso!C:C,B9,T_Maint_Innofaso!F:F,C10,T_Maint_Innofaso!D:D,N$8)</f>
        <v>0</v>
      </c>
      <c r="O10" s="66">
        <f>SUMIFS(T_Maint_Innofaso!G:G,T_Maint_Innofaso!B:B,A$11,T_Maint_Innofaso!C:C,B9,T_Maint_Innofaso!F:F,C10,T_Maint_Innofaso!D:D,O$8)</f>
        <v>1.25</v>
      </c>
      <c r="P10" s="84">
        <f t="shared" si="0"/>
        <v>44.05</v>
      </c>
      <c r="Q10" s="237"/>
      <c r="R10" s="201"/>
      <c r="S10" s="201"/>
      <c r="T10" s="201"/>
      <c r="U10" s="201"/>
      <c r="V10" s="201"/>
      <c r="W10" s="201"/>
      <c r="X10" s="201"/>
      <c r="Y10" s="201"/>
      <c r="Z10" s="201"/>
      <c r="AA10" s="201"/>
      <c r="AB10" s="201"/>
      <c r="AC10" s="201"/>
    </row>
    <row r="11" spans="1:29" ht="36" customHeight="1">
      <c r="A11" s="235">
        <v>2025</v>
      </c>
      <c r="B11" s="204" t="s">
        <v>21</v>
      </c>
      <c r="C11" s="100" t="s">
        <v>181</v>
      </c>
      <c r="D11" s="98">
        <f>SUMIFS(T_Maint_Innofaso!G:G,T_Maint_Innofaso!B:B,A$11,T_Maint_Innofaso!C:C,B11,T_Maint_Innofaso!F:F,C11,T_Maint_Innofaso!D:D,compilation!D$8)</f>
        <v>2</v>
      </c>
      <c r="E11" s="98">
        <f>SUMIFS(T_Maint_Innofaso!G:G,T_Maint_Innofaso!B:B,A$11,T_Maint_Innofaso!C:C,B11,T_Maint_Innofaso!F:F,C11,T_Maint_Innofaso!D:D,E$8)</f>
        <v>1</v>
      </c>
      <c r="F11" s="98">
        <f>SUMIFS(T_Maint_Innofaso!G:G,T_Maint_Innofaso!B:B,A$11,T_Maint_Innofaso!C:C,B11,T_Maint_Innofaso!F:F,C11,T_Maint_Innofaso!D:D,F$8)</f>
        <v>3</v>
      </c>
      <c r="G11" s="98">
        <f>SUMIFS(T_Maint_Innofaso!G:G,T_Maint_Innofaso!B:B,A$11,T_Maint_Innofaso!C:C,B11,T_Maint_Innofaso!F:F,C11,T_Maint_Innofaso!D:D,G$8)</f>
        <v>1</v>
      </c>
      <c r="H11" s="98">
        <f>SUMIFS(T_Maint_Innofaso!G:G,T_Maint_Innofaso!B:B,A$11,T_Maint_Innofaso!C:C,B11,T_Maint_Innofaso!F:F,C11,T_Maint_Innofaso!D:D,H$8)</f>
        <v>1</v>
      </c>
      <c r="I11" s="98">
        <f>SUMIFS(T_Maint_Innofaso!G:G,T_Maint_Innofaso!B:B,A$11,T_Maint_Innofaso!C:C,B11,T_Maint_Innofaso!F:F,C11,T_Maint_Innofaso!D:D,I$8)</f>
        <v>31.07</v>
      </c>
      <c r="J11" s="98">
        <f>SUMIFS(T_Maint_Innofaso!G:G,T_Maint_Innofaso!B:B,A$11,T_Maint_Innofaso!C:C,B11,T_Maint_Innofaso!F:F,C11,T_Maint_Innofaso!D:D,J$8)</f>
        <v>7</v>
      </c>
      <c r="K11" s="98">
        <f>SUMIFS(T_Maint_Innofaso!G:G,T_Maint_Innofaso!B:B,A$11,T_Maint_Innofaso!C:C,B11,T_Maint_Innofaso!F:F,C11,T_Maint_Innofaso!D:D,K$8)</f>
        <v>1</v>
      </c>
      <c r="L11" s="98">
        <f>SUMIFS(T_Maint_Innofaso!G:G,T_Maint_Innofaso!B:B,A$11,T_Maint_Innofaso!C:C,B11,T_Maint_Innofaso!F:F,C11,T_Maint_Innofaso!D:D,L$8)</f>
        <v>0</v>
      </c>
      <c r="M11" s="98">
        <f>SUMIFS(T_Maint_Innofaso!G:G,T_Maint_Innofaso!B:B,A$11,T_Maint_Innofaso!C:C,B11,T_Maint_Innofaso!F:F,C11,T_Maint_Innofaso!D:D,M$8)</f>
        <v>0</v>
      </c>
      <c r="N11" s="98">
        <f>SUMIFS(T_Maint_Innofaso!G:G,T_Maint_Innofaso!B:B,A$11,T_Maint_Innofaso!C:C,B11,T_Maint_Innofaso!F:F,C11,T_Maint_Innofaso!D:D,N$8)</f>
        <v>0</v>
      </c>
      <c r="O11" s="98">
        <f>SUMIFS(T_Maint_Innofaso!G:G,T_Maint_Innofaso!B:B,A$11,T_Maint_Innofaso!C:C,B11,T_Maint_Innofaso!F:F,C11,T_Maint_Innofaso!D:D,O$8)</f>
        <v>0</v>
      </c>
      <c r="P11" s="99">
        <f t="shared" si="0"/>
        <v>47.07</v>
      </c>
      <c r="Q11" s="237">
        <f>P11+P12</f>
        <v>94.17</v>
      </c>
      <c r="R11" s="202" t="s">
        <v>1346</v>
      </c>
      <c r="S11" s="202"/>
      <c r="T11" s="202"/>
      <c r="U11" s="202"/>
      <c r="V11" s="202"/>
      <c r="W11" s="202" t="s">
        <v>1441</v>
      </c>
      <c r="X11" s="202"/>
      <c r="Y11" s="202"/>
      <c r="Z11" s="202"/>
      <c r="AA11" s="202"/>
      <c r="AB11" s="201" t="s">
        <v>1442</v>
      </c>
      <c r="AC11" s="203">
        <v>45716</v>
      </c>
    </row>
    <row r="12" spans="1:29" ht="34.200000000000003" customHeight="1">
      <c r="A12" s="236"/>
      <c r="B12" s="205"/>
      <c r="C12" s="97" t="s">
        <v>208</v>
      </c>
      <c r="D12" s="64">
        <f>SUMIFS(T_Maint_Innofaso!G:G,T_Maint_Innofaso!B:B,A$11,T_Maint_Innofaso!C:C,B11,T_Maint_Innofaso!F:F,C12,T_Maint_Innofaso!D:D,compilation!D$8)</f>
        <v>0</v>
      </c>
      <c r="E12" s="64">
        <f>SUMIFS(T_Maint_Innofaso!G:G,T_Maint_Innofaso!B:B,A$11,T_Maint_Innofaso!C:C,B11,T_Maint_Innofaso!F:F,C12,T_Maint_Innofaso!D:D,E$8)</f>
        <v>0</v>
      </c>
      <c r="F12" s="64">
        <f>SUMIFS(T_Maint_Innofaso!G:G,T_Maint_Innofaso!B:B,A$11,T_Maint_Innofaso!C:C,B11,T_Maint_Innofaso!F:F,C12,T_Maint_Innofaso!D:D,F$8)</f>
        <v>0</v>
      </c>
      <c r="G12" s="64">
        <f>SUMIFS(T_Maint_Innofaso!G:G,T_Maint_Innofaso!B:B,A$11,T_Maint_Innofaso!C:C,B11,T_Maint_Innofaso!F:F,C12,T_Maint_Innofaso!D:D,G$8)</f>
        <v>0</v>
      </c>
      <c r="H12" s="64">
        <f>SUMIFS(T_Maint_Innofaso!G:G,T_Maint_Innofaso!B:B,A$11,T_Maint_Innofaso!C:C,B11,T_Maint_Innofaso!F:F,C12,T_Maint_Innofaso!D:D,H$8)</f>
        <v>0</v>
      </c>
      <c r="I12" s="64">
        <f>SUMIFS(T_Maint_Innofaso!G:G,T_Maint_Innofaso!B:B,A$11,T_Maint_Innofaso!C:C,B11,T_Maint_Innofaso!F:F,C12,T_Maint_Innofaso!D:D,I$8)</f>
        <v>6.9</v>
      </c>
      <c r="J12" s="64">
        <f>SUMIFS(T_Maint_Innofaso!G:G,T_Maint_Innofaso!B:B,A$11,T_Maint_Innofaso!C:C,B11,T_Maint_Innofaso!F:F,C12,T_Maint_Innofaso!D:D,J$8)</f>
        <v>15.3</v>
      </c>
      <c r="K12" s="64">
        <f>SUMIFS(T_Maint_Innofaso!G:G,T_Maint_Innofaso!B:B,A$11,T_Maint_Innofaso!C:C,B11,T_Maint_Innofaso!F:F,C12,T_Maint_Innofaso!D:D,K$8)</f>
        <v>24.9</v>
      </c>
      <c r="L12" s="64">
        <f>SUMIFS(T_Maint_Innofaso!G:G,T_Maint_Innofaso!B:B,A$11,T_Maint_Innofaso!C:C,B11,T_Maint_Innofaso!F:F,C12,T_Maint_Innofaso!D:D,L$8)</f>
        <v>0</v>
      </c>
      <c r="M12" s="66">
        <f>SUMIFS(T_Maint_Innofaso!G:G,T_Maint_Innofaso!B:B,A$11,T_Maint_Innofaso!C:C,B11,T_Maint_Innofaso!F:F,C12,T_Maint_Innofaso!D:D,M$8)</f>
        <v>0</v>
      </c>
      <c r="N12" s="66">
        <f>SUMIFS(T_Maint_Innofaso!G:G,T_Maint_Innofaso!B:B,A$11,T_Maint_Innofaso!C:C,B11,T_Maint_Innofaso!F:F,C12,T_Maint_Innofaso!D:D,N$8)</f>
        <v>0</v>
      </c>
      <c r="O12" s="66">
        <f>SUMIFS(T_Maint_Innofaso!G:G,T_Maint_Innofaso!B:B,A$11,T_Maint_Innofaso!C:C,B11,T_Maint_Innofaso!F:F,C12,T_Maint_Innofaso!D:D,O$8)</f>
        <v>0</v>
      </c>
      <c r="P12" s="84">
        <f t="shared" si="0"/>
        <v>47.1</v>
      </c>
      <c r="Q12" s="237"/>
      <c r="R12" s="202"/>
      <c r="S12" s="202"/>
      <c r="T12" s="202"/>
      <c r="U12" s="202"/>
      <c r="V12" s="202"/>
      <c r="W12" s="202"/>
      <c r="X12" s="202"/>
      <c r="Y12" s="202"/>
      <c r="Z12" s="202"/>
      <c r="AA12" s="202"/>
      <c r="AB12" s="201"/>
      <c r="AC12" s="201"/>
    </row>
    <row r="13" spans="1:29" ht="34.799999999999997" customHeight="1">
      <c r="A13" s="235">
        <v>2025</v>
      </c>
      <c r="B13" s="208" t="s">
        <v>27</v>
      </c>
      <c r="C13" s="100" t="s">
        <v>181</v>
      </c>
      <c r="D13" s="98">
        <f>SUMIFS(T_Maint_Innofaso!G:G,T_Maint_Innofaso!B:B,A$11,T_Maint_Innofaso!C:C,B13,T_Maint_Innofaso!F:F,C13,T_Maint_Innofaso!D:D,compilation!D$8)</f>
        <v>2</v>
      </c>
      <c r="E13" s="98">
        <f>SUMIFS(T_Maint_Innofaso!G:G,T_Maint_Innofaso!B:B,A$11,T_Maint_Innofaso!C:C,B13,T_Maint_Innofaso!F:F,C13,T_Maint_Innofaso!D:D,E$8)</f>
        <v>1</v>
      </c>
      <c r="F13" s="98">
        <f>SUMIFS(T_Maint_Innofaso!G:G,T_Maint_Innofaso!B:B,A$11,T_Maint_Innofaso!C:C,B13,T_Maint_Innofaso!F:F,C13,T_Maint_Innofaso!D:D,F$8)</f>
        <v>34.5</v>
      </c>
      <c r="G13" s="98">
        <f>SUMIFS(T_Maint_Innofaso!G:G,T_Maint_Innofaso!B:B,A$11,T_Maint_Innofaso!C:C,B13,T_Maint_Innofaso!F:F,C13,T_Maint_Innofaso!D:D,G$8)</f>
        <v>1</v>
      </c>
      <c r="H13" s="98">
        <f>SUMIFS(T_Maint_Innofaso!G:G,T_Maint_Innofaso!B:B,A$11,T_Maint_Innofaso!C:C,B13,T_Maint_Innofaso!F:F,C13,T_Maint_Innofaso!D:D,H$8)</f>
        <v>1</v>
      </c>
      <c r="I13" s="98">
        <f>SUMIFS(T_Maint_Innofaso!G:G,T_Maint_Innofaso!B:B,A$11,T_Maint_Innofaso!C:C,B13,T_Maint_Innofaso!F:F,C13,T_Maint_Innofaso!D:D,I$8)</f>
        <v>47.57</v>
      </c>
      <c r="J13" s="98">
        <f>SUMIFS(T_Maint_Innofaso!G:G,T_Maint_Innofaso!B:B,A$11,T_Maint_Innofaso!C:C,B13,T_Maint_Innofaso!F:F,C13,T_Maint_Innofaso!D:D,J$8)</f>
        <v>20.5</v>
      </c>
      <c r="K13" s="98">
        <f>SUMIFS(T_Maint_Innofaso!G:G,T_Maint_Innofaso!B:B,A$11,T_Maint_Innofaso!C:C,B13,T_Maint_Innofaso!F:F,C13,T_Maint_Innofaso!D:D,K$8)</f>
        <v>1</v>
      </c>
      <c r="L13" s="98">
        <f>SUMIFS(T_Maint_Innofaso!G:G,T_Maint_Innofaso!B:B,A$11,T_Maint_Innofaso!C:C,B13,T_Maint_Innofaso!F:F,C13,T_Maint_Innofaso!D:D,L$8)</f>
        <v>0</v>
      </c>
      <c r="M13" s="98">
        <f>SUMIFS(T_Maint_Innofaso!G:G,T_Maint_Innofaso!B:B,A$11,T_Maint_Innofaso!C:C,B13,T_Maint_Innofaso!F:F,C13,T_Maint_Innofaso!D:D,M$8)</f>
        <v>0</v>
      </c>
      <c r="N13" s="98">
        <f>SUMIFS(T_Maint_Innofaso!G:G,T_Maint_Innofaso!B:B,A$11,T_Maint_Innofaso!C:C,B13,T_Maint_Innofaso!F:F,C13,T_Maint_Innofaso!D:D,N$8)</f>
        <v>0</v>
      </c>
      <c r="O13" s="98">
        <f>SUMIFS(T_Maint_Innofaso!G:G,T_Maint_Innofaso!B:B,A$11,T_Maint_Innofaso!C:C,B13,T_Maint_Innofaso!F:F,C13,T_Maint_Innofaso!D:D,O$8)</f>
        <v>0</v>
      </c>
      <c r="P13" s="99">
        <f t="shared" si="0"/>
        <v>108.57</v>
      </c>
      <c r="Q13" s="237">
        <f t="shared" ref="Q13" si="1">P13+P14</f>
        <v>139.57</v>
      </c>
      <c r="R13" s="202" t="s">
        <v>1347</v>
      </c>
      <c r="S13" s="202"/>
      <c r="T13" s="202"/>
      <c r="U13" s="202"/>
      <c r="V13" s="202"/>
      <c r="W13" s="201"/>
      <c r="X13" s="201"/>
      <c r="Y13" s="201"/>
      <c r="Z13" s="201"/>
      <c r="AA13" s="201"/>
      <c r="AB13" s="201"/>
      <c r="AC13" s="201"/>
    </row>
    <row r="14" spans="1:29" ht="33.6" customHeight="1">
      <c r="A14" s="236"/>
      <c r="B14" s="209"/>
      <c r="C14" s="97" t="s">
        <v>208</v>
      </c>
      <c r="D14" s="64">
        <f>SUMIFS(T_Maint_Innofaso!G:G,T_Maint_Innofaso!B:B,A$11,T_Maint_Innofaso!C:C,B13,T_Maint_Innofaso!F:F,C14,T_Maint_Innofaso!D:D,compilation!D$8)</f>
        <v>0</v>
      </c>
      <c r="E14" s="64">
        <f>SUMIFS(T_Maint_Innofaso!G:G,T_Maint_Innofaso!B:B,A$11,T_Maint_Innofaso!C:C,B13,T_Maint_Innofaso!F:F,C14,T_Maint_Innofaso!D:D,E$8)</f>
        <v>0</v>
      </c>
      <c r="F14" s="64">
        <f>SUMIFS(T_Maint_Innofaso!G:G,T_Maint_Innofaso!B:B,A$11,T_Maint_Innofaso!C:C,B13,T_Maint_Innofaso!F:F,C14,T_Maint_Innofaso!D:D,F$8)</f>
        <v>0</v>
      </c>
      <c r="G14" s="64">
        <f>SUMIFS(T_Maint_Innofaso!G:G,T_Maint_Innofaso!B:B,A$11,T_Maint_Innofaso!C:C,B13,T_Maint_Innofaso!F:F,C14,T_Maint_Innofaso!D:D,G$8)</f>
        <v>0.6</v>
      </c>
      <c r="H14" s="64">
        <f>SUMIFS(T_Maint_Innofaso!G:G,T_Maint_Innofaso!B:B,A$11,T_Maint_Innofaso!C:C,B13,T_Maint_Innofaso!F:F,C14,T_Maint_Innofaso!D:D,H$8)</f>
        <v>0</v>
      </c>
      <c r="I14" s="64">
        <f>SUMIFS(T_Maint_Innofaso!G:G,T_Maint_Innofaso!B:B,A$11,T_Maint_Innofaso!C:C,B13,T_Maint_Innofaso!F:F,C14,T_Maint_Innofaso!D:D,I$8)</f>
        <v>1.6</v>
      </c>
      <c r="J14" s="64">
        <f>SUMIFS(T_Maint_Innofaso!G:G,T_Maint_Innofaso!B:B,A$11,T_Maint_Innofaso!C:C,B13,T_Maint_Innofaso!F:F,C14,T_Maint_Innofaso!D:D,J$8)</f>
        <v>26.799999999999997</v>
      </c>
      <c r="K14" s="64">
        <f>SUMIFS(T_Maint_Innofaso!G:G,T_Maint_Innofaso!B:B,A$11,T_Maint_Innofaso!C:C,B13,T_Maint_Innofaso!F:F,C14,T_Maint_Innofaso!D:D,K$8)</f>
        <v>2</v>
      </c>
      <c r="L14" s="64">
        <f>SUMIFS(T_Maint_Innofaso!G:G,T_Maint_Innofaso!B:B,A$11,T_Maint_Innofaso!C:C,B13,T_Maint_Innofaso!F:F,C14,T_Maint_Innofaso!D:D,L$8)</f>
        <v>0</v>
      </c>
      <c r="M14" s="66">
        <f>SUMIFS(T_Maint_Innofaso!G:G,T_Maint_Innofaso!B:B,A$11,T_Maint_Innofaso!C:C,B13,T_Maint_Innofaso!F:F,C14,T_Maint_Innofaso!D:D,M$8)</f>
        <v>0</v>
      </c>
      <c r="N14" s="66">
        <f>SUMIFS(T_Maint_Innofaso!G:G,T_Maint_Innofaso!B:B,A$11,T_Maint_Innofaso!C:C,B13,T_Maint_Innofaso!F:F,C14,T_Maint_Innofaso!D:D,N$8)</f>
        <v>0</v>
      </c>
      <c r="O14" s="66">
        <f>SUMIFS(T_Maint_Innofaso!G:G,T_Maint_Innofaso!B:B,A$11,T_Maint_Innofaso!C:C,B13,T_Maint_Innofaso!F:F,C14,T_Maint_Innofaso!D:D,O$8)</f>
        <v>0</v>
      </c>
      <c r="P14" s="84">
        <f t="shared" si="0"/>
        <v>30.999999999999996</v>
      </c>
      <c r="Q14" s="237"/>
      <c r="R14" s="202"/>
      <c r="S14" s="202"/>
      <c r="T14" s="202"/>
      <c r="U14" s="202"/>
      <c r="V14" s="202"/>
      <c r="W14" s="201"/>
      <c r="X14" s="201"/>
      <c r="Y14" s="201"/>
      <c r="Z14" s="201"/>
      <c r="AA14" s="201"/>
      <c r="AB14" s="201"/>
      <c r="AC14" s="201"/>
    </row>
    <row r="15" spans="1:29" ht="34.200000000000003" customHeight="1">
      <c r="A15" s="235">
        <v>2025</v>
      </c>
      <c r="B15" s="204" t="s">
        <v>28</v>
      </c>
      <c r="C15" s="100" t="s">
        <v>181</v>
      </c>
      <c r="D15" s="98">
        <f>SUMIFS(T_Maint_Innofaso!G:G,T_Maint_Innofaso!B:B,A$11,T_Maint_Innofaso!C:C,B15,T_Maint_Innofaso!F:F,C15,T_Maint_Innofaso!D:D,compilation!D$8)</f>
        <v>2</v>
      </c>
      <c r="E15" s="98">
        <f>SUMIFS(T_Maint_Innofaso!G:G,T_Maint_Innofaso!B:B,A$11,T_Maint_Innofaso!C:C,B15,T_Maint_Innofaso!F:F,C15,T_Maint_Innofaso!D:D,E$8)</f>
        <v>1</v>
      </c>
      <c r="F15" s="98">
        <f>SUMIFS(T_Maint_Innofaso!G:G,T_Maint_Innofaso!B:B,A$11,T_Maint_Innofaso!C:C,B15,T_Maint_Innofaso!F:F,C15,T_Maint_Innofaso!D:D,F$8)</f>
        <v>6.5</v>
      </c>
      <c r="G15" s="98">
        <f>SUMIFS(T_Maint_Innofaso!G:G,T_Maint_Innofaso!B:B,A$11,T_Maint_Innofaso!C:C,B15,T_Maint_Innofaso!F:F,C15,T_Maint_Innofaso!D:D,G$8)</f>
        <v>1</v>
      </c>
      <c r="H15" s="98">
        <f>SUMIFS(T_Maint_Innofaso!G:G,T_Maint_Innofaso!B:B,A$11,T_Maint_Innofaso!C:C,B15,T_Maint_Innofaso!F:F,C15,T_Maint_Innofaso!D:D,H$8)</f>
        <v>1.5</v>
      </c>
      <c r="I15" s="98">
        <f>SUMIFS(T_Maint_Innofaso!G:G,T_Maint_Innofaso!B:B,A$11,T_Maint_Innofaso!C:C,B15,T_Maint_Innofaso!F:F,C15,T_Maint_Innofaso!D:D,I$8)</f>
        <v>40.67</v>
      </c>
      <c r="J15" s="98">
        <f>SUMIFS(T_Maint_Innofaso!G:G,T_Maint_Innofaso!B:B,A$11,T_Maint_Innofaso!C:C,B15,T_Maint_Innofaso!F:F,C15,T_Maint_Innofaso!D:D,J$8)</f>
        <v>9</v>
      </c>
      <c r="K15" s="98">
        <f>SUMIFS(T_Maint_Innofaso!G:G,T_Maint_Innofaso!B:B,A$11,T_Maint_Innofaso!C:C,B15,T_Maint_Innofaso!F:F,C15,T_Maint_Innofaso!D:D,K$8)</f>
        <v>1.5</v>
      </c>
      <c r="L15" s="98">
        <f>SUMIFS(T_Maint_Innofaso!G:G,T_Maint_Innofaso!B:B,A$11,T_Maint_Innofaso!C:C,B15,T_Maint_Innofaso!F:F,C15,T_Maint_Innofaso!D:D,L$8)</f>
        <v>0</v>
      </c>
      <c r="M15" s="98">
        <f>SUMIFS(T_Maint_Innofaso!G:G,T_Maint_Innofaso!B:B,A$11,T_Maint_Innofaso!C:C,B15,T_Maint_Innofaso!F:F,C15,T_Maint_Innofaso!D:D,M$8)</f>
        <v>0</v>
      </c>
      <c r="N15" s="98">
        <f>SUMIFS(T_Maint_Innofaso!G:G,T_Maint_Innofaso!B:B,A$11,T_Maint_Innofaso!C:C,B15,T_Maint_Innofaso!F:F,C15,T_Maint_Innofaso!D:D,N$8)</f>
        <v>0</v>
      </c>
      <c r="O15" s="98">
        <f>SUMIFS(T_Maint_Innofaso!G:G,T_Maint_Innofaso!B:B,A$11,T_Maint_Innofaso!C:C,B15,T_Maint_Innofaso!F:F,C15,T_Maint_Innofaso!D:D,O$8)</f>
        <v>0</v>
      </c>
      <c r="P15" s="99">
        <f t="shared" si="0"/>
        <v>63.17</v>
      </c>
      <c r="Q15" s="237">
        <f t="shared" ref="Q15" si="2">P15+P16</f>
        <v>102.92</v>
      </c>
      <c r="R15" s="202" t="s">
        <v>1443</v>
      </c>
      <c r="S15" s="202"/>
      <c r="T15" s="202"/>
      <c r="U15" s="202"/>
      <c r="V15" s="202"/>
      <c r="W15" s="202" t="s">
        <v>1444</v>
      </c>
      <c r="X15" s="202"/>
      <c r="Y15" s="202"/>
      <c r="Z15" s="202"/>
      <c r="AA15" s="202"/>
      <c r="AB15" s="201" t="s">
        <v>1445</v>
      </c>
      <c r="AC15" s="203">
        <v>45838</v>
      </c>
    </row>
    <row r="16" spans="1:29" ht="34.799999999999997" customHeight="1">
      <c r="A16" s="236"/>
      <c r="B16" s="205"/>
      <c r="C16" s="97" t="s">
        <v>208</v>
      </c>
      <c r="D16" s="64">
        <f>SUMIFS(T_Maint_Innofaso!G:G,T_Maint_Innofaso!B:B,A$11,T_Maint_Innofaso!C:C,B15,T_Maint_Innofaso!F:F,C16,T_Maint_Innofaso!D:D,compilation!D$8)</f>
        <v>6.4</v>
      </c>
      <c r="E16" s="64">
        <f>SUMIFS(T_Maint_Innofaso!G:G,T_Maint_Innofaso!B:B,A$11,T_Maint_Innofaso!C:C,B15,T_Maint_Innofaso!F:F,C16,T_Maint_Innofaso!D:D,E$8)</f>
        <v>1</v>
      </c>
      <c r="F16" s="64">
        <f>SUMIFS(T_Maint_Innofaso!G:G,T_Maint_Innofaso!B:B,A$11,T_Maint_Innofaso!C:C,B15,T_Maint_Innofaso!F:F,C16,T_Maint_Innofaso!D:D,F$8)</f>
        <v>0</v>
      </c>
      <c r="G16" s="64">
        <f>SUMIFS(T_Maint_Innofaso!G:G,T_Maint_Innofaso!B:B,A$11,T_Maint_Innofaso!C:C,B15,T_Maint_Innofaso!F:F,C16,T_Maint_Innofaso!D:D,G$8)</f>
        <v>0</v>
      </c>
      <c r="H16" s="64">
        <f>SUMIFS(T_Maint_Innofaso!G:G,T_Maint_Innofaso!B:B,A$11,T_Maint_Innofaso!C:C,B15,T_Maint_Innofaso!F:F,C16,T_Maint_Innofaso!D:D,H$8)</f>
        <v>0</v>
      </c>
      <c r="I16" s="64">
        <f>SUMIFS(T_Maint_Innofaso!G:G,T_Maint_Innofaso!B:B,A$11,T_Maint_Innofaso!C:C,B15,T_Maint_Innofaso!F:F,C16,T_Maint_Innofaso!D:D,I$8)</f>
        <v>0.5</v>
      </c>
      <c r="J16" s="64">
        <f>SUMIFS(T_Maint_Innofaso!G:G,T_Maint_Innofaso!B:B,A$11,T_Maint_Innofaso!C:C,B15,T_Maint_Innofaso!F:F,C16,T_Maint_Innofaso!D:D,J$8)</f>
        <v>28</v>
      </c>
      <c r="K16" s="64">
        <f>SUMIFS(T_Maint_Innofaso!G:G,T_Maint_Innofaso!B:B,A$11,T_Maint_Innofaso!C:C,B15,T_Maint_Innofaso!F:F,C16,T_Maint_Innofaso!D:D,K$8)</f>
        <v>0</v>
      </c>
      <c r="L16" s="64">
        <f>SUMIFS(T_Maint_Innofaso!G:G,T_Maint_Innofaso!B:B,A$11,T_Maint_Innofaso!C:C,B15,T_Maint_Innofaso!F:F,C16,T_Maint_Innofaso!D:D,L$8)</f>
        <v>3.8499999999999996</v>
      </c>
      <c r="M16" s="66">
        <f>SUMIFS(T_Maint_Innofaso!G:G,T_Maint_Innofaso!B:B,A$11,T_Maint_Innofaso!C:C,B15,T_Maint_Innofaso!F:F,C16,T_Maint_Innofaso!D:D,M$8)</f>
        <v>0</v>
      </c>
      <c r="N16" s="66">
        <f>SUMIFS(T_Maint_Innofaso!G:G,T_Maint_Innofaso!B:B,A$11,T_Maint_Innofaso!C:C,B15,T_Maint_Innofaso!F:F,C16,T_Maint_Innofaso!D:D,N$8)</f>
        <v>0</v>
      </c>
      <c r="O16" s="66">
        <f>SUMIFS(T_Maint_Innofaso!G:G,T_Maint_Innofaso!B:B,A$11,T_Maint_Innofaso!C:C,B15,T_Maint_Innofaso!F:F,C16,T_Maint_Innofaso!D:D,O$8)</f>
        <v>0</v>
      </c>
      <c r="P16" s="84">
        <f t="shared" si="0"/>
        <v>39.75</v>
      </c>
      <c r="Q16" s="237"/>
      <c r="R16" s="202"/>
      <c r="S16" s="202"/>
      <c r="T16" s="202"/>
      <c r="U16" s="202"/>
      <c r="V16" s="202"/>
      <c r="W16" s="202"/>
      <c r="X16" s="202"/>
      <c r="Y16" s="202"/>
      <c r="Z16" s="202"/>
      <c r="AA16" s="202"/>
      <c r="AB16" s="201"/>
      <c r="AC16" s="201"/>
    </row>
    <row r="17" spans="1:29" ht="32.4" customHeight="1">
      <c r="A17" s="235">
        <v>2025</v>
      </c>
      <c r="B17" s="208" t="s">
        <v>31</v>
      </c>
      <c r="C17" s="100" t="s">
        <v>181</v>
      </c>
      <c r="D17" s="98">
        <f>SUMIFS(T_Maint_Innofaso!G:G,T_Maint_Innofaso!B:B,A$11,T_Maint_Innofaso!C:C,B17,T_Maint_Innofaso!F:F,C17,T_Maint_Innofaso!D:D,compilation!D$8)</f>
        <v>9</v>
      </c>
      <c r="E17" s="98">
        <f>SUMIFS(T_Maint_Innofaso!G:G,T_Maint_Innofaso!B:B,A$11,T_Maint_Innofaso!C:C,B17,T_Maint_Innofaso!F:F,C17,T_Maint_Innofaso!D:D,E$8)</f>
        <v>1</v>
      </c>
      <c r="F17" s="98">
        <f>SUMIFS(T_Maint_Innofaso!G:G,T_Maint_Innofaso!B:B,A$11,T_Maint_Innofaso!C:C,B17,T_Maint_Innofaso!F:F,C17,T_Maint_Innofaso!D:D,F$8)</f>
        <v>3</v>
      </c>
      <c r="G17" s="98">
        <f>SUMIFS(T_Maint_Innofaso!G:G,T_Maint_Innofaso!B:B,A$11,T_Maint_Innofaso!C:C,B17,T_Maint_Innofaso!F:F,C17,T_Maint_Innofaso!D:D,G$8)</f>
        <v>1</v>
      </c>
      <c r="H17" s="98">
        <f>SUMIFS(T_Maint_Innofaso!G:G,T_Maint_Innofaso!B:B,A$11,T_Maint_Innofaso!C:C,B17,T_Maint_Innofaso!F:F,C17,T_Maint_Innofaso!D:D,H$8)</f>
        <v>1</v>
      </c>
      <c r="I17" s="98">
        <f>SUMIFS(T_Maint_Innofaso!G:G,T_Maint_Innofaso!B:B,A17,T_Maint_Innofaso!C:C,B17,T_Maint_Innofaso!F:F,C17,T_Maint_Innofaso!D:D,compilation!I8)</f>
        <v>35.17</v>
      </c>
      <c r="J17" s="98">
        <f>SUMIFS(T_Maint_Innofaso!G:G,T_Maint_Innofaso!B:B,A$11,T_Maint_Innofaso!C:C,B17,T_Maint_Innofaso!F:F,C17,T_Maint_Innofaso!D:D,J$8)</f>
        <v>7</v>
      </c>
      <c r="K17" s="98">
        <f>SUMIFS(T_Maint_Innofaso!G:G,T_Maint_Innofaso!B:B,A$11,T_Maint_Innofaso!C:C,B17,T_Maint_Innofaso!F:F,C17,T_Maint_Innofaso!D:D,K$8)</f>
        <v>1</v>
      </c>
      <c r="L17" s="98">
        <f>SUMIFS(T_Maint_Innofaso!G:G,T_Maint_Innofaso!B:B,A$11,T_Maint_Innofaso!C:C,B17,T_Maint_Innofaso!F:F,C17,T_Maint_Innofaso!D:D,L$8)</f>
        <v>0</v>
      </c>
      <c r="M17" s="98">
        <f>SUMIFS(T_Maint_Innofaso!G:G,T_Maint_Innofaso!B:B,A$11,T_Maint_Innofaso!C:C,B17,T_Maint_Innofaso!F:F,C17,T_Maint_Innofaso!D:D,M$8)</f>
        <v>0</v>
      </c>
      <c r="N17" s="98">
        <f>SUMIFS(T_Maint_Innofaso!G:G,T_Maint_Innofaso!B:B,A$11,T_Maint_Innofaso!C:C,B17,T_Maint_Innofaso!F:F,C17,T_Maint_Innofaso!D:D,N$8)</f>
        <v>0</v>
      </c>
      <c r="O17" s="98">
        <f>SUMIFS(T_Maint_Innofaso!G:G,T_Maint_Innofaso!B:B,A$11,T_Maint_Innofaso!C:C,B17,T_Maint_Innofaso!F:F,C17,T_Maint_Innofaso!D:D,O$8)</f>
        <v>0</v>
      </c>
      <c r="P17" s="99">
        <f t="shared" si="0"/>
        <v>58.17</v>
      </c>
      <c r="Q17" s="237">
        <f t="shared" ref="Q17" si="3">P17+P18</f>
        <v>97.97</v>
      </c>
      <c r="R17" s="202" t="s">
        <v>1436</v>
      </c>
      <c r="S17" s="202"/>
      <c r="T17" s="202"/>
      <c r="U17" s="202"/>
      <c r="V17" s="202"/>
      <c r="W17" s="202" t="s">
        <v>1437</v>
      </c>
      <c r="X17" s="202"/>
      <c r="Y17" s="202"/>
      <c r="Z17" s="202"/>
      <c r="AA17" s="202"/>
      <c r="AB17" s="201" t="s">
        <v>1446</v>
      </c>
      <c r="AC17" s="206">
        <v>45838</v>
      </c>
    </row>
    <row r="18" spans="1:29" ht="34.200000000000003" customHeight="1">
      <c r="A18" s="236"/>
      <c r="B18" s="209"/>
      <c r="C18" s="97" t="s">
        <v>208</v>
      </c>
      <c r="D18" s="64">
        <f>SUMIFS(T_Maint_Innofaso!G:G,T_Maint_Innofaso!B:B,A$11,T_Maint_Innofaso!C:C,B17,T_Maint_Innofaso!F:F,C18,T_Maint_Innofaso!D:D,compilation!D$8)</f>
        <v>2</v>
      </c>
      <c r="E18" s="64">
        <f>SUMIFS(T_Maint_Innofaso!G:G,T_Maint_Innofaso!B:B,A$11,T_Maint_Innofaso!C:C,B17,T_Maint_Innofaso!F:F,C18,T_Maint_Innofaso!D:D,E$8)</f>
        <v>0</v>
      </c>
      <c r="F18" s="64">
        <f>SUMIFS(T_Maint_Innofaso!G:G,T_Maint_Innofaso!B:B,A$11,T_Maint_Innofaso!C:C,B17,T_Maint_Innofaso!F:F,C18,T_Maint_Innofaso!D:D,F$8)</f>
        <v>8</v>
      </c>
      <c r="G18" s="64">
        <f>SUMIFS(T_Maint_Innofaso!G:G,T_Maint_Innofaso!B:B,A$11,T_Maint_Innofaso!C:C,B17,T_Maint_Innofaso!F:F,C16,T_Maint_Innofaso!D:D,G$8)</f>
        <v>1.5</v>
      </c>
      <c r="H18" s="64">
        <f>SUMIFS(T_Maint_Innofaso!G:G,T_Maint_Innofaso!B:B,A$11,T_Maint_Innofaso!C:C,B17,T_Maint_Innofaso!F:F,C18,T_Maint_Innofaso!D:D,H$8)</f>
        <v>0</v>
      </c>
      <c r="I18" s="64">
        <f>SUMIFS(T_Maint_Innofaso!G:G,T_Maint_Innofaso!B:B,A$11,T_Maint_Innofaso!C:C,B17,T_Maint_Innofaso!F:F,C18,T_Maint_Innofaso!D:D,I$8)</f>
        <v>0</v>
      </c>
      <c r="J18" s="64">
        <f>SUMIFS(T_Maint_Innofaso!G:G,T_Maint_Innofaso!B:B,A$11,T_Maint_Innofaso!C:C,B17,T_Maint_Innofaso!F:F,C18,T_Maint_Innofaso!D:D,J$8)</f>
        <v>21.8</v>
      </c>
      <c r="K18" s="64">
        <f>SUMIFS(T_Maint_Innofaso!G:G,T_Maint_Innofaso!B:B,A$11,T_Maint_Innofaso!C:C,B17,T_Maint_Innofaso!F:F,C18,T_Maint_Innofaso!D:D,K$8)</f>
        <v>0</v>
      </c>
      <c r="L18" s="64">
        <f>SUMIFS(T_Maint_Innofaso!G:G,T_Maint_Innofaso!B:B,A$11,T_Maint_Innofaso!C:C,B17,T_Maint_Innofaso!F:F,C18,T_Maint_Innofaso!D:D,L$8)</f>
        <v>6.5</v>
      </c>
      <c r="M18" s="66">
        <f>SUMIFS(T_Maint_Innofaso!G:G,T_Maint_Innofaso!B:B,A$11,T_Maint_Innofaso!C:C,B17,T_Maint_Innofaso!F:F,C18,T_Maint_Innofaso!D:D,M$8)</f>
        <v>0</v>
      </c>
      <c r="N18" s="66">
        <f>SUMIFS(T_Maint_Innofaso!G:G,T_Maint_Innofaso!B:B,A$11,T_Maint_Innofaso!C:C,B17,T_Maint_Innofaso!F:F,C18,T_Maint_Innofaso!D:D,N$8)</f>
        <v>0</v>
      </c>
      <c r="O18" s="66">
        <f>SUMIFS(T_Maint_Innofaso!G:G,T_Maint_Innofaso!B:B,A$11,T_Maint_Innofaso!C:C,B17,T_Maint_Innofaso!F:F,C18,T_Maint_Innofaso!D:D,O$8)</f>
        <v>0</v>
      </c>
      <c r="P18" s="84">
        <f t="shared" si="0"/>
        <v>39.799999999999997</v>
      </c>
      <c r="Q18" s="237"/>
      <c r="R18" s="202"/>
      <c r="S18" s="202"/>
      <c r="T18" s="202"/>
      <c r="U18" s="202"/>
      <c r="V18" s="202"/>
      <c r="W18" s="202"/>
      <c r="X18" s="202"/>
      <c r="Y18" s="202"/>
      <c r="Z18" s="202"/>
      <c r="AA18" s="202"/>
      <c r="AB18" s="201"/>
      <c r="AC18" s="201"/>
    </row>
    <row r="19" spans="1:29" ht="34.799999999999997" customHeight="1">
      <c r="A19" s="235">
        <v>2025</v>
      </c>
      <c r="B19" s="204" t="s">
        <v>33</v>
      </c>
      <c r="C19" s="100" t="s">
        <v>181</v>
      </c>
      <c r="D19" s="98">
        <f>SUMIFS(T_Maint_Innofaso!G:G,T_Maint_Innofaso!B:B,A$11,T_Maint_Innofaso!C:C,B19,T_Maint_Innofaso!F:F,C19,T_Maint_Innofaso!D:D,compilation!D$8)</f>
        <v>2</v>
      </c>
      <c r="E19" s="98">
        <f>SUMIFS(T_Maint_Innofaso!G:G,T_Maint_Innofaso!B:B,A$11,T_Maint_Innofaso!C:C,B19,T_Maint_Innofaso!F:F,C19,T_Maint_Innofaso!D:D,E$8)</f>
        <v>1</v>
      </c>
      <c r="F19" s="98">
        <f>SUMIFS(T_Maint_Innofaso!G:G,T_Maint_Innofaso!B:B,A$11,T_Maint_Innofaso!C:C,B19,T_Maint_Innofaso!F:F,C19,T_Maint_Innofaso!D:D,F$8)</f>
        <v>3</v>
      </c>
      <c r="G19" s="98">
        <f>SUMIFS(T_Maint_Innofaso!G:G,T_Maint_Innofaso!B:B,A$11,T_Maint_Innofaso!C:C,B19,T_Maint_Innofaso!F:F,C19,T_Maint_Innofaso!D:D,G$8)</f>
        <v>1</v>
      </c>
      <c r="H19" s="98">
        <f>SUMIFS(T_Maint_Innofaso!G:G,T_Maint_Innofaso!B:B,A$11,T_Maint_Innofaso!C:C,B19,T_Maint_Innofaso!F:F,C19,T_Maint_Innofaso!D:D,H$8)</f>
        <v>1</v>
      </c>
      <c r="I19" s="98">
        <f>SUMIFS(T_Maint_Innofaso!G:G,T_Maint_Innofaso!B:B,A19,T_Maint_Innofaso!C:C,B19,T_Maint_Innofaso!F:F,C19,T_Maint_Innofaso!D:D,I8)</f>
        <v>40.17</v>
      </c>
      <c r="J19" s="98">
        <f>SUMIFS(T_Maint_Innofaso!G:G,T_Maint_Innofaso!B:B,A$11,T_Maint_Innofaso!C:C,B19,T_Maint_Innofaso!F:F,C19,T_Maint_Innofaso!D:D,J$8)</f>
        <v>7</v>
      </c>
      <c r="K19" s="98">
        <f>SUMIFS(T_Maint_Innofaso!G:G,T_Maint_Innofaso!B:B,A$11,T_Maint_Innofaso!C:C,B19,T_Maint_Innofaso!F:F,C19,T_Maint_Innofaso!D:D,K$8)</f>
        <v>1</v>
      </c>
      <c r="L19" s="98">
        <f>SUMIFS(T_Maint_Innofaso!G:G,T_Maint_Innofaso!B:B,A$11,T_Maint_Innofaso!C:C,B19,T_Maint_Innofaso!F:F,C19,T_Maint_Innofaso!D:D,L$8)</f>
        <v>0</v>
      </c>
      <c r="M19" s="98">
        <f>SUMIFS(T_Maint_Innofaso!G:G,T_Maint_Innofaso!B:B,A$11,T_Maint_Innofaso!C:C,B19,T_Maint_Innofaso!F:F,C19,T_Maint_Innofaso!D:D,M$8)</f>
        <v>0</v>
      </c>
      <c r="N19" s="98">
        <f>SUMIFS(T_Maint_Innofaso!G:G,T_Maint_Innofaso!B:B,A$11,T_Maint_Innofaso!C:C,B19,T_Maint_Innofaso!F:F,C19,T_Maint_Innofaso!D:D,N$8)</f>
        <v>0</v>
      </c>
      <c r="O19" s="98">
        <f>SUMIFS(T_Maint_Innofaso!G:G,T_Maint_Innofaso!B:B,A$11,T_Maint_Innofaso!C:C,B19,T_Maint_Innofaso!F:F,C19,T_Maint_Innofaso!D:D,O$8)</f>
        <v>0</v>
      </c>
      <c r="P19" s="99">
        <f t="shared" si="0"/>
        <v>56.17</v>
      </c>
      <c r="Q19" s="237">
        <f t="shared" ref="Q19" si="4">P19+P20</f>
        <v>82.12</v>
      </c>
      <c r="R19" s="202"/>
      <c r="S19" s="202"/>
      <c r="T19" s="202"/>
      <c r="U19" s="202"/>
      <c r="V19" s="202"/>
      <c r="W19" s="202"/>
      <c r="X19" s="202"/>
      <c r="Y19" s="202"/>
      <c r="Z19" s="202"/>
      <c r="AA19" s="202"/>
      <c r="AB19" s="201"/>
      <c r="AC19" s="201"/>
    </row>
    <row r="20" spans="1:29" ht="34.799999999999997" customHeight="1">
      <c r="A20" s="236"/>
      <c r="B20" s="205"/>
      <c r="C20" s="97" t="s">
        <v>208</v>
      </c>
      <c r="D20" s="64">
        <f>SUMIFS(T_Maint_Innofaso!G:G,T_Maint_Innofaso!B:B,A$11,T_Maint_Innofaso!C:C,B19,T_Maint_Innofaso!F:F,C20,T_Maint_Innofaso!D:D,compilation!D$8)</f>
        <v>3</v>
      </c>
      <c r="E20" s="64">
        <f>SUMIFS(T_Maint_Innofaso!G:G,T_Maint_Innofaso!B:B,A$11,T_Maint_Innofaso!C:C,B19,T_Maint_Innofaso!F:F,C20,T_Maint_Innofaso!D:D,E$8)</f>
        <v>0</v>
      </c>
      <c r="F20" s="64">
        <f>SUMIFS(T_Maint_Innofaso!G:G,T_Maint_Innofaso!B:B,A$11,T_Maint_Innofaso!C:C,B19,T_Maint_Innofaso!F:F,C20,T_Maint_Innofaso!D:D,F$8)</f>
        <v>1</v>
      </c>
      <c r="G20" s="64">
        <f>SUMIFS(T_Maint_Innofaso!G:G,T_Maint_Innofaso!B:B,A$11,T_Maint_Innofaso!C:C,B20,T_Maint_Innofaso!F:F,C20,T_Maint_Innofaso!D:D,G$8)</f>
        <v>0</v>
      </c>
      <c r="H20" s="64">
        <f>SUMIFS(T_Maint_Innofaso!G:G,T_Maint_Innofaso!B:B,A$11,T_Maint_Innofaso!C:C,B19,T_Maint_Innofaso!F:F,C20,T_Maint_Innofaso!D:D,H$8)</f>
        <v>0</v>
      </c>
      <c r="I20" s="64">
        <f>SUMIFS(T_Maint_Innofaso!G:G,T_Maint_Innofaso!B:B,A$11,T_Maint_Innofaso!C:C,B19,T_Maint_Innofaso!F:F,C20,T_Maint_Innofaso!D:D,I$8)</f>
        <v>0</v>
      </c>
      <c r="J20" s="64">
        <f>SUMIFS(T_Maint_Innofaso!G:G,T_Maint_Innofaso!B:B,A$11,T_Maint_Innofaso!C:C,B19,T_Maint_Innofaso!F:F,C20,T_Maint_Innofaso!D:D,J$8)</f>
        <v>11.25</v>
      </c>
      <c r="K20" s="64">
        <f>SUMIFS(T_Maint_Innofaso!G:G,T_Maint_Innofaso!B:B,A$11,T_Maint_Innofaso!C:C,B19,T_Maint_Innofaso!F:F,C20,T_Maint_Innofaso!D:D,K$8)</f>
        <v>10.7</v>
      </c>
      <c r="L20" s="64">
        <f>SUMIFS(T_Maint_Innofaso!G:G,T_Maint_Innofaso!B:B,A$11,T_Maint_Innofaso!C:C,B19,T_Maint_Innofaso!F:F,C20,T_Maint_Innofaso!D:D,L$8)</f>
        <v>0</v>
      </c>
      <c r="M20" s="66">
        <f>SUMIFS(T_Maint_Innofaso!G:G,T_Maint_Innofaso!B:B,A$11,T_Maint_Innofaso!C:C,B19,T_Maint_Innofaso!F:F,C20,T_Maint_Innofaso!D:D,M$8)</f>
        <v>0</v>
      </c>
      <c r="N20" s="66">
        <f>SUMIFS(T_Maint_Innofaso!G:G,T_Maint_Innofaso!B:B,A$11,T_Maint_Innofaso!C:C,B19,T_Maint_Innofaso!F:F,C20,T_Maint_Innofaso!D:D,N$8)</f>
        <v>0</v>
      </c>
      <c r="O20" s="66">
        <f>SUMIFS(T_Maint_Innofaso!G:G,T_Maint_Innofaso!B:B,A$11,T_Maint_Innofaso!C:C,B19,T_Maint_Innofaso!F:F,C20,T_Maint_Innofaso!D:D,O$8)</f>
        <v>0</v>
      </c>
      <c r="P20" s="65">
        <f t="shared" si="0"/>
        <v>25.95</v>
      </c>
      <c r="Q20" s="237"/>
      <c r="R20" s="202"/>
      <c r="S20" s="202"/>
      <c r="T20" s="202"/>
      <c r="U20" s="202"/>
      <c r="V20" s="202"/>
      <c r="W20" s="202"/>
      <c r="X20" s="202"/>
      <c r="Y20" s="202"/>
      <c r="Z20" s="202"/>
      <c r="AA20" s="202"/>
      <c r="AB20" s="201"/>
      <c r="AC20" s="201"/>
    </row>
    <row r="21" spans="1:29" ht="31.2" customHeight="1">
      <c r="A21" s="235">
        <v>2025</v>
      </c>
      <c r="B21" s="208" t="s">
        <v>34</v>
      </c>
      <c r="C21" s="100" t="s">
        <v>181</v>
      </c>
      <c r="D21" s="98">
        <f>SUMIFS(T_Maint_Innofaso!G:G,T_Maint_Innofaso!B:B,A$11,T_Maint_Innofaso!C:C,B21,T_Maint_Innofaso!F:F,C21,T_Maint_Innofaso!D:D,compilation!D$8)</f>
        <v>33</v>
      </c>
      <c r="E21" s="98">
        <f>SUMIFS(T_Maint_Innofaso!G:G,T_Maint_Innofaso!B:B,A$11,T_Maint_Innofaso!C:C,B21,T_Maint_Innofaso!F:F,C21,T_Maint_Innofaso!D:D,compilation!E$8)</f>
        <v>1</v>
      </c>
      <c r="F21" s="98">
        <f>SUMIFS(T_Maint_Innofaso!G:G,T_Maint_Innofaso!B:B,A$11,T_Maint_Innofaso!C:C,B21,T_Maint_Innofaso!F:F,C21,T_Maint_Innofaso!D:D,F$8)</f>
        <v>3</v>
      </c>
      <c r="G21" s="98">
        <f>SUMIFS(T_Maint_Innofaso!G:G,T_Maint_Innofaso!B:B,A$11,T_Maint_Innofaso!C:C,B21,T_Maint_Innofaso!F:F,C21,T_Maint_Innofaso!D:D,G$8)</f>
        <v>1</v>
      </c>
      <c r="H21" s="98">
        <f>SUMIFS(T_Maint_Innofaso!G:G,T_Maint_Innofaso!B:B,A$11,T_Maint_Innofaso!C:C,B21,T_Maint_Innofaso!F:F,C21,T_Maint_Innofaso!D:D,H$8)</f>
        <v>1</v>
      </c>
      <c r="I21" s="98">
        <f>SUMIFS(T_Maint_Innofaso!G:G,T_Maint_Innofaso!B:B,A$11,T_Maint_Innofaso!C:C,B21,T_Maint_Innofaso!F:F,C21,T_Maint_Innofaso!D:D,I$8)</f>
        <v>31.67</v>
      </c>
      <c r="J21" s="98">
        <f>SUMIFS(T_Maint_Innofaso!G:G,T_Maint_Innofaso!B:B,A$11,T_Maint_Innofaso!C:C,B21,T_Maint_Innofaso!F:F,C21,T_Maint_Innofaso!D:D,J$8)</f>
        <v>7</v>
      </c>
      <c r="K21" s="98">
        <f>SUMIFS(T_Maint_Innofaso!G:G,T_Maint_Innofaso!B:B,A$11,T_Maint_Innofaso!C:C,B21,T_Maint_Innofaso!F:F,C21,T_Maint_Innofaso!D:D,K$8)</f>
        <v>1</v>
      </c>
      <c r="L21" s="98">
        <f>SUMIFS(T_Maint_Innofaso!G:G,T_Maint_Innofaso!B:B,A$11,T_Maint_Innofaso!C:C,B21,T_Maint_Innofaso!F:F,C21,T_Maint_Innofaso!D:D,L$8)</f>
        <v>0</v>
      </c>
      <c r="M21" s="98">
        <f>SUMIFS(T_Maint_Innofaso!G:G,T_Maint_Innofaso!B:B,A$11,T_Maint_Innofaso!C:C,B21,T_Maint_Innofaso!F:F,C21,T_Maint_Innofaso!D:D,M$8)</f>
        <v>0</v>
      </c>
      <c r="N21" s="98">
        <f>SUMIFS(T_Maint_Innofaso!G:G,T_Maint_Innofaso!B:B,A$11,T_Maint_Innofaso!C:C,B21,T_Maint_Innofaso!F:F,C21,T_Maint_Innofaso!D:D,N$8)</f>
        <v>0</v>
      </c>
      <c r="O21" s="98">
        <f>SUMIFS(T_Maint_Innofaso!G:G,T_Maint_Innofaso!B:B,A$11,T_Maint_Innofaso!C:C,B21,T_Maint_Innofaso!F:F,C21,T_Maint_Innofaso!D:D,O$8)</f>
        <v>0</v>
      </c>
      <c r="P21" s="99">
        <f t="shared" si="0"/>
        <v>78.67</v>
      </c>
      <c r="Q21" s="237">
        <f t="shared" ref="Q21" si="5">P21+P22</f>
        <v>125.02000000000001</v>
      </c>
      <c r="R21" s="202" t="s">
        <v>1436</v>
      </c>
      <c r="S21" s="202"/>
      <c r="T21" s="202"/>
      <c r="U21" s="202"/>
      <c r="V21" s="202"/>
      <c r="W21" s="202" t="s">
        <v>1507</v>
      </c>
      <c r="X21" s="202"/>
      <c r="Y21" s="202"/>
      <c r="Z21" s="202"/>
      <c r="AA21" s="202"/>
      <c r="AB21" s="201" t="s">
        <v>1508</v>
      </c>
      <c r="AC21" s="201" t="s">
        <v>1509</v>
      </c>
    </row>
    <row r="22" spans="1:29" ht="31.2" customHeight="1">
      <c r="A22" s="236"/>
      <c r="B22" s="209"/>
      <c r="C22" s="97" t="s">
        <v>208</v>
      </c>
      <c r="D22" s="64">
        <f>SUMIFS(T_Maint_Innofaso!G:G,T_Maint_Innofaso!B:B,A$11,T_Maint_Innofaso!C:C,B21,T_Maint_Innofaso!F:F,C22,T_Maint_Innofaso!D:D,compilation!D$8)</f>
        <v>0</v>
      </c>
      <c r="E22" s="64">
        <f>SUMIFS(T_Maint_Innofaso!G:G,T_Maint_Innofaso!B:B,A$11,T_Maint_Innofaso!C:C,B21,T_Maint_Innofaso!F:F,C22,T_Maint_Innofaso!D:D,E$8)</f>
        <v>0</v>
      </c>
      <c r="F22" s="64">
        <f>SUMIFS(T_Maint_Innofaso!G:G,T_Maint_Innofaso!B:B,A$11,T_Maint_Innofaso!C:C,B21,T_Maint_Innofaso!F:F,C22,T_Maint_Innofaso!D:D,F$8)</f>
        <v>4.7</v>
      </c>
      <c r="G22" s="64">
        <f>SUMIFS(T_Maint_Innofaso!G:G,T_Maint_Innofaso!B:B,A$11,T_Maint_Innofaso!C:C,B21,T_Maint_Innofaso!F:F,C22,T_Maint_Innofaso!D:D,G$8)</f>
        <v>0</v>
      </c>
      <c r="H22" s="64">
        <f>SUMIFS(T_Maint_Innofaso!G:G,T_Maint_Innofaso!B:B,A$11,T_Maint_Innofaso!C:C,B21,T_Maint_Innofaso!F:F,C22,T_Maint_Innofaso!D:D,H$8)</f>
        <v>0</v>
      </c>
      <c r="I22" s="64">
        <f>SUMIFS(T_Maint_Innofaso!G:G,T_Maint_Innofaso!B:B,A$11,T_Maint_Innofaso!C:C,B21,T_Maint_Innofaso!F:F,C22,T_Maint_Innofaso!D:D,I$8)</f>
        <v>3.4</v>
      </c>
      <c r="J22" s="64">
        <f>SUMIFS(T_Maint_Innofaso!G:G,T_Maint_Innofaso!B:B,A$11,T_Maint_Innofaso!C:C,B21,T_Maint_Innofaso!F:F,C22,T_Maint_Innofaso!D:D,J$8)</f>
        <v>23.8</v>
      </c>
      <c r="K22" s="64">
        <f>SUMIFS(T_Maint_Innofaso!G:G,T_Maint_Innofaso!B:B,A$11,T_Maint_Innofaso!C:C,B21,T_Maint_Innofaso!F:F,C22,T_Maint_Innofaso!D:D,K$8)</f>
        <v>5</v>
      </c>
      <c r="L22" s="64">
        <f>SUMIFS(T_Maint_Innofaso!G:G,T_Maint_Innofaso!B:B,A$11,T_Maint_Innofaso!C:C,B21,T_Maint_Innofaso!F:F,C22,T_Maint_Innofaso!D:D,L$8)</f>
        <v>0.95</v>
      </c>
      <c r="M22" s="66">
        <f>SUMIFS(T_Maint_Innofaso!G:G,T_Maint_Innofaso!B:B,A$11,T_Maint_Innofaso!C:C,B21,T_Maint_Innofaso!F:F,C22,T_Maint_Innofaso!D:D,M$8)</f>
        <v>8.5</v>
      </c>
      <c r="N22" s="66">
        <f>SUMIFS(T_Maint_Innofaso!G:G,T_Maint_Innofaso!B:B,A$11,T_Maint_Innofaso!C:C,B21,T_Maint_Innofaso!F:F,C22,T_Maint_Innofaso!D:D,N$8)</f>
        <v>0</v>
      </c>
      <c r="O22" s="66">
        <f>SUMIFS(T_Maint_Innofaso!G:G,T_Maint_Innofaso!B:B,A$11,T_Maint_Innofaso!C:C,B21,T_Maint_Innofaso!F:F,C22,T_Maint_Innofaso!D:D,O$8)</f>
        <v>0</v>
      </c>
      <c r="P22" s="65">
        <f t="shared" si="0"/>
        <v>46.35</v>
      </c>
      <c r="Q22" s="237"/>
      <c r="R22" s="202"/>
      <c r="S22" s="202"/>
      <c r="T22" s="202"/>
      <c r="U22" s="202"/>
      <c r="V22" s="202"/>
      <c r="W22" s="202"/>
      <c r="X22" s="202"/>
      <c r="Y22" s="202"/>
      <c r="Z22" s="202"/>
      <c r="AA22" s="202"/>
      <c r="AB22" s="201"/>
      <c r="AC22" s="201"/>
    </row>
    <row r="23" spans="1:29" ht="32.4" customHeight="1">
      <c r="A23" s="235">
        <v>2025</v>
      </c>
      <c r="B23" s="204" t="s">
        <v>38</v>
      </c>
      <c r="C23" s="100" t="s">
        <v>181</v>
      </c>
      <c r="D23" s="98">
        <f>SUMIFS(T_Maint_Innofaso!G:G,T_Maint_Innofaso!B:B,A$11,T_Maint_Innofaso!C:C,B23,T_Maint_Innofaso!F:F,C23,T_Maint_Innofaso!D:D,compilation!D$8)</f>
        <v>2</v>
      </c>
      <c r="E23" s="98">
        <f>SUMIFS(T_Maint_Innofaso!G:G,T_Maint_Innofaso!B:B,A$11,T_Maint_Innofaso!C:C,B23,T_Maint_Innofaso!F:F,C23,T_Maint_Innofaso!D:D,E$8)</f>
        <v>1</v>
      </c>
      <c r="F23" s="98">
        <f>SUMIFS(T_Maint_Innofaso!G:G,T_Maint_Innofaso!B:B,A$11,T_Maint_Innofaso!C:C,B23,T_Maint_Innofaso!F:F,C23,T_Maint_Innofaso!D:D,F$8)</f>
        <v>3</v>
      </c>
      <c r="G23" s="98">
        <f>SUMIFS(T_Maint_Innofaso!G:G,T_Maint_Innofaso!B:B,A$11,T_Maint_Innofaso!C:C,B23,T_Maint_Innofaso!F:F,C23,T_Maint_Innofaso!D:D,G$8)</f>
        <v>1</v>
      </c>
      <c r="H23" s="98">
        <f>SUMIFS(T_Maint_Innofaso!G:G,T_Maint_Innofaso!B:B,A$11,T_Maint_Innofaso!C:C,B23,T_Maint_Innofaso!F:F,C23,T_Maint_Innofaso!D:D,H$8)</f>
        <v>1</v>
      </c>
      <c r="I23" s="98">
        <f>SUMIFS(T_Maint_Innofaso!G:G,T_Maint_Innofaso!B:B,A$11,T_Maint_Innofaso!C:C,B23,T_Maint_Innofaso!F:F,C23,T_Maint_Innofaso!D:D,I$8)</f>
        <v>31.67</v>
      </c>
      <c r="J23" s="98">
        <f>SUMIFS(T_Maint_Innofaso!G:G,T_Maint_Innofaso!B:B,A$11,T_Maint_Innofaso!C:C,B23,T_Maint_Innofaso!F:F,C23,T_Maint_Innofaso!D:D,J$8)</f>
        <v>7</v>
      </c>
      <c r="K23" s="98">
        <f>SUMIFS(T_Maint_Innofaso!G:G,T_Maint_Innofaso!B:B,A$11,T_Maint_Innofaso!C:C,B23,T_Maint_Innofaso!F:F,C23,T_Maint_Innofaso!D:D,K$8)</f>
        <v>1</v>
      </c>
      <c r="L23" s="98">
        <f>SUMIFS(T_Maint_Innofaso!G:G,T_Maint_Innofaso!B:B,A$11,T_Maint_Innofaso!C:C,B23,T_Maint_Innofaso!F:F,C23,T_Maint_Innofaso!D:D,L$8)</f>
        <v>4</v>
      </c>
      <c r="M23" s="98">
        <f>SUMIFS(T_Maint_Innofaso!G:G,T_Maint_Innofaso!B:B,A$11,T_Maint_Innofaso!C:C,B23,T_Maint_Innofaso!F:F,C23,T_Maint_Innofaso!D:D,M$8)</f>
        <v>0</v>
      </c>
      <c r="N23" s="98">
        <f>SUMIFS(T_Maint_Innofaso!G:G,T_Maint_Innofaso!B:B,A$11,T_Maint_Innofaso!C:C,B23,T_Maint_Innofaso!F:F,C23,T_Maint_Innofaso!D:D,N$8)</f>
        <v>0</v>
      </c>
      <c r="O23" s="98">
        <f>SUMIFS(T_Maint_Innofaso!G:G,T_Maint_Innofaso!B:B,A$11,T_Maint_Innofaso!C:C,B23,T_Maint_Innofaso!F:F,C23,T_Maint_Innofaso!D:D,O$8)</f>
        <v>0</v>
      </c>
      <c r="P23" s="99">
        <f t="shared" si="0"/>
        <v>51.67</v>
      </c>
      <c r="Q23" s="237">
        <f t="shared" ref="Q23" si="6">P23+P24</f>
        <v>94.72</v>
      </c>
      <c r="R23" s="202" t="s">
        <v>1510</v>
      </c>
      <c r="S23" s="202"/>
      <c r="T23" s="202"/>
      <c r="U23" s="202"/>
      <c r="V23" s="202"/>
      <c r="W23" s="201" t="s">
        <v>1511</v>
      </c>
      <c r="X23" s="201"/>
      <c r="Y23" s="201"/>
      <c r="Z23" s="201"/>
      <c r="AA23" s="201"/>
      <c r="AB23" s="206">
        <v>45900</v>
      </c>
      <c r="AC23" s="201" t="s">
        <v>1579</v>
      </c>
    </row>
    <row r="24" spans="1:29" ht="33" customHeight="1">
      <c r="A24" s="236"/>
      <c r="B24" s="205"/>
      <c r="C24" s="97" t="s">
        <v>208</v>
      </c>
      <c r="D24" s="64">
        <f>SUMIFS(T_Maint_Innofaso!G:G,T_Maint_Innofaso!B:B,A$11,T_Maint_Innofaso!C:C,B23,T_Maint_Innofaso!F:F,C24,T_Maint_Innofaso!D:D,compilation!D$8)</f>
        <v>0</v>
      </c>
      <c r="E24" s="64">
        <f>SUMIFS(T_Maint_Innofaso!G:G,T_Maint_Innofaso!B:B,A$11,T_Maint_Innofaso!C:C,B23,T_Maint_Innofaso!F:F,C24,T_Maint_Innofaso!D:D,E$8)</f>
        <v>0</v>
      </c>
      <c r="F24" s="64">
        <f>SUMIFS(T_Maint_Innofaso!G:G,T_Maint_Innofaso!B:B,A$11,T_Maint_Innofaso!C:C,B23,T_Maint_Innofaso!F:F,C24,T_Maint_Innofaso!D:D,F$8)</f>
        <v>1.5</v>
      </c>
      <c r="G24" s="64">
        <f>SUMIFS(T_Maint_Innofaso!G:G,T_Maint_Innofaso!B:B,A$11,T_Maint_Innofaso!C:C,B23,T_Maint_Innofaso!F:F,C24,T_Maint_Innofaso!D:D,G$8)</f>
        <v>5.9</v>
      </c>
      <c r="H24" s="64">
        <f>SUMIFS(T_Maint_Innofaso!G:G,T_Maint_Innofaso!B:B,A$11,T_Maint_Innofaso!C:C,B23,T_Maint_Innofaso!F:F,C24,T_Maint_Innofaso!D:D,H$8)</f>
        <v>0</v>
      </c>
      <c r="I24" s="64">
        <f>SUMIFS(T_Maint_Innofaso!G:G,T_Maint_Innofaso!B:B,A$11,T_Maint_Innofaso!C:C,B23,T_Maint_Innofaso!F:F,C24,T_Maint_Innofaso!D:D,I$8)</f>
        <v>1</v>
      </c>
      <c r="J24" s="64">
        <f>SUMIFS(T_Maint_Innofaso!G:G,T_Maint_Innofaso!B:B,A$11,T_Maint_Innofaso!C:C,B23,T_Maint_Innofaso!F:F,C24,T_Maint_Innofaso!D:D,J$8)</f>
        <v>33.65</v>
      </c>
      <c r="K24" s="64">
        <f>SUMIFS(T_Maint_Innofaso!G:G,T_Maint_Innofaso!B:B,A$11,T_Maint_Innofaso!C:C,B23,T_Maint_Innofaso!F:F,C24,T_Maint_Innofaso!D:D,K$8)</f>
        <v>1</v>
      </c>
      <c r="L24" s="64">
        <f>SUMIFS(T_Maint_Innofaso!G:G,T_Maint_Innofaso!B:B,A$11,T_Maint_Innofaso!C:C,B23,T_Maint_Innofaso!F:F,C24,T_Maint_Innofaso!D:D,L$8)</f>
        <v>0</v>
      </c>
      <c r="M24" s="66">
        <f>SUMIFS(T_Maint_Innofaso!G:G,T_Maint_Innofaso!B:B,A$11,T_Maint_Innofaso!C:C,B23,T_Maint_Innofaso!F:F,C24,T_Maint_Innofaso!D:D,M$8)</f>
        <v>0</v>
      </c>
      <c r="N24" s="66">
        <f>SUMIFS(T_Maint_Innofaso!G:G,T_Maint_Innofaso!B:B,A$11,T_Maint_Innofaso!C:C,B23,T_Maint_Innofaso!F:F,C24,T_Maint_Innofaso!D:D,N$8)</f>
        <v>0</v>
      </c>
      <c r="O24" s="66">
        <f>SUMIFS(T_Maint_Innofaso!G:G,T_Maint_Innofaso!B:B,A$11,T_Maint_Innofaso!C:C,B23,T_Maint_Innofaso!F:F,C24,T_Maint_Innofaso!D:D,O$8)</f>
        <v>0</v>
      </c>
      <c r="P24" s="65">
        <f t="shared" si="0"/>
        <v>43.05</v>
      </c>
      <c r="Q24" s="237"/>
      <c r="R24" s="202"/>
      <c r="S24" s="202"/>
      <c r="T24" s="202"/>
      <c r="U24" s="202"/>
      <c r="V24" s="202"/>
      <c r="W24" s="201"/>
      <c r="X24" s="201"/>
      <c r="Y24" s="201"/>
      <c r="Z24" s="201"/>
      <c r="AA24" s="201"/>
      <c r="AB24" s="201"/>
      <c r="AC24" s="201"/>
    </row>
    <row r="25" spans="1:29" ht="34.799999999999997" customHeight="1">
      <c r="A25" s="235">
        <v>2025</v>
      </c>
      <c r="B25" s="208" t="s">
        <v>1233</v>
      </c>
      <c r="C25" s="100" t="s">
        <v>181</v>
      </c>
      <c r="D25" s="98">
        <f>SUMIFS(T_Maint_Innofaso!G:G,T_Maint_Innofaso!B:B,A$11,T_Maint_Innofaso!C:C,B25,T_Maint_Innofaso!F:F,C25,T_Maint_Innofaso!D:D,compilation!D$8)</f>
        <v>2</v>
      </c>
      <c r="E25" s="98">
        <f>SUMIFS(T_Maint_Innofaso!G:G,T_Maint_Innofaso!B:B,A$11,T_Maint_Innofaso!C:C,B25,T_Maint_Innofaso!F:F,C25,T_Maint_Innofaso!D:D,E$8)</f>
        <v>1</v>
      </c>
      <c r="F25" s="98">
        <f>SUMIFS(T_Maint_Innofaso!G:G,T_Maint_Innofaso!B:B,A$11,T_Maint_Innofaso!C:C,B25,T_Maint_Innofaso!F:F,C25,T_Maint_Innofaso!D:D,F$8)</f>
        <v>28.5</v>
      </c>
      <c r="G25" s="98">
        <f>SUMIFS(T_Maint_Innofaso!G:G,T_Maint_Innofaso!B:B,A$11,T_Maint_Innofaso!C:C,B25,T_Maint_Innofaso!F:F,C25,T_Maint_Innofaso!D:D,G$8)</f>
        <v>1</v>
      </c>
      <c r="H25" s="98">
        <f>SUMIFS(T_Maint_Innofaso!G:G,T_Maint_Innofaso!B:B,A$11,T_Maint_Innofaso!C:C,B25,T_Maint_Innofaso!F:F,C25,T_Maint_Innofaso!D:D,H$8)</f>
        <v>1.5</v>
      </c>
      <c r="I25" s="98">
        <f>SUMIFS(T_Maint_Innofaso!G:G,T_Maint_Innofaso!B:B,A$11,T_Maint_Innofaso!C:C,B25,T_Maint_Innofaso!F:F,C25,T_Maint_Innofaso!D:D,I$8)</f>
        <v>43.67</v>
      </c>
      <c r="J25" s="98">
        <f>SUMIFS(T_Maint_Innofaso!G:G,T_Maint_Innofaso!B:B,A$11,T_Maint_Innofaso!C:C,B25,T_Maint_Innofaso!F:F,C25,T_Maint_Innofaso!D:D,J$8)</f>
        <v>25</v>
      </c>
      <c r="K25" s="98">
        <f>SUMIFS(T_Maint_Innofaso!G:G,T_Maint_Innofaso!B:B,A$11,T_Maint_Innofaso!C:C,B25,T_Maint_Innofaso!F:F,C25,T_Maint_Innofaso!D:D,K$8)</f>
        <v>1.5</v>
      </c>
      <c r="L25" s="98">
        <f>SUMIFS(T_Maint_Innofaso!G:G,T_Maint_Innofaso!B:B,A$11,T_Maint_Innofaso!C:C,B25,T_Maint_Innofaso!F:F,C25,T_Maint_Innofaso!D:D,L$8)</f>
        <v>4</v>
      </c>
      <c r="M25" s="98">
        <f>SUMIFS(T_Maint_Innofaso!G:G,T_Maint_Innofaso!B:B,A$11,T_Maint_Innofaso!C:C,B25,T_Maint_Innofaso!F:F,C25,T_Maint_Innofaso!D:D,M$8)</f>
        <v>0</v>
      </c>
      <c r="N25" s="98">
        <f>SUMIFS(T_Maint_Innofaso!G:G,T_Maint_Innofaso!B:B,A$11,T_Maint_Innofaso!C:C,B25,T_Maint_Innofaso!F:F,C25,T_Maint_Innofaso!D:D,N$8)</f>
        <v>0</v>
      </c>
      <c r="O25" s="98">
        <f>SUMIFS(T_Maint_Innofaso!G:G,T_Maint_Innofaso!B:B,A$11,T_Maint_Innofaso!C:C,B25,T_Maint_Innofaso!F:F,C25,T_Maint_Innofaso!D:D,O$8)</f>
        <v>0</v>
      </c>
      <c r="P25" s="99">
        <f t="shared" si="0"/>
        <v>108.17</v>
      </c>
      <c r="Q25" s="237">
        <f t="shared" ref="Q25" si="7">P25+P26</f>
        <v>129.77000000000001</v>
      </c>
      <c r="R25" s="202" t="s">
        <v>1533</v>
      </c>
      <c r="S25" s="202"/>
      <c r="T25" s="202"/>
      <c r="U25" s="202"/>
      <c r="V25" s="202"/>
      <c r="W25" s="201"/>
      <c r="X25" s="201"/>
      <c r="Y25" s="201"/>
      <c r="Z25" s="201"/>
      <c r="AA25" s="201"/>
      <c r="AB25" s="201"/>
      <c r="AC25" s="201"/>
    </row>
    <row r="26" spans="1:29" ht="34.200000000000003" customHeight="1">
      <c r="A26" s="236"/>
      <c r="B26" s="209"/>
      <c r="C26" s="97" t="s">
        <v>208</v>
      </c>
      <c r="D26" s="64">
        <f>SUMIFS(T_Maint_Innofaso!G:G,T_Maint_Innofaso!B:B,A$11,T_Maint_Innofaso!C:C,B25,T_Maint_Innofaso!F:F,C26,T_Maint_Innofaso!D:D,compilation!D$8)</f>
        <v>1</v>
      </c>
      <c r="E26" s="64">
        <f>SUMIFS(T_Maint_Innofaso!G:G,T_Maint_Innofaso!B:B,A$11,T_Maint_Innofaso!C:C,B25,T_Maint_Innofaso!F:F,C26,T_Maint_Innofaso!D:D,E$8)</f>
        <v>0</v>
      </c>
      <c r="F26" s="64">
        <f>SUMIFS(T_Maint_Innofaso!G:G,T_Maint_Innofaso!B:B,A$11,T_Maint_Innofaso!C:C,B25,T_Maint_Innofaso!F:F,C26,T_Maint_Innofaso!D:D,F$8)</f>
        <v>4</v>
      </c>
      <c r="G26" s="64">
        <f>SUMIFS(T_Maint_Innofaso!G:G,T_Maint_Innofaso!B:B,A$11,T_Maint_Innofaso!C:C,B25,T_Maint_Innofaso!F:F,C26,T_Maint_Innofaso!D:D,G$8)</f>
        <v>1</v>
      </c>
      <c r="H26" s="64">
        <f>SUMIFS(T_Maint_Innofaso!G:G,T_Maint_Innofaso!B:B,A$11,T_Maint_Innofaso!C:C,B25,T_Maint_Innofaso!F:F,C26,T_Maint_Innofaso!D:D,H$8)</f>
        <v>0</v>
      </c>
      <c r="I26" s="64">
        <f>SUMIFS(T_Maint_Innofaso!G:G,T_Maint_Innofaso!B:B,A$11,T_Maint_Innofaso!C:C,B25,T_Maint_Innofaso!F:F,C26,T_Maint_Innofaso!D:D,I$8)</f>
        <v>0</v>
      </c>
      <c r="J26" s="64">
        <f>SUMIFS(T_Maint_Innofaso!G:G,T_Maint_Innofaso!B:B,A$11,T_Maint_Innofaso!C:C,B25,T_Maint_Innofaso!F:F,C26,T_Maint_Innofaso!D:D,J$8)</f>
        <v>6.85</v>
      </c>
      <c r="K26" s="64">
        <f>SUMIFS(T_Maint_Innofaso!G:G,T_Maint_Innofaso!B:B,A$11,T_Maint_Innofaso!C:C,B25,T_Maint_Innofaso!F:F,C26,T_Maint_Innofaso!D:D,K$8)</f>
        <v>1</v>
      </c>
      <c r="L26" s="64">
        <f>SUMIFS(T_Maint_Innofaso!G:G,T_Maint_Innofaso!B:B,A$11,T_Maint_Innofaso!C:C,B25,T_Maint_Innofaso!F:F,C26,T_Maint_Innofaso!D:D,L$8)</f>
        <v>5.75</v>
      </c>
      <c r="M26" s="66">
        <f>SUMIFS(T_Maint_Innofaso!G:G,T_Maint_Innofaso!B:B,A$11,T_Maint_Innofaso!C:C,B25,T_Maint_Innofaso!F:F,C26,T_Maint_Innofaso!D:D,M$8)</f>
        <v>0</v>
      </c>
      <c r="N26" s="66">
        <f>SUMIFS(T_Maint_Innofaso!G:G,T_Maint_Innofaso!B:B,A$11,T_Maint_Innofaso!C:C,B25,T_Maint_Innofaso!F:F,C26,T_Maint_Innofaso!D:D,N$8)</f>
        <v>0</v>
      </c>
      <c r="O26" s="66">
        <f>SUMIFS(T_Maint_Innofaso!G:G,T_Maint_Innofaso!B:B,A$11,T_Maint_Innofaso!C:C,B25,T_Maint_Innofaso!F:F,C26,T_Maint_Innofaso!D:D,O$8)</f>
        <v>2</v>
      </c>
      <c r="P26" s="65">
        <f t="shared" si="0"/>
        <v>21.6</v>
      </c>
      <c r="Q26" s="237"/>
      <c r="R26" s="202"/>
      <c r="S26" s="202"/>
      <c r="T26" s="202"/>
      <c r="U26" s="202"/>
      <c r="V26" s="202"/>
      <c r="W26" s="201"/>
      <c r="X26" s="201"/>
      <c r="Y26" s="201"/>
      <c r="Z26" s="201"/>
      <c r="AA26" s="201"/>
      <c r="AB26" s="201"/>
      <c r="AC26" s="201"/>
    </row>
    <row r="27" spans="1:29" ht="33.6" customHeight="1">
      <c r="A27" s="235">
        <v>2025</v>
      </c>
      <c r="B27" s="204" t="s">
        <v>45</v>
      </c>
      <c r="C27" s="100" t="s">
        <v>181</v>
      </c>
      <c r="D27" s="98">
        <f>SUMIFS(T_Maint_Innofaso!G:G,T_Maint_Innofaso!B:B,A$11,T_Maint_Innofaso!C:C,B27,T_Maint_Innofaso!F:F,C27,T_Maint_Innofaso!D:D,compilation!D$8)</f>
        <v>2</v>
      </c>
      <c r="E27" s="98">
        <f>SUMIFS(T_Maint_Innofaso!G:G,T_Maint_Innofaso!B:B,A$11,T_Maint_Innofaso!C:C,B27,T_Maint_Innofaso!F:F,C27,T_Maint_Innofaso!D:D,E$8)</f>
        <v>1</v>
      </c>
      <c r="F27" s="98">
        <f>SUMIFS(T_Maint_Innofaso!G:G,T_Maint_Innofaso!B:B,A$11,T_Maint_Innofaso!C:C,B27,T_Maint_Innofaso!F:F,C27,T_Maint_Innofaso!D:D,F$8)</f>
        <v>25</v>
      </c>
      <c r="G27" s="98">
        <f>SUMIFS(T_Maint_Innofaso!G:G,T_Maint_Innofaso!B:B,A$11,T_Maint_Innofaso!C:C,B27,T_Maint_Innofaso!F:F,C27,T_Maint_Innofaso!D:D,G$8)</f>
        <v>1</v>
      </c>
      <c r="H27" s="98">
        <f>SUMIFS(T_Maint_Innofaso!G:G,T_Maint_Innofaso!B:B,A$11,T_Maint_Innofaso!C:C,B27,T_Maint_Innofaso!F:F,C27,T_Maint_Innofaso!D:D,H$8)</f>
        <v>1</v>
      </c>
      <c r="I27" s="98">
        <f>SUMIFS(T_Maint_Innofaso!G:G,T_Maint_Innofaso!B:B,A$11,T_Maint_Innofaso!C:C,B27,T_Maint_Innofaso!F:F,C27,T_Maint_Innofaso!D:D,I$8)</f>
        <v>33.67</v>
      </c>
      <c r="J27" s="98">
        <f>SUMIFS(T_Maint_Innofaso!G:G,T_Maint_Innofaso!B:B,A$11,T_Maint_Innofaso!C:C,B27,T_Maint_Innofaso!F:F,C27,T_Maint_Innofaso!D:D,J$8)</f>
        <v>23</v>
      </c>
      <c r="K27" s="98">
        <f>SUMIFS(T_Maint_Innofaso!G:G,T_Maint_Innofaso!B:B,A$11,T_Maint_Innofaso!C:C,B27,T_Maint_Innofaso!F:F,C27,T_Maint_Innofaso!D:D,K$8)</f>
        <v>1</v>
      </c>
      <c r="L27" s="98">
        <f>SUMIFS(T_Maint_Innofaso!G:G,T_Maint_Innofaso!B:B,A$11,T_Maint_Innofaso!C:C,B27,T_Maint_Innofaso!F:F,C27,T_Maint_Innofaso!D:D,L$8)</f>
        <v>4</v>
      </c>
      <c r="M27" s="98">
        <f>SUMIFS(T_Maint_Innofaso!G:G,T_Maint_Innofaso!B:B,A$11,T_Maint_Innofaso!C:C,B27,T_Maint_Innofaso!F:F,C27,T_Maint_Innofaso!D:D,M$8)</f>
        <v>0</v>
      </c>
      <c r="N27" s="98">
        <f>SUMIFS(T_Maint_Innofaso!G:G,T_Maint_Innofaso!B:B,A$11,T_Maint_Innofaso!C:C,B27,T_Maint_Innofaso!F:F,C27,T_Maint_Innofaso!D:D,N$8)</f>
        <v>0</v>
      </c>
      <c r="O27" s="98">
        <f>SUMIFS(T_Maint_Innofaso!G:G,T_Maint_Innofaso!B:B,A$11,T_Maint_Innofaso!C:C,B27,T_Maint_Innofaso!F:F,C27,T_Maint_Innofaso!D:D,O$8)</f>
        <v>0</v>
      </c>
      <c r="P27" s="99">
        <f t="shared" si="0"/>
        <v>91.67</v>
      </c>
      <c r="Q27" s="237">
        <f t="shared" ref="Q27" si="8">P27+P28</f>
        <v>126.32</v>
      </c>
      <c r="R27" s="202" t="s">
        <v>1563</v>
      </c>
      <c r="S27" s="202"/>
      <c r="T27" s="202"/>
      <c r="U27" s="202"/>
      <c r="V27" s="202"/>
      <c r="W27" s="201"/>
      <c r="X27" s="201"/>
      <c r="Y27" s="201"/>
      <c r="Z27" s="201"/>
      <c r="AA27" s="201"/>
      <c r="AB27" s="201"/>
      <c r="AC27" s="201"/>
    </row>
    <row r="28" spans="1:29" ht="31.8" customHeight="1">
      <c r="A28" s="236"/>
      <c r="B28" s="205"/>
      <c r="C28" s="97" t="s">
        <v>208</v>
      </c>
      <c r="D28" s="64">
        <f>SUMIFS(T_Maint_Innofaso!G:G,T_Maint_Innofaso!B:B,A$11,T_Maint_Innofaso!C:C,B27,T_Maint_Innofaso!F:F,C28,T_Maint_Innofaso!D:D,compilation!D$8)</f>
        <v>0.25</v>
      </c>
      <c r="E28" s="64">
        <f>SUMIFS(T_Maint_Innofaso!G:G,T_Maint_Innofaso!B:B,A$11,T_Maint_Innofaso!C:C,B27,T_Maint_Innofaso!F:F,C28,T_Maint_Innofaso!D:D,E$8)</f>
        <v>0</v>
      </c>
      <c r="F28" s="64">
        <f>SUMIFS(T_Maint_Innofaso!G:G,T_Maint_Innofaso!B:B,A$11,T_Maint_Innofaso!C:C,B27,T_Maint_Innofaso!F:F,C28,T_Maint_Innofaso!D:D,F$8)</f>
        <v>0</v>
      </c>
      <c r="G28" s="64">
        <f>SUMIFS(T_Maint_Innofaso!G:G,T_Maint_Innofaso!B:B,A$11,T_Maint_Innofaso!C:C,B27,T_Maint_Innofaso!F:F,C28,T_Maint_Innofaso!D:D,G$8)</f>
        <v>0</v>
      </c>
      <c r="H28" s="64">
        <f>SUMIFS(T_Maint_Innofaso!G:G,T_Maint_Innofaso!B:B,A$11,T_Maint_Innofaso!C:C,B27,T_Maint_Innofaso!F:F,C28,T_Maint_Innofaso!D:D,H$8)</f>
        <v>0</v>
      </c>
      <c r="I28" s="64">
        <f>SUMIFS(T_Maint_Innofaso!G:G,T_Maint_Innofaso!B:B,A$11,T_Maint_Innofaso!C:C,B27,T_Maint_Innofaso!F:F,C28,T_Maint_Innofaso!D:D,I$8)</f>
        <v>7.5</v>
      </c>
      <c r="J28" s="64">
        <f>SUMIFS(T_Maint_Innofaso!G:G,T_Maint_Innofaso!B:B,A27,T_Maint_Innofaso!C:C,B27,T_Maint_Innofaso!F:F,C28,T_Maint_Innofaso!D:D,J8)</f>
        <v>16.899999999999999</v>
      </c>
      <c r="K28" s="64">
        <f>SUMIFS(T_Maint_Innofaso!G:G,T_Maint_Innofaso!B:B,A$11,T_Maint_Innofaso!C:C,B27,T_Maint_Innofaso!F:F,C28,T_Maint_Innofaso!D:D,K$8)</f>
        <v>7.5</v>
      </c>
      <c r="L28" s="64">
        <f>SUMIFS(T_Maint_Innofaso!G:G,T_Maint_Innofaso!B:B,A$11,T_Maint_Innofaso!C:C,B27,T_Maint_Innofaso!F:F,C28,T_Maint_Innofaso!D:D,L$8)</f>
        <v>2.5</v>
      </c>
      <c r="M28" s="66">
        <f>SUMIFS(T_Maint_Innofaso!G:G,T_Maint_Innofaso!B:B,A$11,T_Maint_Innofaso!C:C,B27,T_Maint_Innofaso!F:F,C28,T_Maint_Innofaso!D:D,M$8)</f>
        <v>0</v>
      </c>
      <c r="N28" s="66">
        <f>SUMIFS(T_Maint_Innofaso!G:G,T_Maint_Innofaso!B:B,A$11,T_Maint_Innofaso!C:C,B27,T_Maint_Innofaso!F:F,C28,T_Maint_Innofaso!D:D,N$8)</f>
        <v>0</v>
      </c>
      <c r="O28" s="66">
        <f>SUMIFS(T_Maint_Innofaso!G:G,T_Maint_Innofaso!B:B,A$11,T_Maint_Innofaso!C:C,B27,T_Maint_Innofaso!F:F,C28,T_Maint_Innofaso!D:D,O$8)</f>
        <v>0</v>
      </c>
      <c r="P28" s="194">
        <f t="shared" si="0"/>
        <v>34.65</v>
      </c>
      <c r="Q28" s="237"/>
      <c r="R28" s="202"/>
      <c r="S28" s="202"/>
      <c r="T28" s="202"/>
      <c r="U28" s="202"/>
      <c r="V28" s="202"/>
      <c r="W28" s="201"/>
      <c r="X28" s="201"/>
      <c r="Y28" s="201"/>
      <c r="Z28" s="201"/>
      <c r="AA28" s="201"/>
      <c r="AB28" s="201"/>
      <c r="AC28" s="201"/>
    </row>
    <row r="29" spans="1:29" ht="31.8" customHeight="1">
      <c r="A29" s="235">
        <v>2025</v>
      </c>
      <c r="B29" s="208" t="s">
        <v>47</v>
      </c>
      <c r="C29" s="100" t="s">
        <v>181</v>
      </c>
      <c r="D29" s="98">
        <f>SUMIFS(T_Maint_Innofaso!G:G,T_Maint_Innofaso!B:B,A$11,T_Maint_Innofaso!C:C,B29,T_Maint_Innofaso!F:F,C29,T_Maint_Innofaso!D:D,compilation!D$8)</f>
        <v>2</v>
      </c>
      <c r="E29" s="98">
        <f>SUMIFS(T_Maint_Innofaso!G:G,T_Maint_Innofaso!B:B,A$11,T_Maint_Innofaso!C:C,B29,T_Maint_Innofaso!F:F,C29,T_Maint_Innofaso!D:D,E$8)</f>
        <v>1</v>
      </c>
      <c r="F29" s="98">
        <f>SUMIFS(T_Maint_Innofaso!G:G,T_Maint_Innofaso!B:B,A$11,T_Maint_Innofaso!C:C,B29,T_Maint_Innofaso!F:F,C29,T_Maint_Innofaso!D:D,F$8)</f>
        <v>25</v>
      </c>
      <c r="G29" s="98">
        <f>SUMIFS(T_Maint_Innofaso!G:G,T_Maint_Innofaso!B:B,A$11,T_Maint_Innofaso!C:C,B29,T_Maint_Innofaso!F:F,C29,T_Maint_Innofaso!D:D,G$8)</f>
        <v>1</v>
      </c>
      <c r="H29" s="98">
        <f>SUMIFS(T_Maint_Innofaso!G:G,T_Maint_Innofaso!B:B,A$11,T_Maint_Innofaso!C:C,B29,T_Maint_Innofaso!F:F,C29,T_Maint_Innofaso!D:D,H$8)</f>
        <v>1</v>
      </c>
      <c r="I29" s="98">
        <f>SUMIFS(T_Maint_Innofaso!G:G,T_Maint_Innofaso!B:B,A$11,T_Maint_Innofaso!C:C,B29,T_Maint_Innofaso!F:F,C29,T_Maint_Innofaso!D:D,I$8)</f>
        <v>33.67</v>
      </c>
      <c r="J29" s="98">
        <f>SUMIFS(T_Maint_Innofaso!G:G,T_Maint_Innofaso!B:B,A$11,T_Maint_Innofaso!C:C,B29,T_Maint_Innofaso!F:F,C29,T_Maint_Innofaso!D:D,J$8)</f>
        <v>23</v>
      </c>
      <c r="K29" s="98">
        <f>SUMIFS(T_Maint_Innofaso!G:G,T_Maint_Innofaso!B:B,A$11,T_Maint_Innofaso!C:C,B29,T_Maint_Innofaso!F:F,C29,T_Maint_Innofaso!D:D,K$8)</f>
        <v>1</v>
      </c>
      <c r="L29" s="98">
        <f>SUMIFS(T_Maint_Innofaso!G:G,T_Maint_Innofaso!B:B,A$11,T_Maint_Innofaso!C:C,B29,T_Maint_Innofaso!F:F,C29,T_Maint_Innofaso!D:D,L$8)</f>
        <v>4</v>
      </c>
      <c r="M29" s="98">
        <f>SUMIFS(T_Maint_Innofaso!G:G,T_Maint_Innofaso!B:B,A$11,T_Maint_Innofaso!C:C,B29,T_Maint_Innofaso!F:F,C29,T_Maint_Innofaso!D:D,M$8)</f>
        <v>0</v>
      </c>
      <c r="N29" s="98">
        <f>SUMIFS(T_Maint_Innofaso!G:G,T_Maint_Innofaso!B:B,A$11,T_Maint_Innofaso!C:C,B29,T_Maint_Innofaso!F:F,C29,T_Maint_Innofaso!D:D,N$8)</f>
        <v>0</v>
      </c>
      <c r="O29" s="98">
        <f>SUMIFS(T_Maint_Innofaso!G:G,T_Maint_Innofaso!B:B,A$11,T_Maint_Innofaso!C:C,B29,T_Maint_Innofaso!F:F,C29,T_Maint_Innofaso!D:D,O$8)</f>
        <v>0</v>
      </c>
      <c r="P29" s="99">
        <f t="shared" si="0"/>
        <v>91.67</v>
      </c>
      <c r="Q29" s="237">
        <f t="shared" ref="Q29" si="9">P29+P30</f>
        <v>130.52000000000001</v>
      </c>
      <c r="R29" s="202" t="s">
        <v>1577</v>
      </c>
      <c r="S29" s="202"/>
      <c r="T29" s="202"/>
      <c r="U29" s="202"/>
      <c r="V29" s="202"/>
      <c r="W29" s="202" t="s">
        <v>1578</v>
      </c>
      <c r="X29" s="202"/>
      <c r="Y29" s="202"/>
      <c r="Z29" s="202"/>
      <c r="AA29" s="202"/>
      <c r="AB29" s="201"/>
      <c r="AC29" s="203">
        <v>46112</v>
      </c>
    </row>
    <row r="30" spans="1:29" ht="33.6" customHeight="1">
      <c r="A30" s="236"/>
      <c r="B30" s="209"/>
      <c r="C30" s="97" t="s">
        <v>208</v>
      </c>
      <c r="D30" s="64">
        <f>SUMIFS(T_Maint_Innofaso!G:G,T_Maint_Innofaso!B:B,compilation!A29,T_Maint_Innofaso!C:C,compilation!B29,T_Maint_Innofaso!D:D,compilation!D8,T_Maint_Innofaso!F:F,compilation!C30)</f>
        <v>0</v>
      </c>
      <c r="E30" s="64">
        <f>SUMIFS(T_Maint_Innofaso!G:G,T_Maint_Innofaso!B:B,compilation!A29,T_Maint_Innofaso!C:C,compilation!B29,T_Maint_Innofaso!D:D,E8,T_Maint_Innofaso!F:F,compilation!C30)</f>
        <v>0</v>
      </c>
      <c r="F30" s="64">
        <f>SUMIFS(T_Maint_Innofaso!G:G,T_Maint_Innofaso!B:B,compilation!A29,T_Maint_Innofaso!C:C,compilation!B29,T_Maint_Innofaso!D:D,F8,T_Maint_Innofaso!F:F,compilation!C30)</f>
        <v>5.15</v>
      </c>
      <c r="G30" s="64">
        <f>SUMIFS(T_Maint_Innofaso!G:G,T_Maint_Innofaso!B:B,compilation!A29,T_Maint_Innofaso!C:C,compilation!B29,T_Maint_Innofaso!D:D,G8,T_Maint_Innofaso!F:F,compilation!C30)</f>
        <v>1.8</v>
      </c>
      <c r="H30" s="64">
        <f>SUMIFS(T_Maint_Innofaso!G:G,T_Maint_Innofaso!B:B,compilation!A29,T_Maint_Innofaso!C:C,compilation!B29,T_Maint_Innofaso!D:D,H8,T_Maint_Innofaso!F:F,compilation!C30)</f>
        <v>0</v>
      </c>
      <c r="I30" s="64">
        <f>SUMIFS(T_Maint_Innofaso!G:G,T_Maint_Innofaso!B:B,compilation!A29,T_Maint_Innofaso!C:C,compilation!B29,T_Maint_Innofaso!D:D,I8,T_Maint_Innofaso!F:F,compilation!C30)</f>
        <v>3.65</v>
      </c>
      <c r="J30" s="64">
        <f>SUMIFS(T_Maint_Innofaso!G:G,T_Maint_Innofaso!B:B,compilation!A29,T_Maint_Innofaso!C:C,compilation!B29,T_Maint_Innofaso!D:D,J8,T_Maint_Innofaso!F:F,compilation!C30)</f>
        <v>15.25</v>
      </c>
      <c r="K30" s="64">
        <f>SUMIFS(T_Maint_Innofaso!G:G,T_Maint_Innofaso!B:B,compilation!A29,T_Maint_Innofaso!C:C,compilation!B29,T_Maint_Innofaso!D:D,K8,T_Maint_Innofaso!F:F,compilation!C30)</f>
        <v>12</v>
      </c>
      <c r="L30" s="64">
        <f>SUMIFS(T_Maint_Innofaso!G:G,T_Maint_Innofaso!B:B,compilation!A29,T_Maint_Innofaso!C:C,compilation!B29,T_Maint_Innofaso!D:D,L8,T_Maint_Innofaso!F:F,compilation!C30)</f>
        <v>1</v>
      </c>
      <c r="M30" s="66">
        <f>SUMIFS(T_Maint_Innofaso!G:G,T_Maint_Innofaso!B:B,compilation!A29,T_Maint_Innofaso!C:C,compilation!B29,T_Maint_Innofaso!D:D,M8,T_Maint_Innofaso!F:F,compilation!C30)</f>
        <v>0</v>
      </c>
      <c r="N30" s="66">
        <f>SUMIFS(T_Maint_Innofaso!G:G,T_Maint_Innofaso!B:B,compilation!A29,T_Maint_Innofaso!C:C,compilation!B29,T_Maint_Innofaso!D:D,N8,T_Maint_Innofaso!F:F,compilation!C30)</f>
        <v>0</v>
      </c>
      <c r="O30" s="66">
        <f>SUMIFS(T_Maint_Innofaso!G:G,T_Maint_Innofaso!B:B,compilation!A29,T_Maint_Innofaso!C:C,compilation!B29,T_Maint_Innofaso!D:D,O8,T_Maint_Innofaso!F:F,compilation!C30)</f>
        <v>0</v>
      </c>
      <c r="P30" s="65">
        <f t="shared" si="0"/>
        <v>38.85</v>
      </c>
      <c r="Q30" s="237"/>
      <c r="R30" s="202"/>
      <c r="S30" s="202"/>
      <c r="T30" s="202"/>
      <c r="U30" s="202"/>
      <c r="V30" s="202"/>
      <c r="W30" s="202"/>
      <c r="X30" s="202"/>
      <c r="Y30" s="202"/>
      <c r="Z30" s="202"/>
      <c r="AA30" s="202"/>
      <c r="AB30" s="201"/>
      <c r="AC30" s="201"/>
    </row>
    <row r="31" spans="1:29" ht="33.6" customHeight="1">
      <c r="A31" s="235">
        <v>2025</v>
      </c>
      <c r="B31" s="204" t="s">
        <v>49</v>
      </c>
      <c r="C31" s="100" t="s">
        <v>181</v>
      </c>
      <c r="D31" s="98">
        <f>SUMIFS(T_Maint_Innofaso_2[Number of hours],T_Maint_Innofaso_2[Année],A31,T_Maint_Innofaso_2[Mois],B31,T_Maint_Innofaso_2[Maintenance Type],C31,T_Maint_Innofaso_2[Equipment],D8)</f>
        <v>2</v>
      </c>
      <c r="E31" s="98">
        <f>SUMIFS(T_Maint_Innofaso_2[Number of hours],T_Maint_Innofaso_2[Année],A31,T_Maint_Innofaso_2[Mois],B31,T_Maint_Innofaso_2[Maintenance Type],C31,T_Maint_Innofaso_2[Equipment],compilation!E8)</f>
        <v>1</v>
      </c>
      <c r="F31" s="98">
        <f>SUMIFS(T_Maint_Innofaso_2[Number of hours],T_Maint_Innofaso_2[Année],A31,T_Maint_Innofaso_2[Mois],B31,T_Maint_Innofaso_2[Maintenance Type],C31,T_Maint_Innofaso_2[Equipment],F8)</f>
        <v>6.5</v>
      </c>
      <c r="G31" s="98">
        <f>SUMIFS(T_Maint_Innofaso_2[Number of hours],T_Maint_Innofaso_2[Année],A31,T_Maint_Innofaso_2[Mois],B31,T_Maint_Innofaso_2[Maintenance Type],C31,T_Maint_Innofaso_2[Equipment],G8)</f>
        <v>1</v>
      </c>
      <c r="H31" s="98">
        <f>SUMIFS(T_Maint_Innofaso_2[Number of hours],T_Maint_Innofaso_2[Année],A31,T_Maint_Innofaso_2[Mois],B31,T_Maint_Innofaso_2[Maintenance Type],C31,T_Maint_Innofaso_2[Equipment],H8)</f>
        <v>1.5</v>
      </c>
      <c r="I31" s="98">
        <f>SUMIFS(T_Maint_Innofaso_2[Number of hours],T_Maint_Innofaso_2[Année],A31,T_Maint_Innofaso_2[Mois],B31,T_Maint_Innofaso_2[Maintenance Type],C31,T_Maint_Innofaso_2[Equipment],I8)</f>
        <v>115.17</v>
      </c>
      <c r="J31" s="98">
        <f>SUMIFS(T_Maint_Innofaso_2[Number of hours],T_Maint_Innofaso_2[Année],A31,T_Maint_Innofaso_2[Mois],B31,T_Maint_Innofaso_2[Maintenance Type],C31,T_Maint_Innofaso_2[Equipment],J8)</f>
        <v>9</v>
      </c>
      <c r="K31" s="98">
        <f>SUMIFS(T_Maint_Innofaso_2[Number of hours],T_Maint_Innofaso_2[Année],A31,T_Maint_Innofaso_2[Mois],B31,T_Maint_Innofaso_2[Maintenance Type],C31,T_Maint_Innofaso_2[Equipment],K8)</f>
        <v>1.5</v>
      </c>
      <c r="L31" s="98">
        <f>SUMIFS(T_Maint_Innofaso_2[Number of hours],T_Maint_Innofaso_2[Année],A31,T_Maint_Innofaso_2[Mois],B31,T_Maint_Innofaso_2[Maintenance Type],C31,T_Maint_Innofaso_2[Equipment],L8)</f>
        <v>4</v>
      </c>
      <c r="M31" s="98">
        <f>SUMIFS(T_Maint_Innofaso_2[Number of hours],T_Maint_Innofaso_2[Année],A31,T_Maint_Innofaso_2[Mois],B31,T_Maint_Innofaso_2[Maintenance Type],C31,T_Maint_Innofaso_2[Equipment],M8)</f>
        <v>0</v>
      </c>
      <c r="N31" s="98">
        <f>SUMIFS(T_Maint_Innofaso_2[Number of hours],T_Maint_Innofaso_2[Année],A31,T_Maint_Innofaso_2[Mois],B31,T_Maint_Innofaso_2[Maintenance Type],C31,T_Maint_Innofaso_2[Equipment],N8)</f>
        <v>0</v>
      </c>
      <c r="O31" s="98">
        <f>SUMIFS(T_Maint_Innofaso_2[Number of hours],T_Maint_Innofaso_2[Année],A31,T_Maint_Innofaso_2[Mois],B31,T_Maint_Innofaso_2[Maintenance Type],C31,T_Maint_Innofaso_2[Equipment],O8)</f>
        <v>0</v>
      </c>
      <c r="P31" s="99">
        <f t="shared" si="0"/>
        <v>141.67000000000002</v>
      </c>
      <c r="Q31" s="237">
        <f t="shared" ref="Q31" si="10">P31+P32</f>
        <v>145.77000000000001</v>
      </c>
      <c r="R31" s="202" t="s">
        <v>1583</v>
      </c>
      <c r="S31" s="202"/>
      <c r="T31" s="202"/>
      <c r="U31" s="202"/>
      <c r="V31" s="202"/>
      <c r="W31" s="201"/>
      <c r="X31" s="201"/>
      <c r="Y31" s="201"/>
      <c r="Z31" s="201"/>
      <c r="AA31" s="201"/>
      <c r="AB31" s="201"/>
      <c r="AC31" s="201"/>
    </row>
    <row r="32" spans="1:29" ht="29.4" customHeight="1">
      <c r="A32" s="236"/>
      <c r="B32" s="205"/>
      <c r="C32" s="97" t="s">
        <v>208</v>
      </c>
      <c r="D32" s="64">
        <f>SUMIFS(T_Maint_Innofaso_2[Number of hours],T_Maint_Innofaso_2[Année],A31,T_Maint_Innofaso_2[Mois],B31,T_Maint_Innofaso_2[Maintenance Type],C32,T_Maint_Innofaso_2[Equipment],D8)</f>
        <v>0</v>
      </c>
      <c r="E32" s="64">
        <f>SUMIFS(T_Maint_Innofaso_2[Number of hours],T_Maint_Innofaso_2[Année],A31,T_Maint_Innofaso_2[Mois],B31,T_Maint_Innofaso_2[Maintenance Type],C32,T_Maint_Innofaso_2[Equipment],compilation!E8)</f>
        <v>0</v>
      </c>
      <c r="F32" s="64">
        <f>SUMIFS(T_Maint_Innofaso_2[Number of hours],T_Maint_Innofaso_2[Année],A31,T_Maint_Innofaso_2[Mois],B31,T_Maint_Innofaso_2[Maintenance Type],C32,T_Maint_Innofaso_2[Equipment],F8)</f>
        <v>1.6</v>
      </c>
      <c r="G32" s="64">
        <f>SUMIFS(T_Maint_Innofaso_2[Number of hours],T_Maint_Innofaso_2[Année],A31,T_Maint_Innofaso_2[Mois],B31,T_Maint_Innofaso_2[Maintenance Type],C32,T_Maint_Innofaso_2[Equipment],G8)</f>
        <v>0</v>
      </c>
      <c r="H32" s="64">
        <f>SUMIFS(T_Maint_Innofaso_2[Number of hours],T_Maint_Innofaso_2[Année],A31,T_Maint_Innofaso_2[Mois],B31,T_Maint_Innofaso_2[Maintenance Type],C32,T_Maint_Innofaso_2[Equipment],H8)</f>
        <v>0</v>
      </c>
      <c r="I32" s="64">
        <f>SUMIFS(T_Maint_Innofaso_2[Number of hours],T_Maint_Innofaso_2[Année],A31,T_Maint_Innofaso_2[Mois],B31,T_Maint_Innofaso_2[Maintenance Type],C32,T_Maint_Innofaso_2[Equipment],I8)</f>
        <v>2.5</v>
      </c>
      <c r="J32" s="64">
        <f>SUMIFS(T_Maint_Innofaso_2[Number of hours],T_Maint_Innofaso_2[Année],A31,T_Maint_Innofaso_2[Mois],B31,T_Maint_Innofaso_2[Maintenance Type],C32,T_Maint_Innofaso_2[Equipment],J8)</f>
        <v>0</v>
      </c>
      <c r="K32" s="64">
        <f>SUMIFS(T_Maint_Innofaso_2[Number of hours],T_Maint_Innofaso_2[Année],A31,T_Maint_Innofaso_2[Mois],B31,T_Maint_Innofaso_2[Maintenance Type],C32,T_Maint_Innofaso_2[Equipment],K8)</f>
        <v>0</v>
      </c>
      <c r="L32" s="64">
        <f>SUMIFS(T_Maint_Innofaso_2[Number of hours],T_Maint_Innofaso_2[Année],A31,T_Maint_Innofaso_2[Mois],B31,T_Maint_Innofaso_2[Maintenance Type],C32,T_Maint_Innofaso_2[Equipment],L8)</f>
        <v>0</v>
      </c>
      <c r="M32" s="66">
        <f>SUMIFS(T_Maint_Innofaso_2[Number of hours],T_Maint_Innofaso_2[Année],A31,T_Maint_Innofaso_2[Mois],B31,T_Maint_Innofaso_2[Maintenance Type],C32,T_Maint_Innofaso_2[Equipment],M8)</f>
        <v>0</v>
      </c>
      <c r="N32" s="66">
        <f>SUMIFS(T_Maint_Innofaso_2[Number of hours],T_Maint_Innofaso_2[Année],A31,T_Maint_Innofaso_2[Mois],B31,T_Maint_Innofaso_2[Maintenance Type],C32,T_Maint_Innofaso_2[Equipment],N8)</f>
        <v>0</v>
      </c>
      <c r="O32" s="66">
        <f>SUMIFS(T_Maint_Innofaso_2[Number of hours],T_Maint_Innofaso_2[Année],A31,T_Maint_Innofaso_2[Mois],B31,T_Maint_Innofaso_2[Maintenance Type],C32,T_Maint_Innofaso_2[Equipment],O8)</f>
        <v>0</v>
      </c>
      <c r="P32" s="195">
        <f t="shared" si="0"/>
        <v>4.0999999999999996</v>
      </c>
      <c r="Q32" s="237"/>
      <c r="R32" s="202"/>
      <c r="S32" s="202"/>
      <c r="T32" s="202"/>
      <c r="U32" s="202"/>
      <c r="V32" s="202"/>
      <c r="W32" s="201"/>
      <c r="X32" s="201"/>
      <c r="Y32" s="201"/>
      <c r="Z32" s="201"/>
      <c r="AA32" s="201"/>
      <c r="AB32" s="201"/>
      <c r="AC32" s="201"/>
    </row>
    <row r="33" spans="4:17" ht="33" customHeight="1">
      <c r="D33" s="101">
        <f t="shared" ref="D33:Q33" si="11">SUM(D9:D32)</f>
        <v>77.650000000000006</v>
      </c>
      <c r="E33" s="101">
        <f t="shared" si="11"/>
        <v>13</v>
      </c>
      <c r="F33" s="101">
        <f t="shared" si="11"/>
        <v>174.45</v>
      </c>
      <c r="G33" s="101">
        <f t="shared" si="11"/>
        <v>22.8</v>
      </c>
      <c r="H33" s="101">
        <f t="shared" si="11"/>
        <v>13.5</v>
      </c>
      <c r="I33" s="101">
        <f t="shared" si="11"/>
        <v>541.8900000000001</v>
      </c>
      <c r="J33" s="101">
        <f t="shared" si="11"/>
        <v>369</v>
      </c>
      <c r="K33" s="101">
        <f t="shared" si="11"/>
        <v>88.6</v>
      </c>
      <c r="L33" s="101">
        <f t="shared" si="11"/>
        <v>52.95</v>
      </c>
      <c r="M33" s="101">
        <f t="shared" si="11"/>
        <v>8.5</v>
      </c>
      <c r="N33" s="101">
        <f t="shared" si="11"/>
        <v>0</v>
      </c>
      <c r="O33" s="101">
        <f t="shared" si="11"/>
        <v>3.25</v>
      </c>
      <c r="P33" s="102">
        <f t="shared" si="11"/>
        <v>1365.59</v>
      </c>
      <c r="Q33" s="103">
        <f t="shared" si="11"/>
        <v>1365.59</v>
      </c>
    </row>
    <row r="34" spans="4:17" ht="19.8" customHeight="1">
      <c r="P34"/>
    </row>
    <row r="35" spans="4:17" ht="19.8" customHeight="1">
      <c r="P35"/>
    </row>
    <row r="36" spans="4:17" ht="19.8" customHeight="1">
      <c r="E36" s="90" t="s">
        <v>1231</v>
      </c>
      <c r="F36" s="90" t="s">
        <v>1185</v>
      </c>
      <c r="G36" s="83" t="s">
        <v>1186</v>
      </c>
      <c r="H36" s="232" t="s">
        <v>1189</v>
      </c>
      <c r="I36" s="233"/>
      <c r="J36" s="233"/>
      <c r="K36" s="233"/>
      <c r="L36" s="233"/>
      <c r="M36" s="233"/>
      <c r="N36" s="233"/>
      <c r="O36" s="233"/>
      <c r="P36" s="233"/>
      <c r="Q36" s="234"/>
    </row>
    <row r="37" spans="4:17" ht="32.4" customHeight="1">
      <c r="D37" s="88" t="s">
        <v>181</v>
      </c>
      <c r="E37" s="85">
        <f>SUMIFS(P9:P32,C9:C32,D37)</f>
        <v>949.33999999999992</v>
      </c>
      <c r="F37" s="86">
        <f>E37/E39</f>
        <v>0.69518669586039727</v>
      </c>
      <c r="G37" s="64" t="s">
        <v>1187</v>
      </c>
      <c r="H37" s="223" t="s">
        <v>1618</v>
      </c>
      <c r="I37" s="224"/>
      <c r="J37" s="224"/>
      <c r="K37" s="224"/>
      <c r="L37" s="224"/>
      <c r="M37" s="224"/>
      <c r="N37" s="224"/>
      <c r="O37" s="224"/>
      <c r="P37" s="224"/>
      <c r="Q37" s="225"/>
    </row>
    <row r="38" spans="4:17" ht="32.4" customHeight="1">
      <c r="D38" s="89" t="s">
        <v>208</v>
      </c>
      <c r="E38" s="85">
        <f>SUMIFS(P9:P32,C9:C32,D38)</f>
        <v>416.25000000000006</v>
      </c>
      <c r="F38" s="86">
        <f>E38/E39</f>
        <v>0.30481330413960273</v>
      </c>
      <c r="G38" s="64" t="s">
        <v>1188</v>
      </c>
      <c r="H38" s="226"/>
      <c r="I38" s="227"/>
      <c r="J38" s="227"/>
      <c r="K38" s="227"/>
      <c r="L38" s="227"/>
      <c r="M38" s="227"/>
      <c r="N38" s="227"/>
      <c r="O38" s="227"/>
      <c r="P38" s="227"/>
      <c r="Q38" s="228"/>
    </row>
    <row r="39" spans="4:17" ht="33.6" customHeight="1">
      <c r="D39" s="68" t="s">
        <v>1151</v>
      </c>
      <c r="E39" s="85">
        <f>SUM(E37:E38)</f>
        <v>1365.59</v>
      </c>
      <c r="F39" s="87">
        <f>SUM(F37:F38)</f>
        <v>1</v>
      </c>
      <c r="G39" s="63"/>
      <c r="H39" s="229"/>
      <c r="I39" s="230"/>
      <c r="J39" s="230"/>
      <c r="K39" s="230"/>
      <c r="L39" s="230"/>
      <c r="M39" s="230"/>
      <c r="N39" s="230"/>
      <c r="O39" s="230"/>
      <c r="P39" s="230"/>
      <c r="Q39" s="231"/>
    </row>
    <row r="41" spans="4:17">
      <c r="K41" s="67"/>
    </row>
  </sheetData>
  <mergeCells count="102">
    <mergeCell ref="AB31:AB32"/>
    <mergeCell ref="AC31:AC32"/>
    <mergeCell ref="AC25:AC26"/>
    <mergeCell ref="AB25:AB26"/>
    <mergeCell ref="AB27:AB28"/>
    <mergeCell ref="AC27:AC28"/>
    <mergeCell ref="AB29:AB30"/>
    <mergeCell ref="AC29:AC30"/>
    <mergeCell ref="AB19:AB20"/>
    <mergeCell ref="AC19:AC20"/>
    <mergeCell ref="AB21:AB22"/>
    <mergeCell ref="AC21:AC22"/>
    <mergeCell ref="AB23:AB24"/>
    <mergeCell ref="AC23:AC24"/>
    <mergeCell ref="AC11:AC12"/>
    <mergeCell ref="AC13:AC14"/>
    <mergeCell ref="AB15:AB16"/>
    <mergeCell ref="AC15:AC16"/>
    <mergeCell ref="AB17:AB18"/>
    <mergeCell ref="AC17:AC18"/>
    <mergeCell ref="AB9:AB10"/>
    <mergeCell ref="AC9:AC10"/>
    <mergeCell ref="AB11:AB12"/>
    <mergeCell ref="AB13:AB14"/>
    <mergeCell ref="R15:V16"/>
    <mergeCell ref="R17:V18"/>
    <mergeCell ref="R19:V20"/>
    <mergeCell ref="R21:V22"/>
    <mergeCell ref="R23:V24"/>
    <mergeCell ref="R25:V26"/>
    <mergeCell ref="W31:AA32"/>
    <mergeCell ref="W19:AA20"/>
    <mergeCell ref="W21:AA22"/>
    <mergeCell ref="W23:AA24"/>
    <mergeCell ref="W25:AA26"/>
    <mergeCell ref="W27:AA28"/>
    <mergeCell ref="W29:AA30"/>
    <mergeCell ref="R27:V28"/>
    <mergeCell ref="R29:V30"/>
    <mergeCell ref="R31:V32"/>
    <mergeCell ref="W15:AA16"/>
    <mergeCell ref="W17:AA18"/>
    <mergeCell ref="R8:V8"/>
    <mergeCell ref="W8:AA8"/>
    <mergeCell ref="A5:Q5"/>
    <mergeCell ref="Q11:Q12"/>
    <mergeCell ref="Q13:Q14"/>
    <mergeCell ref="A11:A12"/>
    <mergeCell ref="A13:A14"/>
    <mergeCell ref="B11:B12"/>
    <mergeCell ref="B13:B14"/>
    <mergeCell ref="R9:V10"/>
    <mergeCell ref="R11:V12"/>
    <mergeCell ref="R13:V14"/>
    <mergeCell ref="W9:AA10"/>
    <mergeCell ref="W11:AA12"/>
    <mergeCell ref="W13:AA14"/>
    <mergeCell ref="A15:A16"/>
    <mergeCell ref="A17:A18"/>
    <mergeCell ref="A19:A20"/>
    <mergeCell ref="Q31:Q32"/>
    <mergeCell ref="Q19:Q20"/>
    <mergeCell ref="B15:B16"/>
    <mergeCell ref="B17:B18"/>
    <mergeCell ref="B19:B20"/>
    <mergeCell ref="Q15:Q16"/>
    <mergeCell ref="Q17:Q18"/>
    <mergeCell ref="Q21:Q22"/>
    <mergeCell ref="Q23:Q24"/>
    <mergeCell ref="A4:F4"/>
    <mergeCell ref="G4:J4"/>
    <mergeCell ref="K4:Q4"/>
    <mergeCell ref="A7:A8"/>
    <mergeCell ref="A9:A10"/>
    <mergeCell ref="Q9:Q10"/>
    <mergeCell ref="B7:B8"/>
    <mergeCell ref="C7:C8"/>
    <mergeCell ref="B9:B10"/>
    <mergeCell ref="A2:Q2"/>
    <mergeCell ref="A1:F1"/>
    <mergeCell ref="G1:J1"/>
    <mergeCell ref="K1:Q1"/>
    <mergeCell ref="A3:F3"/>
    <mergeCell ref="G3:J3"/>
    <mergeCell ref="K3:Q3"/>
    <mergeCell ref="H37:Q39"/>
    <mergeCell ref="H36:Q36"/>
    <mergeCell ref="A21:A22"/>
    <mergeCell ref="A23:A24"/>
    <mergeCell ref="A25:A26"/>
    <mergeCell ref="A27:A28"/>
    <mergeCell ref="A29:A30"/>
    <mergeCell ref="A31:A32"/>
    <mergeCell ref="Q25:Q26"/>
    <mergeCell ref="B31:B32"/>
    <mergeCell ref="Q27:Q28"/>
    <mergeCell ref="Q29:Q30"/>
    <mergeCell ref="B21:B22"/>
    <mergeCell ref="B23:B24"/>
    <mergeCell ref="B25:B26"/>
    <mergeCell ref="B27:B28"/>
    <mergeCell ref="B29:B30"/>
  </mergeCells>
  <phoneticPr fontId="13" type="noConversion"/>
  <conditionalFormatting sqref="F37:F38">
    <cfRule type="cellIs" dxfId="178" priority="1" operator="lessThan">
      <formula>0.25</formula>
    </cfRule>
  </conditionalFormatting>
  <pageMargins left="0.7" right="0.7" top="0.75" bottom="0.75" header="0.3" footer="0.3"/>
  <ignoredErrors>
    <ignoredError sqref="M12:M29 D11:M11 N11:O29 D18:F18 D12:L15 D20:F20 H20:L20 D21:L25 D19:L19 G18:L18 D28:L29 D10:O10 D17:L17 D16:F16 G16:L16 D26:L27" formula="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C954F-5CBD-4270-98C7-6DB98190C3DE}">
  <dimension ref="A1:Q71"/>
  <sheetViews>
    <sheetView topLeftCell="A10" zoomScale="80" zoomScaleNormal="80" workbookViewId="0">
      <selection activeCell="H27" sqref="H27"/>
    </sheetView>
  </sheetViews>
  <sheetFormatPr baseColWidth="10" defaultRowHeight="14.4"/>
  <cols>
    <col min="2" max="6" width="11.109375" customWidth="1"/>
    <col min="7" max="7" width="11.77734375" customWidth="1"/>
    <col min="8" max="10" width="11.109375" customWidth="1"/>
    <col min="11" max="14" width="12.109375" customWidth="1"/>
    <col min="15" max="15" width="10.6640625" customWidth="1"/>
  </cols>
  <sheetData>
    <row r="1" spans="1:17" ht="33" customHeight="1">
      <c r="A1" s="201"/>
      <c r="B1" s="201"/>
      <c r="C1" s="201"/>
      <c r="D1" s="201"/>
      <c r="E1" s="201"/>
      <c r="F1" s="201"/>
      <c r="G1" s="201"/>
      <c r="H1" s="201"/>
      <c r="I1" s="201"/>
      <c r="J1" s="201"/>
      <c r="K1" s="214" t="s">
        <v>1228</v>
      </c>
      <c r="L1" s="214"/>
      <c r="M1" s="214"/>
      <c r="N1" s="214"/>
      <c r="O1" s="214"/>
      <c r="P1" s="214"/>
      <c r="Q1" s="214"/>
    </row>
    <row r="2" spans="1:17" ht="18">
      <c r="A2" s="210" t="s">
        <v>1227</v>
      </c>
      <c r="B2" s="210"/>
      <c r="C2" s="210"/>
      <c r="D2" s="210"/>
      <c r="E2" s="210"/>
      <c r="F2" s="210"/>
      <c r="G2" s="210"/>
      <c r="H2" s="210"/>
      <c r="I2" s="210"/>
      <c r="J2" s="210"/>
      <c r="K2" s="210"/>
      <c r="L2" s="210"/>
      <c r="M2" s="210"/>
      <c r="N2" s="210"/>
      <c r="O2" s="210"/>
      <c r="P2" s="210"/>
      <c r="Q2" s="210"/>
    </row>
    <row r="3" spans="1:17" ht="18" customHeight="1">
      <c r="A3" s="221" t="s">
        <v>1210</v>
      </c>
      <c r="B3" s="222"/>
      <c r="C3" s="222"/>
      <c r="D3" s="222"/>
      <c r="E3" s="222"/>
      <c r="F3" s="222"/>
      <c r="G3" s="221" t="s">
        <v>1209</v>
      </c>
      <c r="H3" s="222"/>
      <c r="I3" s="222"/>
      <c r="J3" s="222"/>
      <c r="K3" s="221" t="s">
        <v>1229</v>
      </c>
      <c r="L3" s="222"/>
      <c r="M3" s="222"/>
      <c r="N3" s="222"/>
      <c r="O3" s="222"/>
      <c r="P3" s="222"/>
      <c r="Q3" s="222"/>
    </row>
    <row r="4" spans="1:17" ht="64.2" customHeight="1">
      <c r="A4" s="221" t="s">
        <v>1224</v>
      </c>
      <c r="B4" s="222"/>
      <c r="C4" s="222"/>
      <c r="D4" s="222"/>
      <c r="E4" s="222"/>
      <c r="F4" s="222"/>
      <c r="G4" s="221" t="s">
        <v>1225</v>
      </c>
      <c r="H4" s="222"/>
      <c r="I4" s="222"/>
      <c r="J4" s="222"/>
      <c r="K4" s="221" t="s">
        <v>1226</v>
      </c>
      <c r="L4" s="222"/>
      <c r="M4" s="222"/>
      <c r="N4" s="222"/>
      <c r="O4" s="222"/>
      <c r="P4" s="222"/>
      <c r="Q4" s="222"/>
    </row>
    <row r="5" spans="1:17" ht="19.8" customHeight="1">
      <c r="A5" s="222" t="s">
        <v>1211</v>
      </c>
      <c r="B5" s="222"/>
      <c r="C5" s="222"/>
      <c r="D5" s="222"/>
      <c r="E5" s="222"/>
      <c r="F5" s="222"/>
      <c r="G5" s="222"/>
      <c r="H5" s="222"/>
      <c r="I5" s="222"/>
      <c r="J5" s="222"/>
      <c r="K5" s="222"/>
      <c r="L5" s="222"/>
      <c r="M5" s="222"/>
      <c r="N5" s="222"/>
      <c r="O5" s="222"/>
      <c r="P5" s="222"/>
      <c r="Q5" s="222"/>
    </row>
    <row r="9" spans="1:17" ht="43.2" customHeight="1">
      <c r="A9" s="74"/>
      <c r="B9" s="75" t="s">
        <v>1182</v>
      </c>
      <c r="C9" s="76"/>
      <c r="D9" s="76"/>
      <c r="E9" s="76"/>
      <c r="F9" s="76"/>
      <c r="G9" s="76"/>
      <c r="H9" s="76"/>
      <c r="I9" s="76"/>
      <c r="J9" s="76"/>
      <c r="K9" s="76"/>
      <c r="L9" s="76"/>
      <c r="M9" s="76"/>
      <c r="N9" s="76"/>
      <c r="O9" s="76"/>
    </row>
    <row r="10" spans="1:17" ht="61.2" customHeight="1">
      <c r="A10" s="211"/>
      <c r="B10" s="213"/>
      <c r="C10" s="70" t="s">
        <v>188</v>
      </c>
      <c r="D10" s="70" t="s">
        <v>191</v>
      </c>
      <c r="E10" s="70" t="s">
        <v>199</v>
      </c>
      <c r="F10" s="70" t="s">
        <v>193</v>
      </c>
      <c r="G10" s="70" t="s">
        <v>203</v>
      </c>
      <c r="H10" s="70" t="s">
        <v>184</v>
      </c>
      <c r="I10" s="70" t="s">
        <v>652</v>
      </c>
      <c r="J10" s="70" t="s">
        <v>180</v>
      </c>
      <c r="K10" s="70" t="s">
        <v>197</v>
      </c>
      <c r="L10" s="70" t="s">
        <v>200</v>
      </c>
      <c r="M10" s="70" t="s">
        <v>324</v>
      </c>
      <c r="N10" s="70" t="s">
        <v>259</v>
      </c>
      <c r="O10" s="70" t="s">
        <v>1151</v>
      </c>
    </row>
    <row r="11" spans="1:17" ht="18">
      <c r="A11" s="240" t="s">
        <v>1183</v>
      </c>
      <c r="B11" s="92" t="s">
        <v>12</v>
      </c>
      <c r="C11" s="91">
        <f>compilation!J10</f>
        <v>15.9</v>
      </c>
      <c r="D11" s="91">
        <f>compilation!F10</f>
        <v>4.5</v>
      </c>
      <c r="E11" s="91">
        <f>compilation!K10</f>
        <v>10</v>
      </c>
      <c r="F11" s="91">
        <f>compilation!L10</f>
        <v>12.4</v>
      </c>
      <c r="G11" s="91">
        <f>compilation!G10</f>
        <v>0</v>
      </c>
      <c r="H11" s="91">
        <f>compilation!D10</f>
        <v>0</v>
      </c>
      <c r="I11" s="91">
        <f>compilation!O10</f>
        <v>1.25</v>
      </c>
      <c r="J11" s="91">
        <f>compilation!I10</f>
        <v>0</v>
      </c>
      <c r="K11" s="91">
        <f>compilation!H10</f>
        <v>0</v>
      </c>
      <c r="L11" s="91">
        <f>compilation!E10</f>
        <v>0</v>
      </c>
      <c r="M11" s="91">
        <f>compilation!M10</f>
        <v>0</v>
      </c>
      <c r="N11" s="91">
        <f>compilation!N10</f>
        <v>0</v>
      </c>
      <c r="O11" s="93">
        <f t="shared" ref="O11:O22" si="0">C11+D11+E11+F11+G11+H11+I11+J11+K11+L11+M11+N11</f>
        <v>44.05</v>
      </c>
    </row>
    <row r="12" spans="1:17" ht="18">
      <c r="A12" s="240"/>
      <c r="B12" s="73" t="s">
        <v>21</v>
      </c>
      <c r="C12" s="64">
        <f>compilation!J12</f>
        <v>15.3</v>
      </c>
      <c r="D12" s="64">
        <f>compilation!F12</f>
        <v>0</v>
      </c>
      <c r="E12" s="64">
        <f>compilation!K12</f>
        <v>24.9</v>
      </c>
      <c r="F12" s="64">
        <f>compilation!L12</f>
        <v>0</v>
      </c>
      <c r="G12" s="64">
        <f>compilation!G12</f>
        <v>0</v>
      </c>
      <c r="H12" s="64">
        <f>compilation!D12</f>
        <v>0</v>
      </c>
      <c r="I12" s="64">
        <f>compilation!O12</f>
        <v>0</v>
      </c>
      <c r="J12" s="64">
        <f>compilation!I12</f>
        <v>6.9</v>
      </c>
      <c r="K12" s="64">
        <f>compilation!H12</f>
        <v>0</v>
      </c>
      <c r="L12" s="64">
        <f>compilation!E12</f>
        <v>0</v>
      </c>
      <c r="M12" s="64">
        <f>compilation!M12</f>
        <v>0</v>
      </c>
      <c r="N12" s="64">
        <f>compilation!N12</f>
        <v>0</v>
      </c>
      <c r="O12" s="94">
        <f t="shared" si="0"/>
        <v>47.1</v>
      </c>
    </row>
    <row r="13" spans="1:17" ht="18">
      <c r="A13" s="240"/>
      <c r="B13" s="92" t="s">
        <v>27</v>
      </c>
      <c r="C13" s="91">
        <f>compilation!J14</f>
        <v>26.799999999999997</v>
      </c>
      <c r="D13" s="91">
        <f>compilation!F14</f>
        <v>0</v>
      </c>
      <c r="E13" s="91">
        <f>compilation!K14</f>
        <v>2</v>
      </c>
      <c r="F13" s="91">
        <f>compilation!L14</f>
        <v>0</v>
      </c>
      <c r="G13" s="91">
        <f>compilation!G14</f>
        <v>0.6</v>
      </c>
      <c r="H13" s="91">
        <f>compilation!D14</f>
        <v>0</v>
      </c>
      <c r="I13" s="91">
        <f>compilation!O14</f>
        <v>0</v>
      </c>
      <c r="J13" s="91">
        <f>compilation!I14</f>
        <v>1.6</v>
      </c>
      <c r="K13" s="91">
        <f>compilation!H14</f>
        <v>0</v>
      </c>
      <c r="L13" s="91">
        <f>compilation!E14</f>
        <v>0</v>
      </c>
      <c r="M13" s="91">
        <f>compilation!M14</f>
        <v>0</v>
      </c>
      <c r="N13" s="91">
        <f>compilation!M14</f>
        <v>0</v>
      </c>
      <c r="O13" s="93">
        <f t="shared" si="0"/>
        <v>31</v>
      </c>
    </row>
    <row r="14" spans="1:17" ht="18">
      <c r="A14" s="240"/>
      <c r="B14" s="73" t="s">
        <v>28</v>
      </c>
      <c r="C14" s="64">
        <f>compilation!J16</f>
        <v>28</v>
      </c>
      <c r="D14" s="64">
        <f>compilation!F16</f>
        <v>0</v>
      </c>
      <c r="E14" s="64">
        <f>compilation!K16</f>
        <v>0</v>
      </c>
      <c r="F14" s="64">
        <f>compilation!L16</f>
        <v>3.8499999999999996</v>
      </c>
      <c r="G14" s="64">
        <f>compilation!G16</f>
        <v>0</v>
      </c>
      <c r="H14" s="64">
        <f>compilation!D16</f>
        <v>6.4</v>
      </c>
      <c r="I14" s="64">
        <f>compilation!O16</f>
        <v>0</v>
      </c>
      <c r="J14" s="64">
        <f>compilation!I16</f>
        <v>0.5</v>
      </c>
      <c r="K14" s="64">
        <f>compilation!H16</f>
        <v>0</v>
      </c>
      <c r="L14" s="64">
        <f>compilation!E16</f>
        <v>1</v>
      </c>
      <c r="M14" s="64">
        <f>compilation!M16</f>
        <v>0</v>
      </c>
      <c r="N14" s="64">
        <f>compilation!N16</f>
        <v>0</v>
      </c>
      <c r="O14" s="94">
        <f t="shared" si="0"/>
        <v>39.75</v>
      </c>
    </row>
    <row r="15" spans="1:17" ht="18">
      <c r="A15" s="240"/>
      <c r="B15" s="92" t="s">
        <v>31</v>
      </c>
      <c r="C15" s="91">
        <f>compilation!J18</f>
        <v>21.8</v>
      </c>
      <c r="D15" s="91">
        <f>compilation!F18</f>
        <v>8</v>
      </c>
      <c r="E15" s="91">
        <f>compilation!K18</f>
        <v>0</v>
      </c>
      <c r="F15" s="91">
        <f>compilation!L18</f>
        <v>6.5</v>
      </c>
      <c r="G15" s="91">
        <f>compilation!G18</f>
        <v>1.5</v>
      </c>
      <c r="H15" s="91">
        <f>compilation!D18</f>
        <v>2</v>
      </c>
      <c r="I15" s="91">
        <f>compilation!O18</f>
        <v>0</v>
      </c>
      <c r="J15" s="91">
        <f>compilation!I18</f>
        <v>0</v>
      </c>
      <c r="K15" s="91">
        <f>compilation!H18</f>
        <v>0</v>
      </c>
      <c r="L15" s="91">
        <f>compilation!E18</f>
        <v>0</v>
      </c>
      <c r="M15" s="91">
        <f>compilation!M18</f>
        <v>0</v>
      </c>
      <c r="N15" s="91">
        <f>compilation!N18</f>
        <v>0</v>
      </c>
      <c r="O15" s="93">
        <f t="shared" si="0"/>
        <v>39.799999999999997</v>
      </c>
    </row>
    <row r="16" spans="1:17" ht="18">
      <c r="A16" s="240"/>
      <c r="B16" s="73" t="s">
        <v>33</v>
      </c>
      <c r="C16" s="64">
        <f>compilation!J20</f>
        <v>11.25</v>
      </c>
      <c r="D16" s="64">
        <f>compilation!F20</f>
        <v>1</v>
      </c>
      <c r="E16" s="64">
        <f>compilation!K20</f>
        <v>10.7</v>
      </c>
      <c r="F16" s="64">
        <f>compilation!L20</f>
        <v>0</v>
      </c>
      <c r="G16" s="64">
        <f>compilation!G20</f>
        <v>0</v>
      </c>
      <c r="H16" s="64">
        <f>compilation!D20</f>
        <v>3</v>
      </c>
      <c r="I16" s="64">
        <f>compilation!O20</f>
        <v>0</v>
      </c>
      <c r="J16" s="64">
        <f>compilation!I20</f>
        <v>0</v>
      </c>
      <c r="K16" s="64">
        <f>compilation!H20</f>
        <v>0</v>
      </c>
      <c r="L16" s="64">
        <f>compilation!E20</f>
        <v>0</v>
      </c>
      <c r="M16" s="64">
        <f>compilation!M20</f>
        <v>0</v>
      </c>
      <c r="N16" s="64">
        <f>compilation!N20</f>
        <v>0</v>
      </c>
      <c r="O16" s="94">
        <f t="shared" si="0"/>
        <v>25.95</v>
      </c>
    </row>
    <row r="17" spans="1:15" ht="18">
      <c r="A17" s="240"/>
      <c r="B17" s="92" t="s">
        <v>34</v>
      </c>
      <c r="C17" s="91">
        <f>compilation!J22</f>
        <v>23.8</v>
      </c>
      <c r="D17" s="91">
        <f>compilation!F22</f>
        <v>4.7</v>
      </c>
      <c r="E17" s="91">
        <f>compilation!K22</f>
        <v>5</v>
      </c>
      <c r="F17" s="91">
        <f>compilation!L22</f>
        <v>0.95</v>
      </c>
      <c r="G17" s="91">
        <f>compilation!G22</f>
        <v>0</v>
      </c>
      <c r="H17" s="91">
        <f>compilation!D22</f>
        <v>0</v>
      </c>
      <c r="I17" s="91">
        <f>compilation!O22</f>
        <v>0</v>
      </c>
      <c r="J17" s="91">
        <f>compilation!I22</f>
        <v>3.4</v>
      </c>
      <c r="K17" s="91">
        <f>compilation!H22</f>
        <v>0</v>
      </c>
      <c r="L17" s="91">
        <f>compilation!E22</f>
        <v>0</v>
      </c>
      <c r="M17" s="91">
        <f>compilation!M22</f>
        <v>8.5</v>
      </c>
      <c r="N17" s="91">
        <f>compilation!N22</f>
        <v>0</v>
      </c>
      <c r="O17" s="93">
        <f t="shared" si="0"/>
        <v>46.35</v>
      </c>
    </row>
    <row r="18" spans="1:15" ht="18">
      <c r="A18" s="240"/>
      <c r="B18" s="73" t="s">
        <v>38</v>
      </c>
      <c r="C18" s="64">
        <f>compilation!J24</f>
        <v>33.65</v>
      </c>
      <c r="D18" s="64">
        <f>compilation!F24</f>
        <v>1.5</v>
      </c>
      <c r="E18" s="64">
        <f>compilation!K24</f>
        <v>1</v>
      </c>
      <c r="F18" s="64">
        <f>compilation!L24</f>
        <v>0</v>
      </c>
      <c r="G18" s="64">
        <f>compilation!G24</f>
        <v>5.9</v>
      </c>
      <c r="H18" s="64">
        <f>compilation!D24</f>
        <v>0</v>
      </c>
      <c r="I18" s="64">
        <f>compilation!O24</f>
        <v>0</v>
      </c>
      <c r="J18" s="64">
        <f>compilation!I24</f>
        <v>1</v>
      </c>
      <c r="K18" s="64">
        <f>compilation!H24</f>
        <v>0</v>
      </c>
      <c r="L18" s="64">
        <f>compilation!E24</f>
        <v>0</v>
      </c>
      <c r="M18" s="64">
        <f>compilation!M24</f>
        <v>0</v>
      </c>
      <c r="N18" s="64">
        <f>compilation!N24</f>
        <v>0</v>
      </c>
      <c r="O18" s="94">
        <f t="shared" si="0"/>
        <v>43.05</v>
      </c>
    </row>
    <row r="19" spans="1:15" ht="18">
      <c r="A19" s="240"/>
      <c r="B19" s="92" t="s">
        <v>1233</v>
      </c>
      <c r="C19" s="91">
        <f>compilation!J26</f>
        <v>6.85</v>
      </c>
      <c r="D19" s="91">
        <f>compilation!F26</f>
        <v>4</v>
      </c>
      <c r="E19" s="91">
        <f>compilation!K26</f>
        <v>1</v>
      </c>
      <c r="F19" s="91">
        <f>compilation!L26</f>
        <v>5.75</v>
      </c>
      <c r="G19" s="91">
        <f>compilation!G26</f>
        <v>1</v>
      </c>
      <c r="H19" s="91">
        <f>compilation!D26</f>
        <v>1</v>
      </c>
      <c r="I19" s="91">
        <f>compilation!O26</f>
        <v>2</v>
      </c>
      <c r="J19" s="91">
        <f>compilation!I26</f>
        <v>0</v>
      </c>
      <c r="K19" s="91">
        <f>compilation!H26</f>
        <v>0</v>
      </c>
      <c r="L19" s="91">
        <f>compilation!E26</f>
        <v>0</v>
      </c>
      <c r="M19" s="91">
        <f>compilation!M26</f>
        <v>0</v>
      </c>
      <c r="N19" s="91">
        <f>compilation!N26</f>
        <v>0</v>
      </c>
      <c r="O19" s="93">
        <f t="shared" si="0"/>
        <v>21.6</v>
      </c>
    </row>
    <row r="20" spans="1:15" ht="18">
      <c r="A20" s="240"/>
      <c r="B20" s="73" t="s">
        <v>45</v>
      </c>
      <c r="C20" s="64">
        <f>compilation!J28</f>
        <v>16.899999999999999</v>
      </c>
      <c r="D20" s="64">
        <f>compilation!F28</f>
        <v>0</v>
      </c>
      <c r="E20" s="64">
        <f>compilation!K28</f>
        <v>7.5</v>
      </c>
      <c r="F20" s="64">
        <f>compilation!L28</f>
        <v>2.5</v>
      </c>
      <c r="G20" s="64">
        <f>compilation!G28</f>
        <v>0</v>
      </c>
      <c r="H20" s="64">
        <f>compilation!D28</f>
        <v>0.25</v>
      </c>
      <c r="I20" s="64">
        <f>compilation!O28</f>
        <v>0</v>
      </c>
      <c r="J20" s="64">
        <f>compilation!I28</f>
        <v>7.5</v>
      </c>
      <c r="K20" s="64">
        <f>compilation!H28</f>
        <v>0</v>
      </c>
      <c r="L20" s="64">
        <f>compilation!E28</f>
        <v>0</v>
      </c>
      <c r="M20" s="64">
        <f>compilation!M28</f>
        <v>0</v>
      </c>
      <c r="N20" s="64">
        <f>compilation!N28</f>
        <v>0</v>
      </c>
      <c r="O20" s="94">
        <f t="shared" si="0"/>
        <v>34.65</v>
      </c>
    </row>
    <row r="21" spans="1:15" ht="18">
      <c r="A21" s="240"/>
      <c r="B21" s="92" t="s">
        <v>47</v>
      </c>
      <c r="C21" s="91">
        <f>compilation!J30</f>
        <v>15.25</v>
      </c>
      <c r="D21" s="91">
        <f>compilation!F30</f>
        <v>5.15</v>
      </c>
      <c r="E21" s="91">
        <f>compilation!K30</f>
        <v>12</v>
      </c>
      <c r="F21" s="91">
        <f>compilation!L30</f>
        <v>1</v>
      </c>
      <c r="G21" s="91">
        <f>compilation!G30</f>
        <v>1.8</v>
      </c>
      <c r="H21" s="91">
        <f>compilation!D30</f>
        <v>0</v>
      </c>
      <c r="I21" s="91">
        <f>compilation!O30</f>
        <v>0</v>
      </c>
      <c r="J21" s="91">
        <f>compilation!I30</f>
        <v>3.65</v>
      </c>
      <c r="K21" s="91">
        <f>compilation!H30</f>
        <v>0</v>
      </c>
      <c r="L21" s="91">
        <f>compilation!E30</f>
        <v>0</v>
      </c>
      <c r="M21" s="91">
        <f>compilation!M30</f>
        <v>0</v>
      </c>
      <c r="N21" s="91">
        <f>compilation!N30</f>
        <v>0</v>
      </c>
      <c r="O21" s="93">
        <f t="shared" si="0"/>
        <v>38.849999999999994</v>
      </c>
    </row>
    <row r="22" spans="1:15" ht="18">
      <c r="A22" s="240"/>
      <c r="B22" s="73" t="s">
        <v>49</v>
      </c>
      <c r="C22" s="64">
        <f>compilation!J32</f>
        <v>0</v>
      </c>
      <c r="D22" s="64">
        <f>compilation!F32</f>
        <v>1.6</v>
      </c>
      <c r="E22" s="64">
        <f>compilation!K32</f>
        <v>0</v>
      </c>
      <c r="F22" s="64">
        <f>compilation!L32</f>
        <v>0</v>
      </c>
      <c r="G22" s="64">
        <f>compilation!G32</f>
        <v>0</v>
      </c>
      <c r="H22" s="64">
        <f>compilation!D32</f>
        <v>0</v>
      </c>
      <c r="I22" s="64">
        <f>compilation!O32</f>
        <v>0</v>
      </c>
      <c r="J22" s="64">
        <f>compilation!I32</f>
        <v>2.5</v>
      </c>
      <c r="K22" s="64">
        <f>compilation!H32</f>
        <v>0</v>
      </c>
      <c r="L22" s="64">
        <f>compilation!E32</f>
        <v>0</v>
      </c>
      <c r="M22" s="64">
        <f>compilation!M32</f>
        <v>0</v>
      </c>
      <c r="N22" s="64">
        <f>compilation!N32</f>
        <v>0</v>
      </c>
      <c r="O22" s="94">
        <f t="shared" si="0"/>
        <v>4.0999999999999996</v>
      </c>
    </row>
    <row r="23" spans="1:15" s="71" customFormat="1" ht="19.2" customHeight="1">
      <c r="A23" s="240" t="s">
        <v>1184</v>
      </c>
      <c r="B23" s="240"/>
      <c r="C23" s="69">
        <f>C11+C12+C13+C14+C15+C16+C17+C18+C19+C20+C21+C22</f>
        <v>215.5</v>
      </c>
      <c r="D23" s="69">
        <f t="shared" ref="D23:N23" si="1">D11+D12+D13+D14+D15+D16+D17+D18+D19+D20+D21+D22</f>
        <v>30.450000000000003</v>
      </c>
      <c r="E23" s="69">
        <f t="shared" si="1"/>
        <v>74.099999999999994</v>
      </c>
      <c r="F23" s="69">
        <f t="shared" si="1"/>
        <v>32.950000000000003</v>
      </c>
      <c r="G23" s="69">
        <f t="shared" si="1"/>
        <v>10.8</v>
      </c>
      <c r="H23" s="69">
        <f t="shared" si="1"/>
        <v>12.65</v>
      </c>
      <c r="I23" s="69">
        <f t="shared" si="1"/>
        <v>3.25</v>
      </c>
      <c r="J23" s="69">
        <f t="shared" si="1"/>
        <v>27.049999999999997</v>
      </c>
      <c r="K23" s="69">
        <f t="shared" si="1"/>
        <v>0</v>
      </c>
      <c r="L23" s="69">
        <f t="shared" si="1"/>
        <v>1</v>
      </c>
      <c r="M23" s="69">
        <f t="shared" si="1"/>
        <v>8.5</v>
      </c>
      <c r="N23" s="69">
        <f t="shared" si="1"/>
        <v>0</v>
      </c>
      <c r="O23" s="95">
        <f>O11+O12+O13+O14+O15+O16+O17+O18+O19+O20+O21+O22</f>
        <v>416.25</v>
      </c>
    </row>
    <row r="24" spans="1:15" ht="19.2" customHeight="1">
      <c r="A24" s="241" t="s">
        <v>1185</v>
      </c>
      <c r="B24" s="242"/>
      <c r="C24" s="72">
        <f>C23/O23</f>
        <v>0.51771771771771768</v>
      </c>
      <c r="D24" s="72">
        <f>D23/O23</f>
        <v>7.3153153153153155E-2</v>
      </c>
      <c r="E24" s="72">
        <f>E23/O23</f>
        <v>0.178018018018018</v>
      </c>
      <c r="F24" s="72">
        <f>F23/O23</f>
        <v>7.9159159159159165E-2</v>
      </c>
      <c r="G24" s="72">
        <f>G23/O23</f>
        <v>2.5945945945945948E-2</v>
      </c>
      <c r="H24" s="72">
        <f>H23/O23</f>
        <v>3.039039039039039E-2</v>
      </c>
      <c r="I24" s="72">
        <f>I23/O23</f>
        <v>7.8078078078078076E-3</v>
      </c>
      <c r="J24" s="72">
        <f>J23/O23</f>
        <v>6.4984984984984978E-2</v>
      </c>
      <c r="K24" s="72">
        <f>K23/O23</f>
        <v>0</v>
      </c>
      <c r="L24" s="72">
        <f>L23/O23</f>
        <v>2.4024024024024023E-3</v>
      </c>
      <c r="M24" s="72">
        <f>M23/O23</f>
        <v>2.0420420420420419E-2</v>
      </c>
      <c r="N24" s="72">
        <f>N23/O23</f>
        <v>0</v>
      </c>
      <c r="O24" s="96">
        <f>C24+D24+E24+F24+G24+H24+I24+J24+K24+L24+M24+N24</f>
        <v>0.99999999999999989</v>
      </c>
    </row>
    <row r="62" spans="4:5">
      <c r="D62" s="200"/>
      <c r="E62" s="200"/>
    </row>
    <row r="63" spans="4:5">
      <c r="D63" s="200"/>
      <c r="E63" s="200"/>
    </row>
    <row r="64" spans="4:5">
      <c r="D64" s="200"/>
      <c r="E64" s="200"/>
    </row>
    <row r="65" spans="4:5">
      <c r="D65" s="200"/>
      <c r="E65" s="200"/>
    </row>
    <row r="66" spans="4:5">
      <c r="D66" s="200"/>
      <c r="E66" s="200"/>
    </row>
    <row r="67" spans="4:5">
      <c r="D67" s="200"/>
      <c r="E67" s="200"/>
    </row>
    <row r="68" spans="4:5">
      <c r="D68" s="200"/>
      <c r="E68" s="200"/>
    </row>
    <row r="69" spans="4:5">
      <c r="D69" s="200"/>
      <c r="E69" s="200"/>
    </row>
    <row r="70" spans="4:5">
      <c r="D70" s="200"/>
      <c r="E70" s="200"/>
    </row>
    <row r="71" spans="4:5">
      <c r="D71" s="200"/>
      <c r="E71" s="200"/>
    </row>
  </sheetData>
  <mergeCells count="15">
    <mergeCell ref="A11:A22"/>
    <mergeCell ref="A23:B23"/>
    <mergeCell ref="A24:B24"/>
    <mergeCell ref="A10:B10"/>
    <mergeCell ref="A1:F1"/>
    <mergeCell ref="A4:F4"/>
    <mergeCell ref="G4:J4"/>
    <mergeCell ref="K4:Q4"/>
    <mergeCell ref="A5:Q5"/>
    <mergeCell ref="G1:J1"/>
    <mergeCell ref="K1:Q1"/>
    <mergeCell ref="A2:Q2"/>
    <mergeCell ref="A3:F3"/>
    <mergeCell ref="G3:J3"/>
    <mergeCell ref="K3:Q3"/>
  </mergeCells>
  <phoneticPr fontId="13" type="noConversion"/>
  <pageMargins left="0.7" right="0.7" top="0.75" bottom="0.75" header="0.3" footer="0.3"/>
  <ignoredErrors>
    <ignoredError sqref="O23" formula="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6C78-B424-427E-85C4-A963E559641B}">
  <sheetPr>
    <pageSetUpPr fitToPage="1"/>
  </sheetPr>
  <dimension ref="A1:Q154"/>
  <sheetViews>
    <sheetView showGridLines="0" topLeftCell="A129" zoomScale="80" zoomScaleNormal="80" workbookViewId="0">
      <selection activeCell="E10" sqref="E10"/>
    </sheetView>
  </sheetViews>
  <sheetFormatPr baseColWidth="10" defaultRowHeight="14.4"/>
  <cols>
    <col min="2" max="3" width="13.21875" customWidth="1"/>
    <col min="4" max="4" width="14.88671875" customWidth="1"/>
    <col min="5" max="5" width="14.33203125" customWidth="1"/>
    <col min="7" max="7" width="14.21875" customWidth="1"/>
    <col min="9" max="10" width="14.5546875" customWidth="1"/>
    <col min="11" max="11" width="30.21875" customWidth="1"/>
    <col min="12" max="12" width="30.44140625" customWidth="1"/>
    <col min="14" max="14" width="14.44140625" customWidth="1"/>
    <col min="15" max="15" width="16.77734375" customWidth="1"/>
    <col min="16" max="16" width="15.21875" customWidth="1"/>
    <col min="17" max="17" width="58.5546875" customWidth="1"/>
  </cols>
  <sheetData>
    <row r="1" spans="1:17" ht="33.6" customHeight="1">
      <c r="A1" s="201"/>
      <c r="B1" s="201"/>
      <c r="C1" s="201"/>
      <c r="D1" s="201"/>
      <c r="E1" s="201"/>
      <c r="F1" s="201"/>
      <c r="G1" s="201"/>
      <c r="H1" s="201"/>
      <c r="I1" s="201"/>
      <c r="J1" s="201"/>
      <c r="K1" s="246" t="s">
        <v>1228</v>
      </c>
      <c r="L1" s="246"/>
    </row>
    <row r="2" spans="1:17" ht="26.4" customHeight="1">
      <c r="A2" s="210" t="s">
        <v>1227</v>
      </c>
      <c r="B2" s="210"/>
      <c r="C2" s="210"/>
      <c r="D2" s="210"/>
      <c r="E2" s="210"/>
      <c r="F2" s="210"/>
      <c r="G2" s="210"/>
      <c r="H2" s="210"/>
      <c r="I2" s="210"/>
      <c r="J2" s="210"/>
      <c r="K2" s="210"/>
      <c r="L2" s="210"/>
    </row>
    <row r="3" spans="1:17" ht="26.4" customHeight="1">
      <c r="A3" s="221" t="s">
        <v>1210</v>
      </c>
      <c r="B3" s="222"/>
      <c r="C3" s="222"/>
      <c r="D3" s="222"/>
      <c r="E3" s="222"/>
      <c r="F3" s="222"/>
      <c r="G3" s="221" t="s">
        <v>1209</v>
      </c>
      <c r="H3" s="222"/>
      <c r="I3" s="222"/>
      <c r="J3" s="222"/>
      <c r="K3" s="247" t="s">
        <v>1230</v>
      </c>
      <c r="L3" s="247"/>
      <c r="N3" s="67"/>
    </row>
    <row r="4" spans="1:17" ht="63" customHeight="1">
      <c r="A4" s="221" t="s">
        <v>1224</v>
      </c>
      <c r="B4" s="222"/>
      <c r="C4" s="222"/>
      <c r="D4" s="222"/>
      <c r="E4" s="222"/>
      <c r="F4" s="222"/>
      <c r="G4" s="221" t="s">
        <v>1225</v>
      </c>
      <c r="H4" s="222"/>
      <c r="I4" s="222"/>
      <c r="J4" s="222"/>
      <c r="K4" s="221" t="s">
        <v>1226</v>
      </c>
      <c r="L4" s="221"/>
    </row>
    <row r="5" spans="1:17" ht="14.4" customHeight="1"/>
    <row r="6" spans="1:17" ht="15" hidden="1" thickBot="1"/>
    <row r="7" spans="1:17" ht="15" hidden="1" thickBot="1"/>
    <row r="8" spans="1:17" ht="15" hidden="1" thickBot="1"/>
    <row r="9" spans="1:17" ht="8.4" customHeight="1" thickBot="1"/>
    <row r="10" spans="1:17" ht="36.6" customHeight="1" thickTop="1" thickBot="1">
      <c r="A10" s="139" t="s">
        <v>1190</v>
      </c>
      <c r="B10" s="140" t="s">
        <v>1258</v>
      </c>
      <c r="C10" s="141" t="s">
        <v>1257</v>
      </c>
      <c r="D10" s="141" t="s">
        <v>1250</v>
      </c>
      <c r="E10" s="141" t="s">
        <v>1285</v>
      </c>
      <c r="F10" s="141" t="s">
        <v>1246</v>
      </c>
      <c r="G10" s="142" t="s">
        <v>1259</v>
      </c>
      <c r="H10" s="143" t="s">
        <v>1248</v>
      </c>
      <c r="I10" s="143" t="s">
        <v>1249</v>
      </c>
      <c r="J10" s="143" t="s">
        <v>1254</v>
      </c>
      <c r="K10" s="144" t="s">
        <v>1247</v>
      </c>
      <c r="L10" s="145" t="s">
        <v>1255</v>
      </c>
    </row>
    <row r="11" spans="1:17" ht="14.4" customHeight="1">
      <c r="A11" s="252" t="s">
        <v>1256</v>
      </c>
      <c r="B11" s="251">
        <v>45663</v>
      </c>
      <c r="C11" s="243" t="s">
        <v>1198</v>
      </c>
      <c r="D11" s="110" t="s">
        <v>1201</v>
      </c>
      <c r="E11" s="156"/>
      <c r="F11" s="111" t="s">
        <v>1251</v>
      </c>
      <c r="G11" s="107"/>
      <c r="H11" s="108">
        <v>0.33333333333333331</v>
      </c>
      <c r="I11" s="109">
        <f>1-(G11/H11)</f>
        <v>1</v>
      </c>
      <c r="J11" s="109">
        <v>0.9</v>
      </c>
      <c r="K11" s="82"/>
      <c r="L11" s="82"/>
    </row>
    <row r="12" spans="1:17" ht="14.4" customHeight="1">
      <c r="A12" s="253"/>
      <c r="B12" s="244"/>
      <c r="C12" s="244"/>
      <c r="D12" s="110" t="s">
        <v>1201</v>
      </c>
      <c r="E12" s="156"/>
      <c r="F12" s="111" t="s">
        <v>1252</v>
      </c>
      <c r="G12" s="107"/>
      <c r="H12" s="108">
        <v>0.33333333333333331</v>
      </c>
      <c r="I12" s="109">
        <f>1-(G12/H12)</f>
        <v>1</v>
      </c>
      <c r="J12" s="109">
        <v>0.9</v>
      </c>
      <c r="K12" s="82"/>
      <c r="L12" s="82"/>
      <c r="N12" s="258" t="s">
        <v>1358</v>
      </c>
      <c r="O12" s="258"/>
    </row>
    <row r="13" spans="1:17" ht="14.4" customHeight="1">
      <c r="A13" s="253"/>
      <c r="B13" s="244"/>
      <c r="C13" s="245"/>
      <c r="D13" s="110" t="s">
        <v>1201</v>
      </c>
      <c r="E13" s="110"/>
      <c r="F13" s="114" t="s">
        <v>1253</v>
      </c>
      <c r="G13" s="107"/>
      <c r="H13" s="108">
        <v>0.33333333333333298</v>
      </c>
      <c r="I13" s="109">
        <f t="shared" ref="I13:I55" si="0">1-(G13/H13)</f>
        <v>1</v>
      </c>
      <c r="J13" s="109">
        <v>0.9</v>
      </c>
      <c r="K13" s="82"/>
      <c r="L13" s="82"/>
    </row>
    <row r="14" spans="1:17" ht="14.4" customHeight="1">
      <c r="A14" s="253"/>
      <c r="B14" s="244"/>
      <c r="C14" s="248" t="s">
        <v>1196</v>
      </c>
      <c r="D14" s="132" t="s">
        <v>1191</v>
      </c>
      <c r="E14" s="132"/>
      <c r="F14" s="125" t="s">
        <v>1251</v>
      </c>
      <c r="G14" s="126"/>
      <c r="H14" s="127">
        <v>0.33333333333333298</v>
      </c>
      <c r="I14" s="134">
        <f t="shared" si="0"/>
        <v>1</v>
      </c>
      <c r="J14" s="134">
        <v>0.9</v>
      </c>
      <c r="K14" s="135"/>
      <c r="L14" s="137"/>
    </row>
    <row r="15" spans="1:17" ht="14.4" customHeight="1">
      <c r="A15" s="253"/>
      <c r="B15" s="244"/>
      <c r="C15" s="249"/>
      <c r="D15" s="132" t="s">
        <v>1191</v>
      </c>
      <c r="E15" s="132"/>
      <c r="F15" s="125" t="s">
        <v>1252</v>
      </c>
      <c r="G15" s="126"/>
      <c r="H15" s="127">
        <v>0.33333333333333298</v>
      </c>
      <c r="I15" s="134">
        <f t="shared" si="0"/>
        <v>1</v>
      </c>
      <c r="J15" s="134">
        <v>0.9</v>
      </c>
      <c r="K15" s="135"/>
      <c r="L15" s="136"/>
      <c r="N15" s="255" t="s">
        <v>1287</v>
      </c>
      <c r="O15" s="255" t="s">
        <v>1288</v>
      </c>
      <c r="P15" s="255" t="s">
        <v>1289</v>
      </c>
      <c r="Q15" s="255" t="s">
        <v>1290</v>
      </c>
    </row>
    <row r="16" spans="1:17" ht="14.4" customHeight="1">
      <c r="A16" s="253"/>
      <c r="B16" s="244"/>
      <c r="C16" s="250"/>
      <c r="D16" s="132" t="s">
        <v>1191</v>
      </c>
      <c r="E16" s="132"/>
      <c r="F16" s="128" t="s">
        <v>1253</v>
      </c>
      <c r="G16" s="126"/>
      <c r="H16" s="127">
        <v>0.33333333333333298</v>
      </c>
      <c r="I16" s="134">
        <f t="shared" si="0"/>
        <v>1</v>
      </c>
      <c r="J16" s="134">
        <v>0.9</v>
      </c>
      <c r="K16" s="133"/>
      <c r="L16" s="136"/>
      <c r="N16" s="255"/>
      <c r="O16" s="255"/>
      <c r="P16" s="255"/>
      <c r="Q16" s="255"/>
    </row>
    <row r="17" spans="1:17" ht="14.4" customHeight="1">
      <c r="A17" s="253"/>
      <c r="B17" s="244"/>
      <c r="C17" s="243" t="s">
        <v>1197</v>
      </c>
      <c r="D17" s="78" t="s">
        <v>1192</v>
      </c>
      <c r="E17" s="78" t="s">
        <v>1193</v>
      </c>
      <c r="F17" s="111" t="s">
        <v>1251</v>
      </c>
      <c r="G17" s="107">
        <v>0.14444444444444443</v>
      </c>
      <c r="H17" s="108">
        <v>0.33333333333333298</v>
      </c>
      <c r="I17" s="109">
        <f t="shared" si="0"/>
        <v>0.56666666666666621</v>
      </c>
      <c r="J17" s="109">
        <v>0.9</v>
      </c>
      <c r="K17" s="82" t="s">
        <v>1260</v>
      </c>
      <c r="L17" s="112"/>
      <c r="N17" s="161" t="s">
        <v>1251</v>
      </c>
      <c r="O17" s="162">
        <f>(I56+I104+I152)/3</f>
        <v>0.41092592592592569</v>
      </c>
      <c r="P17" s="254">
        <f>(O17+O18+O19)/3</f>
        <v>0.72370370370370363</v>
      </c>
      <c r="Q17" s="256" t="s">
        <v>1291</v>
      </c>
    </row>
    <row r="18" spans="1:17" ht="14.4" customHeight="1">
      <c r="A18" s="253"/>
      <c r="B18" s="244"/>
      <c r="C18" s="244"/>
      <c r="D18" s="78" t="s">
        <v>1192</v>
      </c>
      <c r="E18" s="78" t="s">
        <v>1193</v>
      </c>
      <c r="F18" s="111" t="s">
        <v>1252</v>
      </c>
      <c r="G18" s="107"/>
      <c r="H18" s="108">
        <v>0.33333333333333298</v>
      </c>
      <c r="I18" s="109">
        <f t="shared" si="0"/>
        <v>1</v>
      </c>
      <c r="J18" s="109">
        <v>0.9</v>
      </c>
      <c r="K18" s="82"/>
      <c r="L18" s="82"/>
      <c r="N18" s="161" t="s">
        <v>1252</v>
      </c>
      <c r="O18" s="162">
        <f>(I57+I105+I153)/3</f>
        <v>0.92245370370370372</v>
      </c>
      <c r="P18" s="254"/>
      <c r="Q18" s="257"/>
    </row>
    <row r="19" spans="1:17" ht="15" customHeight="1" thickBot="1">
      <c r="A19" s="253"/>
      <c r="B19" s="245"/>
      <c r="C19" s="245"/>
      <c r="D19" s="78" t="s">
        <v>1192</v>
      </c>
      <c r="E19" s="78" t="s">
        <v>1193</v>
      </c>
      <c r="F19" s="114" t="s">
        <v>1253</v>
      </c>
      <c r="G19" s="107"/>
      <c r="H19" s="108">
        <v>0.33333333333333298</v>
      </c>
      <c r="I19" s="109">
        <f t="shared" si="0"/>
        <v>1</v>
      </c>
      <c r="J19" s="109">
        <v>0.9</v>
      </c>
      <c r="K19" s="82"/>
      <c r="L19" s="82"/>
      <c r="N19" s="161" t="s">
        <v>1253</v>
      </c>
      <c r="O19" s="162">
        <f>(I58+I106+I154)/3</f>
        <v>0.83773148148148147</v>
      </c>
      <c r="P19" s="254"/>
      <c r="Q19" s="257"/>
    </row>
    <row r="20" spans="1:17" ht="14.4" customHeight="1">
      <c r="A20" s="253"/>
      <c r="B20" s="251">
        <v>45664</v>
      </c>
      <c r="C20" s="248" t="s">
        <v>1198</v>
      </c>
      <c r="D20" s="132" t="s">
        <v>1194</v>
      </c>
      <c r="E20" s="132"/>
      <c r="F20" s="125" t="s">
        <v>1251</v>
      </c>
      <c r="G20" s="126">
        <v>0.33333333333333331</v>
      </c>
      <c r="H20" s="127">
        <v>0.33333333333333298</v>
      </c>
      <c r="I20" s="134">
        <f t="shared" si="0"/>
        <v>0</v>
      </c>
      <c r="J20" s="134">
        <v>0.9</v>
      </c>
      <c r="K20" s="135" t="s">
        <v>1261</v>
      </c>
      <c r="L20" s="137"/>
    </row>
    <row r="21" spans="1:17" ht="14.4" customHeight="1">
      <c r="A21" s="253"/>
      <c r="B21" s="244"/>
      <c r="C21" s="249"/>
      <c r="D21" s="132" t="s">
        <v>1194</v>
      </c>
      <c r="E21" s="132"/>
      <c r="F21" s="125" t="s">
        <v>1252</v>
      </c>
      <c r="G21" s="126"/>
      <c r="H21" s="127">
        <v>0.33333333333333298</v>
      </c>
      <c r="I21" s="134">
        <f t="shared" si="0"/>
        <v>1</v>
      </c>
      <c r="J21" s="134">
        <v>0.9</v>
      </c>
      <c r="K21" s="135"/>
      <c r="L21" s="136"/>
    </row>
    <row r="22" spans="1:17" ht="14.4" customHeight="1">
      <c r="A22" s="253"/>
      <c r="B22" s="244"/>
      <c r="C22" s="250"/>
      <c r="D22" s="132" t="s">
        <v>1194</v>
      </c>
      <c r="E22" s="133"/>
      <c r="F22" s="128" t="s">
        <v>1253</v>
      </c>
      <c r="G22" s="126"/>
      <c r="H22" s="127">
        <v>0.33333333333333298</v>
      </c>
      <c r="I22" s="134">
        <f t="shared" si="0"/>
        <v>1</v>
      </c>
      <c r="J22" s="134">
        <v>0.9</v>
      </c>
      <c r="K22" s="133"/>
      <c r="L22" s="136"/>
      <c r="N22" s="255" t="s">
        <v>1287</v>
      </c>
      <c r="O22" s="255" t="s">
        <v>1288</v>
      </c>
      <c r="P22" s="255" t="s">
        <v>1292</v>
      </c>
      <c r="Q22" s="255" t="s">
        <v>1290</v>
      </c>
    </row>
    <row r="23" spans="1:17" ht="14.4" customHeight="1">
      <c r="A23" s="253"/>
      <c r="B23" s="244"/>
      <c r="C23" s="243" t="s">
        <v>1196</v>
      </c>
      <c r="D23" s="78" t="s">
        <v>1191</v>
      </c>
      <c r="E23" s="78"/>
      <c r="F23" s="111" t="s">
        <v>1251</v>
      </c>
      <c r="G23" s="107"/>
      <c r="H23" s="108">
        <v>0.33333333333333298</v>
      </c>
      <c r="I23" s="109">
        <f t="shared" si="0"/>
        <v>1</v>
      </c>
      <c r="J23" s="109">
        <v>0.9</v>
      </c>
      <c r="K23" s="82"/>
      <c r="L23" s="112"/>
      <c r="N23" s="255"/>
      <c r="O23" s="255"/>
      <c r="P23" s="255"/>
      <c r="Q23" s="255"/>
    </row>
    <row r="24" spans="1:17" ht="14.4" customHeight="1">
      <c r="A24" s="253"/>
      <c r="B24" s="244"/>
      <c r="C24" s="244"/>
      <c r="D24" s="78" t="s">
        <v>1191</v>
      </c>
      <c r="E24" s="78"/>
      <c r="F24" s="111" t="s">
        <v>1252</v>
      </c>
      <c r="G24" s="107">
        <v>0.33333333333333331</v>
      </c>
      <c r="H24" s="108">
        <v>0.33333333333333298</v>
      </c>
      <c r="I24" s="109">
        <f t="shared" si="0"/>
        <v>0</v>
      </c>
      <c r="J24" s="109">
        <v>0.9</v>
      </c>
      <c r="K24" s="82" t="s">
        <v>1261</v>
      </c>
      <c r="L24" s="82"/>
      <c r="N24" s="161" t="s">
        <v>1251</v>
      </c>
      <c r="O24" s="162">
        <f>(AVERAGEIFS(I11:I55,D11:D55,P24,F11:F55,N24)+AVERAGEIFS(I59:I103,D59:D103,P24,F59:F103,N24)+AVERAGEIFS(I107:I151,D107:D151,P24,F107:F151,N24))/3</f>
        <v>0.45319444444444429</v>
      </c>
      <c r="P24" s="260" t="s">
        <v>1191</v>
      </c>
      <c r="Q24" s="224" t="s">
        <v>1291</v>
      </c>
    </row>
    <row r="25" spans="1:17" ht="14.4" customHeight="1">
      <c r="A25" s="253"/>
      <c r="B25" s="244"/>
      <c r="C25" s="245"/>
      <c r="D25" s="78" t="s">
        <v>1191</v>
      </c>
      <c r="E25" s="113"/>
      <c r="F25" s="114" t="s">
        <v>1253</v>
      </c>
      <c r="G25" s="107"/>
      <c r="H25" s="108">
        <v>0.33333333333333298</v>
      </c>
      <c r="I25" s="109">
        <f t="shared" si="0"/>
        <v>1</v>
      </c>
      <c r="J25" s="109">
        <v>0.9</v>
      </c>
      <c r="K25" s="82"/>
      <c r="L25" s="82"/>
      <c r="N25" s="161" t="s">
        <v>1252</v>
      </c>
      <c r="O25" s="162">
        <f>(AVERAGEIFS(I11:I55,D11:D55,P24,F11:F55,N25)+AVERAGEIFS(I59:I103,D59:D103,P24,F59:F103,N25)+AVERAGEIFS(I107:I151,D107:D151,P24,F107:F151,N25))/3</f>
        <v>0.82048611111111092</v>
      </c>
      <c r="P25" s="261"/>
      <c r="Q25" s="227"/>
    </row>
    <row r="26" spans="1:17" ht="14.4" customHeight="1">
      <c r="A26" s="253"/>
      <c r="B26" s="244"/>
      <c r="C26" s="248" t="s">
        <v>1197</v>
      </c>
      <c r="D26" s="132" t="s">
        <v>1192</v>
      </c>
      <c r="E26" s="132" t="s">
        <v>1193</v>
      </c>
      <c r="F26" s="125" t="s">
        <v>1251</v>
      </c>
      <c r="G26" s="126">
        <v>0.30208333333333331</v>
      </c>
      <c r="H26" s="127">
        <v>0.33333333333333298</v>
      </c>
      <c r="I26" s="134">
        <f t="shared" si="0"/>
        <v>9.3749999999999112E-2</v>
      </c>
      <c r="J26" s="134">
        <v>0.9</v>
      </c>
      <c r="K26" s="135" t="s">
        <v>1262</v>
      </c>
      <c r="L26" s="137" t="s">
        <v>1263</v>
      </c>
      <c r="N26" s="161" t="s">
        <v>1253</v>
      </c>
      <c r="O26" s="162">
        <f>(AVERAGEIFS(I11:I55,D11:D55,P24,F11:F55,N26)+AVERAGEIFS(I59:I103,D59:D103,P24,F59:F103,N26)+AVERAGEIFS(I107:I151,D107:D151,P24,F107:F151,N26))/3</f>
        <v>0.81961805555555545</v>
      </c>
      <c r="P26" s="261"/>
      <c r="Q26" s="227"/>
    </row>
    <row r="27" spans="1:17" ht="14.4" customHeight="1">
      <c r="A27" s="253"/>
      <c r="B27" s="244"/>
      <c r="C27" s="249"/>
      <c r="D27" s="132" t="s">
        <v>1192</v>
      </c>
      <c r="E27" s="132" t="s">
        <v>1193</v>
      </c>
      <c r="F27" s="129" t="s">
        <v>1252</v>
      </c>
      <c r="G27" s="126">
        <v>0.14583333333333334</v>
      </c>
      <c r="H27" s="127">
        <v>0.33333333333333298</v>
      </c>
      <c r="I27" s="134">
        <f t="shared" si="0"/>
        <v>0.56249999999999956</v>
      </c>
      <c r="J27" s="134">
        <v>0.9</v>
      </c>
      <c r="K27" s="135" t="s">
        <v>1264</v>
      </c>
      <c r="L27" s="136" t="s">
        <v>1265</v>
      </c>
      <c r="N27" s="161" t="s">
        <v>1293</v>
      </c>
      <c r="O27" s="162">
        <f>(O24+O25+O26)/3</f>
        <v>0.69776620370370368</v>
      </c>
      <c r="P27" s="261"/>
      <c r="Q27" s="227"/>
    </row>
    <row r="28" spans="1:17" ht="14.4" customHeight="1" thickBot="1">
      <c r="A28" s="253"/>
      <c r="B28" s="245"/>
      <c r="C28" s="250"/>
      <c r="D28" s="132" t="s">
        <v>1192</v>
      </c>
      <c r="E28" s="132" t="s">
        <v>1193</v>
      </c>
      <c r="F28" s="128" t="s">
        <v>1253</v>
      </c>
      <c r="G28" s="130">
        <v>0.1388888888888889</v>
      </c>
      <c r="H28" s="131">
        <v>0.33333333333333298</v>
      </c>
      <c r="I28" s="138">
        <f t="shared" si="0"/>
        <v>0.58333333333333282</v>
      </c>
      <c r="J28" s="134">
        <v>0.9</v>
      </c>
      <c r="K28" s="133" t="s">
        <v>1266</v>
      </c>
      <c r="L28" s="136"/>
    </row>
    <row r="29" spans="1:17" ht="15" customHeight="1">
      <c r="A29" s="253"/>
      <c r="B29" s="251">
        <v>45665</v>
      </c>
      <c r="C29" s="243" t="s">
        <v>1198</v>
      </c>
      <c r="D29" s="78" t="s">
        <v>1194</v>
      </c>
      <c r="E29" s="78"/>
      <c r="F29" s="111" t="s">
        <v>1251</v>
      </c>
      <c r="G29" s="107">
        <v>0.24305555555555555</v>
      </c>
      <c r="H29" s="108">
        <v>0.33333333333333298</v>
      </c>
      <c r="I29" s="109">
        <f t="shared" si="0"/>
        <v>0.27083333333333259</v>
      </c>
      <c r="J29" s="109">
        <v>0.9</v>
      </c>
      <c r="K29" s="82" t="s">
        <v>1262</v>
      </c>
      <c r="L29" s="112" t="s">
        <v>1263</v>
      </c>
      <c r="N29" s="255" t="s">
        <v>1287</v>
      </c>
      <c r="O29" s="255" t="s">
        <v>1288</v>
      </c>
      <c r="P29" s="255" t="s">
        <v>1292</v>
      </c>
      <c r="Q29" s="255" t="s">
        <v>1290</v>
      </c>
    </row>
    <row r="30" spans="1:17" ht="15" customHeight="1">
      <c r="A30" s="253"/>
      <c r="B30" s="244"/>
      <c r="C30" s="244"/>
      <c r="D30" s="78" t="s">
        <v>1194</v>
      </c>
      <c r="E30" s="78"/>
      <c r="F30" s="106" t="s">
        <v>1252</v>
      </c>
      <c r="G30" s="107">
        <v>0.14583333333333334</v>
      </c>
      <c r="H30" s="108">
        <v>0.33333333333333298</v>
      </c>
      <c r="I30" s="109">
        <f t="shared" si="0"/>
        <v>0.56249999999999956</v>
      </c>
      <c r="J30" s="109">
        <v>0.9</v>
      </c>
      <c r="K30" s="82" t="s">
        <v>1264</v>
      </c>
      <c r="L30" s="82"/>
      <c r="N30" s="255"/>
      <c r="O30" s="255"/>
      <c r="P30" s="255"/>
      <c r="Q30" s="255"/>
    </row>
    <row r="31" spans="1:17" ht="15" customHeight="1">
      <c r="A31" s="253"/>
      <c r="B31" s="244"/>
      <c r="C31" s="245"/>
      <c r="D31" s="78" t="s">
        <v>1194</v>
      </c>
      <c r="E31" s="113"/>
      <c r="F31" s="114" t="s">
        <v>1253</v>
      </c>
      <c r="G31" s="107">
        <v>0.33333333333333331</v>
      </c>
      <c r="H31" s="108">
        <v>0.33333333333333298</v>
      </c>
      <c r="I31" s="109">
        <f t="shared" si="0"/>
        <v>0</v>
      </c>
      <c r="J31" s="109">
        <v>0.9</v>
      </c>
      <c r="K31" s="82" t="s">
        <v>1267</v>
      </c>
      <c r="L31" s="82" t="s">
        <v>1268</v>
      </c>
      <c r="N31" s="161" t="s">
        <v>1251</v>
      </c>
      <c r="O31" s="162">
        <f>(AVERAGEIFS(I11:I55,D11:D55,P31,F11:F55,N31)+AVERAGEIFS(I59:I103,D59:D103,P31,F59:F103,N31)+AVERAGEIFS(I107:I151,D107:D151,P31,F107:F151,N31))/3</f>
        <v>0.27784722222222197</v>
      </c>
      <c r="P31" s="254" t="s">
        <v>1194</v>
      </c>
      <c r="Q31" s="259" t="s">
        <v>1291</v>
      </c>
    </row>
    <row r="32" spans="1:17" ht="15" customHeight="1">
      <c r="A32" s="253"/>
      <c r="B32" s="244"/>
      <c r="C32" s="248" t="s">
        <v>1196</v>
      </c>
      <c r="D32" s="132" t="s">
        <v>1191</v>
      </c>
      <c r="E32" s="132"/>
      <c r="F32" s="125" t="s">
        <v>1251</v>
      </c>
      <c r="G32" s="126"/>
      <c r="H32" s="127">
        <v>0.33333333333333298</v>
      </c>
      <c r="I32" s="134">
        <f t="shared" si="0"/>
        <v>1</v>
      </c>
      <c r="J32" s="134">
        <v>0.9</v>
      </c>
      <c r="K32" s="135"/>
      <c r="L32" s="137"/>
      <c r="N32" s="161" t="s">
        <v>1252</v>
      </c>
      <c r="O32" s="162">
        <f>(AVERAGEIFS(I11:I55,D11:D55,P31,F11:F55,N32)+AVERAGEIFS(I59:I103,D59:D103,P31,F59:F103,N32)+AVERAGEIFS(I107:I151,D107:D151,P31,F107:F151,N32))/3</f>
        <v>0.96354166666666663</v>
      </c>
      <c r="P32" s="254"/>
      <c r="Q32" s="259"/>
    </row>
    <row r="33" spans="1:17" ht="15" customHeight="1">
      <c r="A33" s="253"/>
      <c r="B33" s="244"/>
      <c r="C33" s="249"/>
      <c r="D33" s="132" t="s">
        <v>1191</v>
      </c>
      <c r="E33" s="132"/>
      <c r="F33" s="129" t="s">
        <v>1252</v>
      </c>
      <c r="G33" s="126">
        <v>5.9027777777777776E-2</v>
      </c>
      <c r="H33" s="127">
        <v>0.33333333333333298</v>
      </c>
      <c r="I33" s="134">
        <f t="shared" si="0"/>
        <v>0.82291666666666652</v>
      </c>
      <c r="J33" s="134">
        <v>0.9</v>
      </c>
      <c r="K33" s="135" t="s">
        <v>1264</v>
      </c>
      <c r="L33" s="136" t="s">
        <v>1269</v>
      </c>
      <c r="N33" s="161" t="s">
        <v>1253</v>
      </c>
      <c r="O33" s="162">
        <f>(AVERAGEIFS(I11:I55,D11:D55,P31,F11:F55,N33)+AVERAGEIFS(I59:I103,D59:D103,P31,F59:F103,N33)+AVERAGEIFS(I107:I151,D107:D151,P31,F107:F151,N33))/3</f>
        <v>0.81666666666666676</v>
      </c>
      <c r="P33" s="254"/>
      <c r="Q33" s="259"/>
    </row>
    <row r="34" spans="1:17" ht="15" customHeight="1">
      <c r="A34" s="253"/>
      <c r="B34" s="244"/>
      <c r="C34" s="250"/>
      <c r="D34" s="132" t="s">
        <v>1191</v>
      </c>
      <c r="E34" s="133"/>
      <c r="F34" s="128" t="s">
        <v>1253</v>
      </c>
      <c r="G34" s="126">
        <v>0.33333333333333331</v>
      </c>
      <c r="H34" s="127">
        <v>0.33333333333333298</v>
      </c>
      <c r="I34" s="134">
        <f t="shared" si="0"/>
        <v>0</v>
      </c>
      <c r="J34" s="134">
        <v>0.9</v>
      </c>
      <c r="K34" s="133" t="s">
        <v>1267</v>
      </c>
      <c r="L34" s="136" t="s">
        <v>1268</v>
      </c>
      <c r="N34" s="161" t="s">
        <v>1293</v>
      </c>
      <c r="O34" s="162">
        <f>(O31+O32+O33)/3</f>
        <v>0.68601851851851847</v>
      </c>
      <c r="P34" s="254"/>
      <c r="Q34" s="259"/>
    </row>
    <row r="35" spans="1:17" ht="15" customHeight="1">
      <c r="A35" s="253"/>
      <c r="B35" s="244"/>
      <c r="C35" s="243" t="s">
        <v>1197</v>
      </c>
      <c r="D35" s="78" t="s">
        <v>1192</v>
      </c>
      <c r="E35" s="78" t="s">
        <v>1193</v>
      </c>
      <c r="F35" s="111" t="s">
        <v>1251</v>
      </c>
      <c r="G35" s="107"/>
      <c r="H35" s="108">
        <v>0.33333333333333298</v>
      </c>
      <c r="I35" s="109">
        <f t="shared" si="0"/>
        <v>1</v>
      </c>
      <c r="J35" s="109">
        <v>0.9</v>
      </c>
      <c r="K35" s="82"/>
      <c r="L35" s="112"/>
    </row>
    <row r="36" spans="1:17" ht="15" customHeight="1">
      <c r="A36" s="253"/>
      <c r="B36" s="244"/>
      <c r="C36" s="244"/>
      <c r="D36" s="78" t="s">
        <v>1192</v>
      </c>
      <c r="E36" s="78" t="s">
        <v>1193</v>
      </c>
      <c r="F36" s="106" t="s">
        <v>1252</v>
      </c>
      <c r="G36" s="107"/>
      <c r="H36" s="108">
        <v>0.33333333333333298</v>
      </c>
      <c r="I36" s="109">
        <f t="shared" si="0"/>
        <v>1</v>
      </c>
      <c r="J36" s="109">
        <v>0.9</v>
      </c>
      <c r="K36" s="82"/>
      <c r="L36" s="82"/>
      <c r="N36" s="255" t="s">
        <v>1287</v>
      </c>
      <c r="O36" s="255" t="s">
        <v>1288</v>
      </c>
      <c r="P36" s="255" t="s">
        <v>1292</v>
      </c>
      <c r="Q36" s="255" t="s">
        <v>1290</v>
      </c>
    </row>
    <row r="37" spans="1:17" ht="15.6" customHeight="1" thickBot="1">
      <c r="A37" s="253"/>
      <c r="B37" s="245"/>
      <c r="C37" s="245"/>
      <c r="D37" s="78" t="s">
        <v>1192</v>
      </c>
      <c r="E37" s="78" t="s">
        <v>1193</v>
      </c>
      <c r="F37" s="114" t="s">
        <v>1253</v>
      </c>
      <c r="G37" s="107">
        <v>0.33333333333333331</v>
      </c>
      <c r="H37" s="108">
        <v>0.33333333333333298</v>
      </c>
      <c r="I37" s="109">
        <f t="shared" si="0"/>
        <v>0</v>
      </c>
      <c r="J37" s="109">
        <v>0.9</v>
      </c>
      <c r="K37" s="82" t="s">
        <v>1267</v>
      </c>
      <c r="L37" s="82" t="s">
        <v>1268</v>
      </c>
      <c r="N37" s="255"/>
      <c r="O37" s="255"/>
      <c r="P37" s="255"/>
      <c r="Q37" s="255"/>
    </row>
    <row r="38" spans="1:17" ht="15" customHeight="1">
      <c r="A38" s="253"/>
      <c r="B38" s="251">
        <v>45666</v>
      </c>
      <c r="C38" s="248" t="s">
        <v>1198</v>
      </c>
      <c r="D38" s="78" t="s">
        <v>1194</v>
      </c>
      <c r="E38" s="78"/>
      <c r="F38" s="125" t="s">
        <v>1251</v>
      </c>
      <c r="G38" s="126"/>
      <c r="H38" s="127">
        <v>0.33333333333333298</v>
      </c>
      <c r="I38" s="134">
        <f t="shared" si="0"/>
        <v>1</v>
      </c>
      <c r="J38" s="134">
        <v>0.9</v>
      </c>
      <c r="K38" s="135"/>
      <c r="L38" s="137"/>
      <c r="N38" s="161" t="s">
        <v>1251</v>
      </c>
      <c r="O38" s="162">
        <f>(AVERAGEIFS(I11:I55,E11:E55,P38,F11:F55,N38)+AVERAGEIFS(I59:I103,D59:D103,P38,F59:F103,N38)+AVERAGEIFS(I107:I151,D107:D151,P38,F107:F151,N38))/3</f>
        <v>0.37430555555555528</v>
      </c>
      <c r="P38" s="254" t="s">
        <v>1193</v>
      </c>
      <c r="Q38" s="259" t="s">
        <v>1291</v>
      </c>
    </row>
    <row r="39" spans="1:17" ht="15" customHeight="1">
      <c r="A39" s="253"/>
      <c r="B39" s="244"/>
      <c r="C39" s="249"/>
      <c r="D39" s="78" t="s">
        <v>1194</v>
      </c>
      <c r="E39" s="78"/>
      <c r="F39" s="129" t="s">
        <v>1252</v>
      </c>
      <c r="G39" s="126"/>
      <c r="H39" s="127">
        <v>0.33333333333333298</v>
      </c>
      <c r="I39" s="134">
        <f t="shared" si="0"/>
        <v>1</v>
      </c>
      <c r="J39" s="134">
        <v>0.9</v>
      </c>
      <c r="K39" s="135"/>
      <c r="L39" s="136"/>
      <c r="N39" s="161" t="s">
        <v>1252</v>
      </c>
      <c r="O39" s="162">
        <f>(AVERAGEIFS(I11:I55,E11:E55,P38,F11:F55,N39)+AVERAGEIFS(I59:I103,D59:D103,P38,F59:F103,N39)+AVERAGEIFS(I107:I151,D107:D151,P38,F107:F151,N39))/3</f>
        <v>0.97083333333333333</v>
      </c>
      <c r="P39" s="254"/>
      <c r="Q39" s="259"/>
    </row>
    <row r="40" spans="1:17" ht="15" customHeight="1">
      <c r="A40" s="253"/>
      <c r="B40" s="244"/>
      <c r="C40" s="250"/>
      <c r="D40" s="78" t="s">
        <v>1194</v>
      </c>
      <c r="E40" s="113"/>
      <c r="F40" s="128" t="s">
        <v>1253</v>
      </c>
      <c r="G40" s="126"/>
      <c r="H40" s="127">
        <v>0.33333333333333298</v>
      </c>
      <c r="I40" s="134">
        <f t="shared" si="0"/>
        <v>1</v>
      </c>
      <c r="J40" s="134">
        <v>0.9</v>
      </c>
      <c r="K40" s="133"/>
      <c r="L40" s="136"/>
      <c r="N40" s="161" t="s">
        <v>1253</v>
      </c>
      <c r="O40" s="162">
        <f>(AVERAGEIFS(I11:I55,E11:E55,P38,F11:F55,N40)+AVERAGEIFS(I59:I103,D59:D103,P38,F59:F103,N40)+AVERAGEIFS(I107:I151,D107:D151,P38,F107:F151,N40))/3</f>
        <v>0.83159722222222221</v>
      </c>
      <c r="P40" s="254"/>
      <c r="Q40" s="259"/>
    </row>
    <row r="41" spans="1:17" ht="15" customHeight="1">
      <c r="A41" s="253"/>
      <c r="B41" s="244"/>
      <c r="C41" s="243" t="s">
        <v>1196</v>
      </c>
      <c r="D41" s="132" t="s">
        <v>1191</v>
      </c>
      <c r="E41" s="132"/>
      <c r="F41" s="111" t="s">
        <v>1251</v>
      </c>
      <c r="G41" s="107"/>
      <c r="H41" s="108">
        <v>0.33333333333333298</v>
      </c>
      <c r="I41" s="109">
        <f t="shared" si="0"/>
        <v>1</v>
      </c>
      <c r="J41" s="109">
        <v>0.9</v>
      </c>
      <c r="K41" s="82"/>
      <c r="L41" s="112"/>
      <c r="N41" s="161" t="s">
        <v>1293</v>
      </c>
      <c r="O41" s="162">
        <f>(O38+O39+O40)/3</f>
        <v>0.7255787037037037</v>
      </c>
      <c r="P41" s="254"/>
      <c r="Q41" s="259"/>
    </row>
    <row r="42" spans="1:17" ht="15" customHeight="1">
      <c r="A42" s="253"/>
      <c r="B42" s="244"/>
      <c r="C42" s="244"/>
      <c r="D42" s="132" t="s">
        <v>1191</v>
      </c>
      <c r="E42" s="132"/>
      <c r="F42" s="106" t="s">
        <v>1252</v>
      </c>
      <c r="G42" s="107">
        <v>9.7222222222222224E-2</v>
      </c>
      <c r="H42" s="108">
        <v>0.33333333333333298</v>
      </c>
      <c r="I42" s="109">
        <f t="shared" si="0"/>
        <v>0.70833333333333304</v>
      </c>
      <c r="J42" s="109">
        <v>0.9</v>
      </c>
      <c r="K42" s="82" t="s">
        <v>1264</v>
      </c>
      <c r="L42" s="82" t="s">
        <v>1269</v>
      </c>
    </row>
    <row r="43" spans="1:17" ht="15" customHeight="1">
      <c r="A43" s="253"/>
      <c r="B43" s="244"/>
      <c r="C43" s="245"/>
      <c r="D43" s="132" t="s">
        <v>1191</v>
      </c>
      <c r="E43" s="133"/>
      <c r="F43" s="114" t="s">
        <v>1253</v>
      </c>
      <c r="G43" s="107">
        <v>0.33333333333333331</v>
      </c>
      <c r="H43" s="108">
        <v>0.33333333333333298</v>
      </c>
      <c r="I43" s="109">
        <f t="shared" si="0"/>
        <v>0</v>
      </c>
      <c r="J43" s="109">
        <v>0.9</v>
      </c>
      <c r="K43" s="82" t="s">
        <v>1267</v>
      </c>
      <c r="L43" s="82" t="s">
        <v>1268</v>
      </c>
      <c r="N43" s="255" t="s">
        <v>1287</v>
      </c>
      <c r="O43" s="255" t="s">
        <v>1288</v>
      </c>
      <c r="P43" s="255" t="s">
        <v>1292</v>
      </c>
      <c r="Q43" s="255" t="s">
        <v>1290</v>
      </c>
    </row>
    <row r="44" spans="1:17" ht="15" customHeight="1">
      <c r="A44" s="253"/>
      <c r="B44" s="244"/>
      <c r="C44" s="248" t="s">
        <v>1197</v>
      </c>
      <c r="D44" s="78" t="s">
        <v>1192</v>
      </c>
      <c r="E44" s="78" t="s">
        <v>1193</v>
      </c>
      <c r="F44" s="125" t="s">
        <v>1251</v>
      </c>
      <c r="G44" s="126"/>
      <c r="H44" s="127">
        <v>0.33333333333333298</v>
      </c>
      <c r="I44" s="134">
        <f t="shared" si="0"/>
        <v>1</v>
      </c>
      <c r="J44" s="134">
        <v>0.9</v>
      </c>
      <c r="K44" s="135"/>
      <c r="L44" s="137"/>
      <c r="N44" s="255"/>
      <c r="O44" s="255"/>
      <c r="P44" s="255"/>
      <c r="Q44" s="255"/>
    </row>
    <row r="45" spans="1:17" ht="15" customHeight="1">
      <c r="A45" s="253"/>
      <c r="B45" s="244"/>
      <c r="C45" s="249"/>
      <c r="D45" s="78" t="s">
        <v>1192</v>
      </c>
      <c r="E45" s="78" t="s">
        <v>1193</v>
      </c>
      <c r="F45" s="129" t="s">
        <v>1252</v>
      </c>
      <c r="G45" s="126"/>
      <c r="H45" s="127">
        <v>0.33333333333333298</v>
      </c>
      <c r="I45" s="134">
        <f t="shared" si="0"/>
        <v>1</v>
      </c>
      <c r="J45" s="134">
        <v>0.9</v>
      </c>
      <c r="K45" s="135"/>
      <c r="L45" s="136"/>
      <c r="N45" s="161" t="s">
        <v>1251</v>
      </c>
      <c r="O45" s="162">
        <f>AVERAGEIFS(I11:I55,D11:D55,P45,F11:F55,N45)</f>
        <v>0.53208333333333313</v>
      </c>
      <c r="P45" s="254" t="s">
        <v>1192</v>
      </c>
      <c r="Q45" s="259" t="s">
        <v>1294</v>
      </c>
    </row>
    <row r="46" spans="1:17" ht="15.6" customHeight="1" thickBot="1">
      <c r="A46" s="253"/>
      <c r="B46" s="245"/>
      <c r="C46" s="250"/>
      <c r="D46" s="78" t="s">
        <v>1192</v>
      </c>
      <c r="E46" s="78" t="s">
        <v>1193</v>
      </c>
      <c r="F46" s="128" t="s">
        <v>1253</v>
      </c>
      <c r="G46" s="126"/>
      <c r="H46" s="127">
        <v>0.33333333333333298</v>
      </c>
      <c r="I46" s="134">
        <f t="shared" si="0"/>
        <v>1</v>
      </c>
      <c r="J46" s="134">
        <v>0.9</v>
      </c>
      <c r="K46" s="133"/>
      <c r="L46" s="136"/>
      <c r="N46" s="161" t="s">
        <v>1252</v>
      </c>
      <c r="O46" s="162">
        <f>AVERAGEIFS(I11:I55,D11:D55,P45,F11:F55,N46)</f>
        <v>0.91249999999999998</v>
      </c>
      <c r="P46" s="254"/>
      <c r="Q46" s="259"/>
    </row>
    <row r="47" spans="1:17" ht="15" customHeight="1">
      <c r="A47" s="253"/>
      <c r="B47" s="251">
        <v>45667</v>
      </c>
      <c r="C47" s="243" t="s">
        <v>1198</v>
      </c>
      <c r="D47" s="78" t="s">
        <v>1194</v>
      </c>
      <c r="E47" s="78"/>
      <c r="F47" s="111" t="s">
        <v>1251</v>
      </c>
      <c r="G47" s="107"/>
      <c r="H47" s="108">
        <v>0.33333333333333298</v>
      </c>
      <c r="I47" s="109">
        <f t="shared" si="0"/>
        <v>1</v>
      </c>
      <c r="J47" s="109">
        <v>0.9</v>
      </c>
      <c r="K47" s="82"/>
      <c r="L47" s="112"/>
      <c r="N47" s="161" t="s">
        <v>1253</v>
      </c>
      <c r="O47" s="162">
        <f>AVERAGEIFS(I11:I55,D11:D55,P45,F11:F55,N47)</f>
        <v>0.71666666666666656</v>
      </c>
      <c r="P47" s="254"/>
      <c r="Q47" s="259"/>
    </row>
    <row r="48" spans="1:17" ht="15" customHeight="1">
      <c r="A48" s="253"/>
      <c r="B48" s="244"/>
      <c r="C48" s="244"/>
      <c r="D48" s="78" t="s">
        <v>1194</v>
      </c>
      <c r="E48" s="78"/>
      <c r="F48" s="106" t="s">
        <v>1252</v>
      </c>
      <c r="G48" s="107"/>
      <c r="H48" s="108">
        <v>0.33333333333333298</v>
      </c>
      <c r="I48" s="109">
        <f t="shared" si="0"/>
        <v>1</v>
      </c>
      <c r="J48" s="109">
        <v>0.9</v>
      </c>
      <c r="K48" s="82"/>
      <c r="L48" s="82"/>
      <c r="N48" s="161" t="s">
        <v>1293</v>
      </c>
      <c r="O48" s="162">
        <f>(O45+O46+O47)/3</f>
        <v>0.72041666666666659</v>
      </c>
      <c r="P48" s="254"/>
      <c r="Q48" s="259"/>
    </row>
    <row r="49" spans="1:12" ht="15" customHeight="1">
      <c r="A49" s="253"/>
      <c r="B49" s="244"/>
      <c r="C49" s="245"/>
      <c r="D49" s="78" t="s">
        <v>1194</v>
      </c>
      <c r="E49" s="113"/>
      <c r="F49" s="114" t="s">
        <v>1253</v>
      </c>
      <c r="G49" s="107">
        <v>0.33333333333333331</v>
      </c>
      <c r="H49" s="108">
        <v>0.33333333333333298</v>
      </c>
      <c r="I49" s="109">
        <f t="shared" si="0"/>
        <v>0</v>
      </c>
      <c r="J49" s="109">
        <v>0.9</v>
      </c>
      <c r="K49" s="82" t="s">
        <v>1267</v>
      </c>
      <c r="L49" s="82" t="s">
        <v>1268</v>
      </c>
    </row>
    <row r="50" spans="1:12" ht="15" customHeight="1">
      <c r="A50" s="253"/>
      <c r="B50" s="244"/>
      <c r="C50" s="248" t="s">
        <v>1196</v>
      </c>
      <c r="D50" s="132" t="s">
        <v>1191</v>
      </c>
      <c r="E50" s="132"/>
      <c r="F50" s="125" t="s">
        <v>1251</v>
      </c>
      <c r="G50" s="126"/>
      <c r="H50" s="127">
        <v>0.33333333333333298</v>
      </c>
      <c r="I50" s="134">
        <f t="shared" si="0"/>
        <v>1</v>
      </c>
      <c r="J50" s="134">
        <v>0.9</v>
      </c>
      <c r="K50" s="135"/>
      <c r="L50" s="137"/>
    </row>
    <row r="51" spans="1:12" ht="15" customHeight="1">
      <c r="A51" s="253"/>
      <c r="B51" s="244"/>
      <c r="C51" s="249"/>
      <c r="D51" s="132" t="s">
        <v>1191</v>
      </c>
      <c r="E51" s="132"/>
      <c r="F51" s="129" t="s">
        <v>1252</v>
      </c>
      <c r="G51" s="126">
        <v>0.1736111111111111</v>
      </c>
      <c r="H51" s="127">
        <v>0.33333333333333298</v>
      </c>
      <c r="I51" s="134">
        <f t="shared" si="0"/>
        <v>0.47916666666666619</v>
      </c>
      <c r="J51" s="134">
        <v>0.9</v>
      </c>
      <c r="K51" s="135" t="s">
        <v>1264</v>
      </c>
      <c r="L51" s="136" t="s">
        <v>1269</v>
      </c>
    </row>
    <row r="52" spans="1:12" ht="15" customHeight="1">
      <c r="A52" s="253"/>
      <c r="B52" s="244"/>
      <c r="C52" s="250"/>
      <c r="D52" s="132" t="s">
        <v>1191</v>
      </c>
      <c r="E52" s="133"/>
      <c r="F52" s="128" t="s">
        <v>1253</v>
      </c>
      <c r="G52" s="126">
        <v>0.1423611111111111</v>
      </c>
      <c r="H52" s="127">
        <v>0.33333333333333298</v>
      </c>
      <c r="I52" s="134">
        <f t="shared" si="0"/>
        <v>0.5729166666666663</v>
      </c>
      <c r="J52" s="134">
        <v>0.9</v>
      </c>
      <c r="K52" s="133" t="s">
        <v>1270</v>
      </c>
      <c r="L52" s="136" t="s">
        <v>1268</v>
      </c>
    </row>
    <row r="53" spans="1:12" ht="15" customHeight="1">
      <c r="A53" s="253"/>
      <c r="B53" s="244"/>
      <c r="C53" s="243" t="s">
        <v>1197</v>
      </c>
      <c r="D53" s="78" t="s">
        <v>1192</v>
      </c>
      <c r="E53" s="78" t="s">
        <v>1193</v>
      </c>
      <c r="F53" s="111" t="s">
        <v>1251</v>
      </c>
      <c r="G53" s="107">
        <v>0.33333333333333331</v>
      </c>
      <c r="H53" s="108">
        <v>0.33333333333333298</v>
      </c>
      <c r="I53" s="109">
        <f t="shared" si="0"/>
        <v>0</v>
      </c>
      <c r="J53" s="109">
        <v>0.9</v>
      </c>
      <c r="K53" s="82" t="s">
        <v>1264</v>
      </c>
      <c r="L53" s="82" t="s">
        <v>1271</v>
      </c>
    </row>
    <row r="54" spans="1:12" ht="15" customHeight="1">
      <c r="A54" s="253"/>
      <c r="B54" s="244"/>
      <c r="C54" s="244"/>
      <c r="D54" s="78" t="s">
        <v>1192</v>
      </c>
      <c r="E54" s="78" t="s">
        <v>1193</v>
      </c>
      <c r="F54" s="106" t="s">
        <v>1252</v>
      </c>
      <c r="G54" s="107"/>
      <c r="H54" s="108">
        <v>0.33333333333333298</v>
      </c>
      <c r="I54" s="109">
        <f t="shared" si="0"/>
        <v>1</v>
      </c>
      <c r="J54" s="109">
        <v>0.9</v>
      </c>
      <c r="K54" s="82"/>
      <c r="L54" s="82"/>
    </row>
    <row r="55" spans="1:12" ht="15.6" customHeight="1">
      <c r="A55" s="253"/>
      <c r="B55" s="245"/>
      <c r="C55" s="245"/>
      <c r="D55" s="78" t="s">
        <v>1192</v>
      </c>
      <c r="E55" s="78" t="s">
        <v>1193</v>
      </c>
      <c r="F55" s="114" t="s">
        <v>1253</v>
      </c>
      <c r="G55" s="122"/>
      <c r="H55" s="123">
        <v>0.33333333333333298</v>
      </c>
      <c r="I55" s="109">
        <f t="shared" si="0"/>
        <v>1</v>
      </c>
      <c r="J55" s="109">
        <v>0.9</v>
      </c>
      <c r="K55" s="82"/>
      <c r="L55" s="82"/>
    </row>
    <row r="56" spans="1:12" ht="15.6" customHeight="1">
      <c r="A56" s="253"/>
      <c r="B56" s="117"/>
      <c r="C56" s="117"/>
      <c r="D56" s="118"/>
      <c r="E56" s="118"/>
      <c r="F56" s="119" t="s">
        <v>1251</v>
      </c>
      <c r="G56" s="124"/>
      <c r="H56" s="124"/>
      <c r="I56" s="120">
        <f>AVERAGEIF(F11:F55,F56,I11:I55)</f>
        <v>0.7287499999999999</v>
      </c>
      <c r="J56" s="121">
        <v>0.9</v>
      </c>
      <c r="K56" s="118"/>
      <c r="L56" s="116"/>
    </row>
    <row r="57" spans="1:12" ht="15.6" customHeight="1">
      <c r="A57" s="253"/>
      <c r="B57" s="117"/>
      <c r="C57" s="117"/>
      <c r="D57" s="118"/>
      <c r="E57" s="118"/>
      <c r="F57" s="119" t="s">
        <v>1252</v>
      </c>
      <c r="G57" s="124"/>
      <c r="H57" s="124"/>
      <c r="I57" s="120">
        <f>AVERAGEIF(F12:F56,F57,I12:I56)</f>
        <v>0.80902777777777779</v>
      </c>
      <c r="J57" s="121">
        <v>0.9</v>
      </c>
      <c r="K57" s="118"/>
      <c r="L57" s="116"/>
    </row>
    <row r="58" spans="1:12" ht="15.6" customHeight="1" thickBot="1">
      <c r="A58" s="253"/>
      <c r="B58" s="117"/>
      <c r="C58" s="117"/>
      <c r="D58" s="118"/>
      <c r="E58" s="118"/>
      <c r="F58" s="119" t="s">
        <v>1253</v>
      </c>
      <c r="G58" s="124"/>
      <c r="H58" s="124"/>
      <c r="I58" s="120">
        <f>AVERAGEIF(F13:F57,F58,I13:I57)</f>
        <v>0.61041666666666672</v>
      </c>
      <c r="J58" s="121">
        <v>0.9</v>
      </c>
      <c r="K58" s="118"/>
      <c r="L58" s="116"/>
    </row>
    <row r="59" spans="1:12" ht="14.4" customHeight="1">
      <c r="A59" s="252" t="s">
        <v>1272</v>
      </c>
      <c r="B59" s="251">
        <v>45670</v>
      </c>
      <c r="C59" s="243" t="s">
        <v>1198</v>
      </c>
      <c r="D59" s="110" t="s">
        <v>1201</v>
      </c>
      <c r="E59" s="156"/>
      <c r="F59" s="111" t="s">
        <v>1251</v>
      </c>
      <c r="G59" s="107"/>
      <c r="H59" s="108">
        <v>0.33333333333333331</v>
      </c>
      <c r="I59" s="109">
        <f>1-(G59/H59)</f>
        <v>1</v>
      </c>
      <c r="J59" s="109">
        <v>0.9</v>
      </c>
      <c r="K59" s="82"/>
      <c r="L59" s="82"/>
    </row>
    <row r="60" spans="1:12" ht="14.4" customHeight="1">
      <c r="A60" s="253"/>
      <c r="B60" s="244"/>
      <c r="C60" s="244"/>
      <c r="D60" s="110" t="s">
        <v>1201</v>
      </c>
      <c r="E60" s="156"/>
      <c r="F60" s="111" t="s">
        <v>1252</v>
      </c>
      <c r="G60" s="107"/>
      <c r="H60" s="108">
        <v>0.33333333333333331</v>
      </c>
      <c r="I60" s="109">
        <f>1-(G60/H60)</f>
        <v>1</v>
      </c>
      <c r="J60" s="109">
        <v>0.9</v>
      </c>
      <c r="K60" s="82"/>
      <c r="L60" s="82"/>
    </row>
    <row r="61" spans="1:12" ht="14.4" customHeight="1">
      <c r="A61" s="253"/>
      <c r="B61" s="244"/>
      <c r="C61" s="245"/>
      <c r="D61" s="110" t="s">
        <v>1201</v>
      </c>
      <c r="E61" s="157"/>
      <c r="F61" s="114" t="s">
        <v>1253</v>
      </c>
      <c r="G61" s="107"/>
      <c r="H61" s="108">
        <v>0.33333333333333298</v>
      </c>
      <c r="I61" s="109">
        <f t="shared" ref="I61:I103" si="1">1-(G61/H61)</f>
        <v>1</v>
      </c>
      <c r="J61" s="109">
        <v>0.9</v>
      </c>
      <c r="K61" s="82"/>
      <c r="L61" s="82"/>
    </row>
    <row r="62" spans="1:12" ht="14.4" customHeight="1">
      <c r="A62" s="253"/>
      <c r="B62" s="244"/>
      <c r="C62" s="248" t="s">
        <v>1196</v>
      </c>
      <c r="D62" s="132" t="s">
        <v>1194</v>
      </c>
      <c r="E62" s="158"/>
      <c r="F62" s="125" t="s">
        <v>1251</v>
      </c>
      <c r="G62" s="126">
        <v>0.33333333333333331</v>
      </c>
      <c r="H62" s="127">
        <v>0.33333333333333298</v>
      </c>
      <c r="I62" s="109">
        <f t="shared" si="1"/>
        <v>0</v>
      </c>
      <c r="J62" s="134">
        <v>0.9</v>
      </c>
      <c r="K62" s="135" t="s">
        <v>1264</v>
      </c>
      <c r="L62" s="136" t="s">
        <v>1269</v>
      </c>
    </row>
    <row r="63" spans="1:12" ht="14.4" customHeight="1">
      <c r="A63" s="253"/>
      <c r="B63" s="244"/>
      <c r="C63" s="249"/>
      <c r="D63" s="132" t="s">
        <v>1194</v>
      </c>
      <c r="E63" s="158"/>
      <c r="F63" s="125" t="s">
        <v>1252</v>
      </c>
      <c r="G63" s="126"/>
      <c r="H63" s="127">
        <v>0.33333333333333298</v>
      </c>
      <c r="I63" s="109">
        <f t="shared" si="1"/>
        <v>1</v>
      </c>
      <c r="J63" s="134">
        <v>0.9</v>
      </c>
      <c r="K63" s="135"/>
      <c r="L63" s="136"/>
    </row>
    <row r="64" spans="1:12" ht="14.4" customHeight="1">
      <c r="A64" s="253"/>
      <c r="B64" s="244"/>
      <c r="C64" s="250"/>
      <c r="D64" s="132" t="s">
        <v>1194</v>
      </c>
      <c r="E64" s="133"/>
      <c r="F64" s="128" t="s">
        <v>1253</v>
      </c>
      <c r="G64" s="126"/>
      <c r="H64" s="127">
        <v>0.33333333333333298</v>
      </c>
      <c r="I64" s="109">
        <f t="shared" si="1"/>
        <v>1</v>
      </c>
      <c r="J64" s="134">
        <v>0.9</v>
      </c>
      <c r="K64" s="133"/>
      <c r="L64" s="136"/>
    </row>
    <row r="65" spans="1:12" ht="14.4" customHeight="1">
      <c r="A65" s="253"/>
      <c r="B65" s="244"/>
      <c r="C65" s="243" t="s">
        <v>1197</v>
      </c>
      <c r="D65" s="78" t="s">
        <v>1191</v>
      </c>
      <c r="E65" s="159"/>
      <c r="F65" s="111" t="s">
        <v>1251</v>
      </c>
      <c r="G65" s="126">
        <v>0.20833333333333334</v>
      </c>
      <c r="H65" s="108">
        <v>0.33333333333333298</v>
      </c>
      <c r="I65" s="109">
        <f t="shared" si="1"/>
        <v>0.37499999999999933</v>
      </c>
      <c r="J65" s="109">
        <v>0.9</v>
      </c>
      <c r="K65" s="82" t="s">
        <v>1264</v>
      </c>
      <c r="L65" s="82" t="s">
        <v>1269</v>
      </c>
    </row>
    <row r="66" spans="1:12" ht="14.4" customHeight="1">
      <c r="A66" s="253"/>
      <c r="B66" s="244"/>
      <c r="C66" s="244"/>
      <c r="D66" s="78" t="s">
        <v>1191</v>
      </c>
      <c r="E66" s="159"/>
      <c r="F66" s="111" t="s">
        <v>1252</v>
      </c>
      <c r="G66" s="107">
        <v>6.25E-2</v>
      </c>
      <c r="H66" s="108">
        <v>0.33333333333333298</v>
      </c>
      <c r="I66" s="109">
        <f t="shared" si="1"/>
        <v>0.81249999999999978</v>
      </c>
      <c r="J66" s="109">
        <v>0.9</v>
      </c>
      <c r="K66" s="82"/>
      <c r="L66" s="82"/>
    </row>
    <row r="67" spans="1:12" ht="15" customHeight="1" thickBot="1">
      <c r="A67" s="253"/>
      <c r="B67" s="245"/>
      <c r="C67" s="245"/>
      <c r="D67" s="78" t="s">
        <v>1191</v>
      </c>
      <c r="E67" s="113"/>
      <c r="F67" s="114" t="s">
        <v>1253</v>
      </c>
      <c r="G67" s="107"/>
      <c r="H67" s="108">
        <v>0.33333333333333298</v>
      </c>
      <c r="I67" s="109">
        <f t="shared" si="1"/>
        <v>1</v>
      </c>
      <c r="J67" s="109">
        <v>0.9</v>
      </c>
      <c r="K67" s="82"/>
      <c r="L67" s="82"/>
    </row>
    <row r="68" spans="1:12" ht="14.4" customHeight="1">
      <c r="A68" s="253"/>
      <c r="B68" s="251">
        <v>45671</v>
      </c>
      <c r="C68" s="248" t="s">
        <v>1198</v>
      </c>
      <c r="D68" s="132" t="s">
        <v>1193</v>
      </c>
      <c r="E68" s="158"/>
      <c r="F68" s="125" t="s">
        <v>1251</v>
      </c>
      <c r="G68" s="126"/>
      <c r="H68" s="127">
        <v>0.33333333333333298</v>
      </c>
      <c r="I68" s="109">
        <f t="shared" si="1"/>
        <v>1</v>
      </c>
      <c r="J68" s="134">
        <v>0.9</v>
      </c>
      <c r="K68" s="135"/>
      <c r="L68" s="137"/>
    </row>
    <row r="69" spans="1:12" ht="14.4" customHeight="1">
      <c r="A69" s="253"/>
      <c r="B69" s="244"/>
      <c r="C69" s="249"/>
      <c r="D69" s="132" t="s">
        <v>1193</v>
      </c>
      <c r="E69" s="158"/>
      <c r="F69" s="125" t="s">
        <v>1252</v>
      </c>
      <c r="G69" s="126"/>
      <c r="H69" s="127">
        <v>0.33333333333333298</v>
      </c>
      <c r="I69" s="109">
        <f t="shared" si="1"/>
        <v>1</v>
      </c>
      <c r="J69" s="134">
        <v>0.9</v>
      </c>
      <c r="K69" s="135"/>
      <c r="L69" s="136"/>
    </row>
    <row r="70" spans="1:12" ht="14.4" customHeight="1">
      <c r="A70" s="253"/>
      <c r="B70" s="244"/>
      <c r="C70" s="250"/>
      <c r="D70" s="132" t="s">
        <v>1193</v>
      </c>
      <c r="E70" s="133"/>
      <c r="F70" s="128" t="s">
        <v>1253</v>
      </c>
      <c r="G70" s="126"/>
      <c r="H70" s="127">
        <v>0.33333333333333298</v>
      </c>
      <c r="I70" s="109">
        <f t="shared" si="1"/>
        <v>1</v>
      </c>
      <c r="J70" s="134">
        <v>0.9</v>
      </c>
      <c r="K70" s="133"/>
      <c r="L70" s="136"/>
    </row>
    <row r="71" spans="1:12" ht="14.4" customHeight="1">
      <c r="A71" s="253"/>
      <c r="B71" s="244"/>
      <c r="C71" s="243" t="s">
        <v>1196</v>
      </c>
      <c r="D71" s="78" t="s">
        <v>1194</v>
      </c>
      <c r="E71" s="159"/>
      <c r="F71" s="111" t="s">
        <v>1251</v>
      </c>
      <c r="G71" s="107">
        <v>0.25</v>
      </c>
      <c r="H71" s="108">
        <v>0.33333333333333298</v>
      </c>
      <c r="I71" s="109">
        <f t="shared" si="1"/>
        <v>0.24999999999999922</v>
      </c>
      <c r="J71" s="109">
        <v>0.9</v>
      </c>
      <c r="K71" s="112" t="s">
        <v>1273</v>
      </c>
      <c r="L71" s="112"/>
    </row>
    <row r="72" spans="1:12" ht="14.4" customHeight="1">
      <c r="A72" s="253"/>
      <c r="B72" s="244"/>
      <c r="C72" s="244"/>
      <c r="D72" s="78" t="s">
        <v>1194</v>
      </c>
      <c r="E72" s="159"/>
      <c r="F72" s="111" t="s">
        <v>1252</v>
      </c>
      <c r="G72" s="107"/>
      <c r="H72" s="108">
        <v>0.33333333333333298</v>
      </c>
      <c r="I72" s="109">
        <f t="shared" si="1"/>
        <v>1</v>
      </c>
      <c r="J72" s="109">
        <v>0.9</v>
      </c>
      <c r="K72" s="82" t="s">
        <v>1266</v>
      </c>
      <c r="L72" s="82"/>
    </row>
    <row r="73" spans="1:12" ht="14.4" customHeight="1">
      <c r="A73" s="253"/>
      <c r="B73" s="244"/>
      <c r="C73" s="245"/>
      <c r="D73" s="78" t="s">
        <v>1194</v>
      </c>
      <c r="E73" s="113"/>
      <c r="F73" s="114" t="s">
        <v>1253</v>
      </c>
      <c r="G73" s="107"/>
      <c r="H73" s="108">
        <v>0.33333333333333298</v>
      </c>
      <c r="I73" s="109">
        <f t="shared" si="1"/>
        <v>1</v>
      </c>
      <c r="J73" s="109">
        <v>0.9</v>
      </c>
      <c r="K73" s="82" t="s">
        <v>1274</v>
      </c>
      <c r="L73" s="82"/>
    </row>
    <row r="74" spans="1:12" ht="14.4" customHeight="1">
      <c r="A74" s="253"/>
      <c r="B74" s="244"/>
      <c r="C74" s="248" t="s">
        <v>1197</v>
      </c>
      <c r="D74" s="132" t="s">
        <v>1191</v>
      </c>
      <c r="E74" s="158"/>
      <c r="F74" s="125" t="s">
        <v>1251</v>
      </c>
      <c r="G74" s="126">
        <v>0.33333333333333331</v>
      </c>
      <c r="H74" s="127">
        <v>0.33333333333333298</v>
      </c>
      <c r="I74" s="109">
        <f t="shared" si="1"/>
        <v>0</v>
      </c>
      <c r="J74" s="134">
        <v>0.9</v>
      </c>
      <c r="K74" s="146" t="s">
        <v>1264</v>
      </c>
      <c r="L74" s="136" t="s">
        <v>1269</v>
      </c>
    </row>
    <row r="75" spans="1:12" ht="14.4" customHeight="1">
      <c r="A75" s="253"/>
      <c r="B75" s="244"/>
      <c r="C75" s="249"/>
      <c r="D75" s="132" t="s">
        <v>1191</v>
      </c>
      <c r="E75" s="158"/>
      <c r="F75" s="129" t="s">
        <v>1252</v>
      </c>
      <c r="G75" s="107">
        <v>4.1666666666666664E-2</v>
      </c>
      <c r="H75" s="127">
        <v>0.33333333333333298</v>
      </c>
      <c r="I75" s="109">
        <f t="shared" si="1"/>
        <v>0.87499999999999989</v>
      </c>
      <c r="J75" s="134">
        <v>0.9</v>
      </c>
      <c r="K75" s="136" t="s">
        <v>1266</v>
      </c>
      <c r="L75" s="136"/>
    </row>
    <row r="76" spans="1:12" ht="15" customHeight="1" thickBot="1">
      <c r="A76" s="253"/>
      <c r="B76" s="245"/>
      <c r="C76" s="250"/>
      <c r="D76" s="132" t="s">
        <v>1191</v>
      </c>
      <c r="E76" s="133"/>
      <c r="F76" s="128" t="s">
        <v>1253</v>
      </c>
      <c r="G76" s="107">
        <v>4.5138888888888888E-2</v>
      </c>
      <c r="H76" s="131">
        <v>0.33333333333333298</v>
      </c>
      <c r="I76" s="115">
        <f t="shared" si="1"/>
        <v>0.86458333333333326</v>
      </c>
      <c r="J76" s="134">
        <v>0.9</v>
      </c>
      <c r="K76" s="136" t="s">
        <v>1274</v>
      </c>
      <c r="L76" s="136"/>
    </row>
    <row r="77" spans="1:12" ht="14.4" customHeight="1">
      <c r="A77" s="253"/>
      <c r="B77" s="251">
        <v>45672</v>
      </c>
      <c r="C77" s="243" t="s">
        <v>1198</v>
      </c>
      <c r="D77" s="78" t="s">
        <v>1193</v>
      </c>
      <c r="E77" s="159"/>
      <c r="F77" s="111" t="s">
        <v>1251</v>
      </c>
      <c r="G77" s="107">
        <v>0.30555555555555558</v>
      </c>
      <c r="H77" s="108">
        <v>0.33333333333333298</v>
      </c>
      <c r="I77" s="109">
        <f t="shared" si="1"/>
        <v>8.333333333333226E-2</v>
      </c>
      <c r="J77" s="109">
        <v>0.9</v>
      </c>
      <c r="K77" s="82" t="s">
        <v>1262</v>
      </c>
      <c r="L77" s="112" t="s">
        <v>1268</v>
      </c>
    </row>
    <row r="78" spans="1:12" ht="14.4" customHeight="1">
      <c r="A78" s="253"/>
      <c r="B78" s="244"/>
      <c r="C78" s="244"/>
      <c r="D78" s="78" t="s">
        <v>1193</v>
      </c>
      <c r="E78" s="159"/>
      <c r="F78" s="106" t="s">
        <v>1252</v>
      </c>
      <c r="G78" s="107"/>
      <c r="H78" s="108">
        <v>0.33333333333333298</v>
      </c>
      <c r="I78" s="109">
        <f t="shared" si="1"/>
        <v>1</v>
      </c>
      <c r="J78" s="109">
        <v>0.9</v>
      </c>
      <c r="K78" s="82"/>
      <c r="L78" s="82"/>
    </row>
    <row r="79" spans="1:12" ht="14.4" customHeight="1">
      <c r="A79" s="253"/>
      <c r="B79" s="244"/>
      <c r="C79" s="245"/>
      <c r="D79" s="78" t="s">
        <v>1193</v>
      </c>
      <c r="E79" s="113"/>
      <c r="F79" s="114" t="s">
        <v>1253</v>
      </c>
      <c r="G79" s="107"/>
      <c r="H79" s="108">
        <v>0.33333333333333298</v>
      </c>
      <c r="I79" s="109">
        <f t="shared" si="1"/>
        <v>1</v>
      </c>
      <c r="J79" s="109">
        <v>0.9</v>
      </c>
      <c r="K79" s="82"/>
      <c r="L79" s="82"/>
    </row>
    <row r="80" spans="1:12" ht="14.4" customHeight="1">
      <c r="A80" s="253"/>
      <c r="B80" s="244"/>
      <c r="C80" s="248" t="s">
        <v>1196</v>
      </c>
      <c r="D80" s="132" t="s">
        <v>1194</v>
      </c>
      <c r="E80" s="158"/>
      <c r="F80" s="125" t="s">
        <v>1251</v>
      </c>
      <c r="G80" s="126">
        <v>0.33333333333333331</v>
      </c>
      <c r="H80" s="127">
        <v>0.33333333333333298</v>
      </c>
      <c r="I80" s="109">
        <f t="shared" si="1"/>
        <v>0</v>
      </c>
      <c r="J80" s="134">
        <v>0.9</v>
      </c>
      <c r="K80" s="135" t="s">
        <v>1264</v>
      </c>
      <c r="L80" s="136" t="s">
        <v>1269</v>
      </c>
    </row>
    <row r="81" spans="1:12" ht="14.4" customHeight="1">
      <c r="A81" s="253"/>
      <c r="B81" s="244"/>
      <c r="C81" s="249"/>
      <c r="D81" s="132" t="s">
        <v>1194</v>
      </c>
      <c r="E81" s="158"/>
      <c r="F81" s="129" t="s">
        <v>1252</v>
      </c>
      <c r="G81" s="126"/>
      <c r="H81" s="127">
        <v>0.33333333333333298</v>
      </c>
      <c r="I81" s="109">
        <f t="shared" si="1"/>
        <v>1</v>
      </c>
      <c r="J81" s="134">
        <v>0.9</v>
      </c>
      <c r="K81" s="135"/>
      <c r="L81" s="136"/>
    </row>
    <row r="82" spans="1:12" ht="14.4" customHeight="1">
      <c r="A82" s="253"/>
      <c r="B82" s="244"/>
      <c r="C82" s="250"/>
      <c r="D82" s="132" t="s">
        <v>1194</v>
      </c>
      <c r="E82" s="133"/>
      <c r="F82" s="128" t="s">
        <v>1253</v>
      </c>
      <c r="G82" s="126">
        <v>4.1666666666666664E-2</v>
      </c>
      <c r="H82" s="127">
        <v>0.33333333333333298</v>
      </c>
      <c r="I82" s="109">
        <f t="shared" si="1"/>
        <v>0.87499999999999989</v>
      </c>
      <c r="J82" s="134">
        <v>0.9</v>
      </c>
      <c r="K82" s="133" t="s">
        <v>1275</v>
      </c>
      <c r="L82" s="136"/>
    </row>
    <row r="83" spans="1:12" ht="14.4" customHeight="1">
      <c r="A83" s="253"/>
      <c r="B83" s="244"/>
      <c r="C83" s="243" t="s">
        <v>1197</v>
      </c>
      <c r="D83" s="78" t="s">
        <v>1191</v>
      </c>
      <c r="E83" s="159"/>
      <c r="F83" s="111" t="s">
        <v>1251</v>
      </c>
      <c r="G83" s="107">
        <v>0.33333333333333331</v>
      </c>
      <c r="H83" s="108">
        <v>0.33333333333333298</v>
      </c>
      <c r="I83" s="109">
        <f t="shared" si="1"/>
        <v>0</v>
      </c>
      <c r="J83" s="109">
        <v>0.9</v>
      </c>
      <c r="K83" s="82" t="s">
        <v>1264</v>
      </c>
      <c r="L83" s="82" t="s">
        <v>1269</v>
      </c>
    </row>
    <row r="84" spans="1:12" ht="14.4" customHeight="1">
      <c r="A84" s="253"/>
      <c r="B84" s="244"/>
      <c r="C84" s="244"/>
      <c r="D84" s="78" t="s">
        <v>1191</v>
      </c>
      <c r="E84" s="159"/>
      <c r="F84" s="106" t="s">
        <v>1252</v>
      </c>
      <c r="G84" s="107"/>
      <c r="H84" s="108">
        <v>0.33333333333333298</v>
      </c>
      <c r="I84" s="109">
        <f t="shared" si="1"/>
        <v>1</v>
      </c>
      <c r="J84" s="109">
        <v>0.9</v>
      </c>
      <c r="K84" s="82"/>
      <c r="L84" s="82"/>
    </row>
    <row r="85" spans="1:12" ht="15" customHeight="1" thickBot="1">
      <c r="A85" s="253"/>
      <c r="B85" s="245"/>
      <c r="C85" s="245"/>
      <c r="D85" s="78" t="s">
        <v>1191</v>
      </c>
      <c r="E85" s="113"/>
      <c r="F85" s="114" t="s">
        <v>1253</v>
      </c>
      <c r="G85" s="107"/>
      <c r="H85" s="108">
        <v>0.33333333333333298</v>
      </c>
      <c r="I85" s="109">
        <f t="shared" si="1"/>
        <v>1</v>
      </c>
      <c r="J85" s="109">
        <v>0.9</v>
      </c>
      <c r="K85" s="82"/>
      <c r="L85" s="82"/>
    </row>
    <row r="86" spans="1:12" ht="14.4" customHeight="1">
      <c r="A86" s="253"/>
      <c r="B86" s="251">
        <v>45673</v>
      </c>
      <c r="C86" s="248" t="s">
        <v>1198</v>
      </c>
      <c r="D86" s="132" t="s">
        <v>1193</v>
      </c>
      <c r="E86" s="158"/>
      <c r="F86" s="125" t="s">
        <v>1251</v>
      </c>
      <c r="G86" s="126">
        <v>0.33333333333333331</v>
      </c>
      <c r="H86" s="127">
        <v>0.33333333333333298</v>
      </c>
      <c r="I86" s="109">
        <f>1-(G86/H86)</f>
        <v>0</v>
      </c>
      <c r="J86" s="134">
        <v>0.9</v>
      </c>
      <c r="K86" s="135"/>
      <c r="L86" s="137"/>
    </row>
    <row r="87" spans="1:12" ht="14.4" customHeight="1">
      <c r="A87" s="253"/>
      <c r="B87" s="244"/>
      <c r="C87" s="249"/>
      <c r="D87" s="132" t="s">
        <v>1193</v>
      </c>
      <c r="E87" s="158"/>
      <c r="F87" s="129" t="s">
        <v>1252</v>
      </c>
      <c r="G87" s="126"/>
      <c r="H87" s="127">
        <v>0.33333333333333298</v>
      </c>
      <c r="I87" s="109">
        <f>1-(G87/H87)</f>
        <v>1</v>
      </c>
      <c r="J87" s="134">
        <v>0.9</v>
      </c>
      <c r="K87" s="135"/>
      <c r="L87" s="136"/>
    </row>
    <row r="88" spans="1:12" ht="14.4" customHeight="1">
      <c r="A88" s="253"/>
      <c r="B88" s="244"/>
      <c r="C88" s="250"/>
      <c r="D88" s="132" t="s">
        <v>1193</v>
      </c>
      <c r="E88" s="133"/>
      <c r="F88" s="128" t="s">
        <v>1253</v>
      </c>
      <c r="G88" s="126">
        <v>0.11805555555555555</v>
      </c>
      <c r="H88" s="127">
        <v>0.33333333333333298</v>
      </c>
      <c r="I88" s="109">
        <f t="shared" si="1"/>
        <v>0.64583333333333304</v>
      </c>
      <c r="J88" s="134">
        <v>0.9</v>
      </c>
      <c r="K88" s="133" t="s">
        <v>1276</v>
      </c>
      <c r="L88" s="136"/>
    </row>
    <row r="89" spans="1:12" ht="14.4" customHeight="1">
      <c r="A89" s="253"/>
      <c r="B89" s="244"/>
      <c r="C89" s="243" t="s">
        <v>1196</v>
      </c>
      <c r="D89" s="78" t="s">
        <v>1194</v>
      </c>
      <c r="E89" s="159"/>
      <c r="F89" s="111" t="s">
        <v>1251</v>
      </c>
      <c r="G89" s="107">
        <v>0.14722222222222223</v>
      </c>
      <c r="H89" s="108">
        <v>0.33333333333333298</v>
      </c>
      <c r="I89" s="109">
        <f t="shared" si="1"/>
        <v>0.5583333333333329</v>
      </c>
      <c r="J89" s="109">
        <v>0.9</v>
      </c>
      <c r="K89" s="82" t="s">
        <v>1277</v>
      </c>
      <c r="L89" s="112"/>
    </row>
    <row r="90" spans="1:12" ht="14.4" customHeight="1">
      <c r="A90" s="253"/>
      <c r="B90" s="244"/>
      <c r="C90" s="244"/>
      <c r="D90" s="78" t="s">
        <v>1194</v>
      </c>
      <c r="E90" s="159"/>
      <c r="F90" s="106" t="s">
        <v>1252</v>
      </c>
      <c r="G90" s="107"/>
      <c r="H90" s="108">
        <v>0.33333333333333298</v>
      </c>
      <c r="I90" s="109">
        <f t="shared" si="1"/>
        <v>1</v>
      </c>
      <c r="J90" s="109">
        <v>0.9</v>
      </c>
      <c r="K90" s="82"/>
      <c r="L90" s="82"/>
    </row>
    <row r="91" spans="1:12" ht="14.4" customHeight="1">
      <c r="A91" s="253"/>
      <c r="B91" s="244"/>
      <c r="C91" s="245"/>
      <c r="D91" s="78" t="s">
        <v>1194</v>
      </c>
      <c r="E91" s="113"/>
      <c r="F91" s="114" t="s">
        <v>1253</v>
      </c>
      <c r="G91" s="107">
        <v>4.1666666666666664E-2</v>
      </c>
      <c r="H91" s="108">
        <v>0.33333333333333298</v>
      </c>
      <c r="I91" s="109">
        <f t="shared" si="1"/>
        <v>0.87499999999999989</v>
      </c>
      <c r="J91" s="109">
        <v>0.9</v>
      </c>
      <c r="K91" s="82" t="s">
        <v>1278</v>
      </c>
      <c r="L91" s="82"/>
    </row>
    <row r="92" spans="1:12" ht="14.4" customHeight="1">
      <c r="A92" s="253"/>
      <c r="B92" s="244"/>
      <c r="C92" s="248" t="s">
        <v>1197</v>
      </c>
      <c r="D92" s="132" t="s">
        <v>1191</v>
      </c>
      <c r="E92" s="158"/>
      <c r="F92" s="125" t="s">
        <v>1251</v>
      </c>
      <c r="G92" s="126">
        <v>0.33333333333333331</v>
      </c>
      <c r="H92" s="127">
        <v>0.33333333333333298</v>
      </c>
      <c r="I92" s="109">
        <f t="shared" si="1"/>
        <v>0</v>
      </c>
      <c r="J92" s="134">
        <v>0.9</v>
      </c>
      <c r="K92" s="135" t="s">
        <v>1264</v>
      </c>
      <c r="L92" s="136" t="s">
        <v>1269</v>
      </c>
    </row>
    <row r="93" spans="1:12" ht="14.4" customHeight="1">
      <c r="A93" s="253"/>
      <c r="B93" s="244"/>
      <c r="C93" s="249"/>
      <c r="D93" s="132" t="s">
        <v>1191</v>
      </c>
      <c r="E93" s="158"/>
      <c r="F93" s="129" t="s">
        <v>1252</v>
      </c>
      <c r="G93" s="126"/>
      <c r="H93" s="127">
        <v>0.33333333333333298</v>
      </c>
      <c r="I93" s="109">
        <f t="shared" si="1"/>
        <v>1</v>
      </c>
      <c r="J93" s="134">
        <v>0.9</v>
      </c>
      <c r="K93" s="135"/>
      <c r="L93" s="136"/>
    </row>
    <row r="94" spans="1:12" ht="15" customHeight="1" thickBot="1">
      <c r="A94" s="253"/>
      <c r="B94" s="245"/>
      <c r="C94" s="250"/>
      <c r="D94" s="132" t="s">
        <v>1191</v>
      </c>
      <c r="E94" s="133"/>
      <c r="F94" s="128" t="s">
        <v>1253</v>
      </c>
      <c r="G94" s="126"/>
      <c r="H94" s="127">
        <v>0.33333333333333298</v>
      </c>
      <c r="I94" s="109">
        <f t="shared" si="1"/>
        <v>1</v>
      </c>
      <c r="J94" s="134">
        <v>0.9</v>
      </c>
      <c r="K94" s="133"/>
      <c r="L94" s="136"/>
    </row>
    <row r="95" spans="1:12" ht="14.4" customHeight="1">
      <c r="A95" s="253"/>
      <c r="B95" s="251">
        <v>45674</v>
      </c>
      <c r="C95" s="243" t="s">
        <v>1198</v>
      </c>
      <c r="D95" s="78" t="s">
        <v>1193</v>
      </c>
      <c r="E95" s="159"/>
      <c r="F95" s="111" t="s">
        <v>1251</v>
      </c>
      <c r="G95" s="107">
        <v>0.33333333333333331</v>
      </c>
      <c r="H95" s="108">
        <v>0.33333333333333298</v>
      </c>
      <c r="I95" s="109">
        <f t="shared" si="1"/>
        <v>0</v>
      </c>
      <c r="J95" s="109">
        <v>0.9</v>
      </c>
      <c r="K95" s="82" t="s">
        <v>1264</v>
      </c>
      <c r="L95" s="112"/>
    </row>
    <row r="96" spans="1:12" ht="14.4" customHeight="1">
      <c r="A96" s="253"/>
      <c r="B96" s="244"/>
      <c r="C96" s="244"/>
      <c r="D96" s="78" t="s">
        <v>1193</v>
      </c>
      <c r="E96" s="159"/>
      <c r="F96" s="106" t="s">
        <v>1252</v>
      </c>
      <c r="G96" s="107"/>
      <c r="H96" s="108">
        <v>0.33333333333333298</v>
      </c>
      <c r="I96" s="109">
        <f t="shared" si="1"/>
        <v>1</v>
      </c>
      <c r="J96" s="109">
        <v>0.9</v>
      </c>
      <c r="K96" s="82"/>
      <c r="L96" s="82"/>
    </row>
    <row r="97" spans="1:12" ht="14.4" customHeight="1">
      <c r="A97" s="253"/>
      <c r="B97" s="244"/>
      <c r="C97" s="245"/>
      <c r="D97" s="78" t="s">
        <v>1193</v>
      </c>
      <c r="E97" s="113"/>
      <c r="F97" s="114" t="s">
        <v>1253</v>
      </c>
      <c r="G97" s="107">
        <v>8.3333333333333329E-2</v>
      </c>
      <c r="H97" s="108">
        <v>0.33333333333333298</v>
      </c>
      <c r="I97" s="109">
        <f t="shared" si="1"/>
        <v>0.74999999999999978</v>
      </c>
      <c r="J97" s="109">
        <v>0.9</v>
      </c>
      <c r="K97" s="82" t="s">
        <v>1264</v>
      </c>
      <c r="L97" s="82"/>
    </row>
    <row r="98" spans="1:12" ht="14.4" customHeight="1">
      <c r="A98" s="253"/>
      <c r="B98" s="244"/>
      <c r="C98" s="248" t="s">
        <v>1196</v>
      </c>
      <c r="D98" s="132" t="s">
        <v>1194</v>
      </c>
      <c r="E98" s="158"/>
      <c r="F98" s="125" t="s">
        <v>1251</v>
      </c>
      <c r="G98" s="126">
        <v>0.18055555555555555</v>
      </c>
      <c r="H98" s="127">
        <v>0.33333333333333298</v>
      </c>
      <c r="I98" s="109">
        <f t="shared" si="1"/>
        <v>0.45833333333333282</v>
      </c>
      <c r="J98" s="134">
        <v>0.9</v>
      </c>
      <c r="K98" s="137" t="s">
        <v>1264</v>
      </c>
      <c r="L98" s="137"/>
    </row>
    <row r="99" spans="1:12" ht="14.4" customHeight="1">
      <c r="A99" s="253"/>
      <c r="B99" s="244"/>
      <c r="C99" s="249"/>
      <c r="D99" s="132" t="s">
        <v>1194</v>
      </c>
      <c r="E99" s="158"/>
      <c r="F99" s="129" t="s">
        <v>1252</v>
      </c>
      <c r="G99" s="126"/>
      <c r="H99" s="127">
        <v>0.33333333333333298</v>
      </c>
      <c r="I99" s="109">
        <f t="shared" si="1"/>
        <v>1</v>
      </c>
      <c r="J99" s="134">
        <v>0.9</v>
      </c>
      <c r="K99" s="135"/>
      <c r="L99" s="136"/>
    </row>
    <row r="100" spans="1:12" ht="14.4" customHeight="1">
      <c r="A100" s="253"/>
      <c r="B100" s="244"/>
      <c r="C100" s="250"/>
      <c r="D100" s="132" t="s">
        <v>1194</v>
      </c>
      <c r="E100" s="133"/>
      <c r="F100" s="128" t="s">
        <v>1253</v>
      </c>
      <c r="G100" s="126"/>
      <c r="H100" s="127">
        <v>0.33333333333333298</v>
      </c>
      <c r="I100" s="109">
        <f t="shared" si="1"/>
        <v>1</v>
      </c>
      <c r="J100" s="134">
        <v>0.9</v>
      </c>
      <c r="K100" s="133"/>
      <c r="L100" s="136"/>
    </row>
    <row r="101" spans="1:12" ht="14.4" customHeight="1">
      <c r="A101" s="253"/>
      <c r="B101" s="244"/>
      <c r="C101" s="243" t="s">
        <v>1197</v>
      </c>
      <c r="D101" s="78" t="s">
        <v>1191</v>
      </c>
      <c r="E101" s="159"/>
      <c r="F101" s="111" t="s">
        <v>1251</v>
      </c>
      <c r="G101" s="107">
        <v>0.27569444444444446</v>
      </c>
      <c r="H101" s="108">
        <v>0.33333333333333298</v>
      </c>
      <c r="I101" s="109">
        <f t="shared" si="1"/>
        <v>0.17291666666666572</v>
      </c>
      <c r="J101" s="109">
        <v>0.9</v>
      </c>
      <c r="K101" s="82" t="s">
        <v>1277</v>
      </c>
      <c r="L101" s="82"/>
    </row>
    <row r="102" spans="1:12" ht="14.4" customHeight="1">
      <c r="A102" s="253"/>
      <c r="B102" s="244"/>
      <c r="C102" s="244"/>
      <c r="D102" s="78" t="s">
        <v>1191</v>
      </c>
      <c r="E102" s="159"/>
      <c r="F102" s="106" t="s">
        <v>1252</v>
      </c>
      <c r="G102" s="107"/>
      <c r="H102" s="108">
        <v>0.33333333333333298</v>
      </c>
      <c r="I102" s="109">
        <f t="shared" si="1"/>
        <v>1</v>
      </c>
      <c r="J102" s="109">
        <v>0.9</v>
      </c>
      <c r="K102" s="82"/>
      <c r="L102" s="82"/>
    </row>
    <row r="103" spans="1:12" ht="14.4" customHeight="1">
      <c r="A103" s="253"/>
      <c r="B103" s="245"/>
      <c r="C103" s="245"/>
      <c r="D103" s="78" t="s">
        <v>1191</v>
      </c>
      <c r="E103" s="113"/>
      <c r="F103" s="114" t="s">
        <v>1253</v>
      </c>
      <c r="G103" s="122"/>
      <c r="H103" s="123">
        <v>0.33333333333333298</v>
      </c>
      <c r="I103" s="109">
        <f t="shared" si="1"/>
        <v>1</v>
      </c>
      <c r="J103" s="109">
        <v>0.9</v>
      </c>
      <c r="K103" s="82"/>
      <c r="L103" s="82"/>
    </row>
    <row r="104" spans="1:12" ht="14.4" customHeight="1">
      <c r="A104" s="253"/>
      <c r="B104" s="117"/>
      <c r="C104" s="117"/>
      <c r="D104" s="118"/>
      <c r="E104" s="118"/>
      <c r="F104" s="119" t="s">
        <v>1251</v>
      </c>
      <c r="G104" s="124"/>
      <c r="H104" s="124"/>
      <c r="I104" s="120">
        <f>AVERAGEIF(F59:F103,F104,I59:I103)</f>
        <v>0.25986111111111077</v>
      </c>
      <c r="J104" s="121">
        <v>0.9</v>
      </c>
      <c r="K104" s="118"/>
      <c r="L104" s="116"/>
    </row>
    <row r="105" spans="1:12" ht="14.4" customHeight="1">
      <c r="A105" s="253"/>
      <c r="B105" s="117"/>
      <c r="C105" s="117"/>
      <c r="D105" s="118"/>
      <c r="E105" s="118"/>
      <c r="F105" s="119" t="s">
        <v>1252</v>
      </c>
      <c r="G105" s="124"/>
      <c r="H105" s="124"/>
      <c r="I105" s="120">
        <f>AVERAGEIF(F60:F104,F105,I60:I104)</f>
        <v>0.97916666666666663</v>
      </c>
      <c r="J105" s="121">
        <v>0.9</v>
      </c>
      <c r="K105" s="118"/>
      <c r="L105" s="116"/>
    </row>
    <row r="106" spans="1:12" ht="15" customHeight="1" thickBot="1">
      <c r="A106" s="253"/>
      <c r="B106" s="117"/>
      <c r="C106" s="117"/>
      <c r="D106" s="118"/>
      <c r="E106" s="118"/>
      <c r="F106" s="119" t="s">
        <v>1253</v>
      </c>
      <c r="G106" s="124"/>
      <c r="H106" s="124"/>
      <c r="I106" s="120">
        <f>AVERAGEIF(F61:F105,F106,I61:I105)</f>
        <v>0.93402777777777757</v>
      </c>
      <c r="J106" s="121">
        <v>0.9</v>
      </c>
      <c r="K106" s="118"/>
      <c r="L106" s="116"/>
    </row>
    <row r="107" spans="1:12" ht="14.4" customHeight="1">
      <c r="A107" s="252" t="s">
        <v>1202</v>
      </c>
      <c r="B107" s="251">
        <v>45677</v>
      </c>
      <c r="C107" s="243" t="s">
        <v>1198</v>
      </c>
      <c r="D107" s="110" t="s">
        <v>1201</v>
      </c>
      <c r="E107" s="156"/>
      <c r="F107" s="111" t="s">
        <v>1251</v>
      </c>
      <c r="G107" s="107"/>
      <c r="H107" s="108">
        <v>0.33333333333333331</v>
      </c>
      <c r="I107" s="109">
        <f>1-(G107/H107)</f>
        <v>1</v>
      </c>
      <c r="J107" s="109">
        <v>0.9</v>
      </c>
      <c r="K107" s="82"/>
      <c r="L107" s="82"/>
    </row>
    <row r="108" spans="1:12" ht="14.4" customHeight="1">
      <c r="A108" s="253"/>
      <c r="B108" s="244"/>
      <c r="C108" s="244"/>
      <c r="D108" s="110" t="s">
        <v>1201</v>
      </c>
      <c r="E108" s="156"/>
      <c r="F108" s="111" t="s">
        <v>1252</v>
      </c>
      <c r="G108" s="107"/>
      <c r="H108" s="108">
        <v>0.33333333333333331</v>
      </c>
      <c r="I108" s="109">
        <f>1-(G108/H108)</f>
        <v>1</v>
      </c>
      <c r="J108" s="109">
        <v>0.9</v>
      </c>
      <c r="K108" s="82"/>
      <c r="L108" s="82"/>
    </row>
    <row r="109" spans="1:12" ht="14.4" customHeight="1">
      <c r="A109" s="253"/>
      <c r="B109" s="244"/>
      <c r="C109" s="245"/>
      <c r="D109" s="110" t="s">
        <v>1201</v>
      </c>
      <c r="E109" s="157"/>
      <c r="F109" s="114" t="s">
        <v>1253</v>
      </c>
      <c r="G109" s="107"/>
      <c r="H109" s="108">
        <v>0.33333333333333298</v>
      </c>
      <c r="I109" s="109">
        <f t="shared" ref="I109:I151" si="2">1-(G109/H109)</f>
        <v>1</v>
      </c>
      <c r="J109" s="109">
        <v>0.9</v>
      </c>
      <c r="K109" s="82"/>
      <c r="L109" s="82"/>
    </row>
    <row r="110" spans="1:12" ht="14.4" customHeight="1">
      <c r="A110" s="253"/>
      <c r="B110" s="244"/>
      <c r="C110" s="248" t="s">
        <v>1196</v>
      </c>
      <c r="D110" s="132" t="s">
        <v>1193</v>
      </c>
      <c r="E110" s="158"/>
      <c r="F110" s="125" t="s">
        <v>1251</v>
      </c>
      <c r="G110" s="126"/>
      <c r="H110" s="127">
        <v>0.33333333333333298</v>
      </c>
      <c r="I110" s="109">
        <f t="shared" si="2"/>
        <v>1</v>
      </c>
      <c r="J110" s="134">
        <v>0.9</v>
      </c>
      <c r="K110" s="135"/>
      <c r="L110" s="136"/>
    </row>
    <row r="111" spans="1:12" ht="14.4" customHeight="1">
      <c r="A111" s="253"/>
      <c r="B111" s="244"/>
      <c r="C111" s="249"/>
      <c r="D111" s="132" t="s">
        <v>1193</v>
      </c>
      <c r="E111" s="158"/>
      <c r="F111" s="125" t="s">
        <v>1252</v>
      </c>
      <c r="G111" s="126"/>
      <c r="H111" s="127">
        <v>0.33333333333333298</v>
      </c>
      <c r="I111" s="109">
        <f t="shared" si="2"/>
        <v>1</v>
      </c>
      <c r="J111" s="134">
        <v>0.9</v>
      </c>
      <c r="K111" s="135"/>
      <c r="L111" s="136"/>
    </row>
    <row r="112" spans="1:12" ht="14.4" customHeight="1">
      <c r="A112" s="253"/>
      <c r="B112" s="244"/>
      <c r="C112" s="250"/>
      <c r="D112" s="132" t="s">
        <v>1193</v>
      </c>
      <c r="E112" s="133"/>
      <c r="F112" s="128" t="s">
        <v>1253</v>
      </c>
      <c r="G112" s="126"/>
      <c r="H112" s="127">
        <v>0.33333333333333298</v>
      </c>
      <c r="I112" s="109">
        <f t="shared" si="2"/>
        <v>1</v>
      </c>
      <c r="J112" s="134">
        <v>0.9</v>
      </c>
      <c r="K112" s="133"/>
      <c r="L112" s="136"/>
    </row>
    <row r="113" spans="1:12" ht="14.4" customHeight="1">
      <c r="A113" s="253"/>
      <c r="B113" s="244"/>
      <c r="C113" s="243" t="s">
        <v>1197</v>
      </c>
      <c r="D113" s="78" t="s">
        <v>1194</v>
      </c>
      <c r="E113" s="159"/>
      <c r="F113" s="111" t="s">
        <v>1251</v>
      </c>
      <c r="G113" s="107">
        <v>0.3125</v>
      </c>
      <c r="H113" s="108">
        <v>0.33333333333333298</v>
      </c>
      <c r="I113" s="109">
        <f t="shared" si="2"/>
        <v>6.2499999999999001E-2</v>
      </c>
      <c r="J113" s="109">
        <v>0.9</v>
      </c>
      <c r="K113" s="82" t="s">
        <v>1264</v>
      </c>
      <c r="L113" s="112"/>
    </row>
    <row r="114" spans="1:12" ht="14.4" customHeight="1">
      <c r="A114" s="253"/>
      <c r="B114" s="244"/>
      <c r="C114" s="244"/>
      <c r="D114" s="78" t="s">
        <v>1194</v>
      </c>
      <c r="E114" s="159"/>
      <c r="F114" s="111" t="s">
        <v>1252</v>
      </c>
      <c r="G114" s="107"/>
      <c r="H114" s="108">
        <v>0.33333333333333298</v>
      </c>
      <c r="I114" s="109">
        <f t="shared" si="2"/>
        <v>1</v>
      </c>
      <c r="J114" s="109">
        <v>0.9</v>
      </c>
      <c r="K114" s="82"/>
      <c r="L114" s="82"/>
    </row>
    <row r="115" spans="1:12" ht="15" customHeight="1" thickBot="1">
      <c r="A115" s="253"/>
      <c r="B115" s="245"/>
      <c r="C115" s="245"/>
      <c r="D115" s="78" t="s">
        <v>1194</v>
      </c>
      <c r="E115" s="113"/>
      <c r="F115" s="114" t="s">
        <v>1253</v>
      </c>
      <c r="G115" s="107"/>
      <c r="H115" s="108">
        <v>0.33333333333333298</v>
      </c>
      <c r="I115" s="109">
        <f t="shared" si="2"/>
        <v>1</v>
      </c>
      <c r="J115" s="109">
        <v>0.9</v>
      </c>
      <c r="K115" s="82"/>
      <c r="L115" s="82"/>
    </row>
    <row r="116" spans="1:12" ht="14.4" customHeight="1">
      <c r="A116" s="253"/>
      <c r="B116" s="251">
        <v>45678</v>
      </c>
      <c r="C116" s="248" t="s">
        <v>1198</v>
      </c>
      <c r="D116" s="132" t="s">
        <v>1191</v>
      </c>
      <c r="E116" s="158"/>
      <c r="F116" s="125" t="s">
        <v>1251</v>
      </c>
      <c r="G116" s="126"/>
      <c r="H116" s="127">
        <v>0.33333333333333298</v>
      </c>
      <c r="I116" s="109">
        <f t="shared" si="2"/>
        <v>1</v>
      </c>
      <c r="J116" s="134">
        <v>0.9</v>
      </c>
      <c r="K116" s="135"/>
      <c r="L116" s="137"/>
    </row>
    <row r="117" spans="1:12" ht="14.4" customHeight="1">
      <c r="A117" s="253"/>
      <c r="B117" s="244"/>
      <c r="C117" s="249"/>
      <c r="D117" s="132" t="s">
        <v>1191</v>
      </c>
      <c r="E117" s="158"/>
      <c r="F117" s="125" t="s">
        <v>1252</v>
      </c>
      <c r="G117" s="126"/>
      <c r="H117" s="127">
        <v>0.33333333333333298</v>
      </c>
      <c r="I117" s="109">
        <f t="shared" si="2"/>
        <v>1</v>
      </c>
      <c r="J117" s="134">
        <v>0.9</v>
      </c>
      <c r="K117" s="135"/>
      <c r="L117" s="136"/>
    </row>
    <row r="118" spans="1:12" ht="14.4" customHeight="1">
      <c r="A118" s="253"/>
      <c r="B118" s="244"/>
      <c r="C118" s="250"/>
      <c r="D118" s="132" t="s">
        <v>1191</v>
      </c>
      <c r="E118" s="133"/>
      <c r="F118" s="128" t="s">
        <v>1253</v>
      </c>
      <c r="G118" s="126"/>
      <c r="H118" s="127">
        <v>0.33333333333333298</v>
      </c>
      <c r="I118" s="109">
        <f t="shared" si="2"/>
        <v>1</v>
      </c>
      <c r="J118" s="134">
        <v>0.9</v>
      </c>
      <c r="K118" s="133"/>
      <c r="L118" s="136"/>
    </row>
    <row r="119" spans="1:12" ht="14.4" customHeight="1">
      <c r="A119" s="253"/>
      <c r="B119" s="244"/>
      <c r="C119" s="243" t="s">
        <v>1196</v>
      </c>
      <c r="D119" s="78" t="s">
        <v>1193</v>
      </c>
      <c r="E119" s="159"/>
      <c r="F119" s="111" t="s">
        <v>1251</v>
      </c>
      <c r="G119" s="107">
        <v>0.33333333333333331</v>
      </c>
      <c r="H119" s="108">
        <v>0.33333333333333298</v>
      </c>
      <c r="I119" s="109">
        <f t="shared" si="2"/>
        <v>0</v>
      </c>
      <c r="J119" s="109">
        <v>0.9</v>
      </c>
      <c r="K119" s="82" t="s">
        <v>1264</v>
      </c>
      <c r="L119" s="112"/>
    </row>
    <row r="120" spans="1:12" ht="14.4" customHeight="1">
      <c r="A120" s="253"/>
      <c r="B120" s="244"/>
      <c r="C120" s="244"/>
      <c r="D120" s="78" t="s">
        <v>1193</v>
      </c>
      <c r="E120" s="159"/>
      <c r="F120" s="111" t="s">
        <v>1252</v>
      </c>
      <c r="G120" s="107"/>
      <c r="H120" s="108">
        <v>0.33333333333333298</v>
      </c>
      <c r="I120" s="109">
        <f t="shared" si="2"/>
        <v>1</v>
      </c>
      <c r="J120" s="109">
        <v>0.9</v>
      </c>
      <c r="K120" s="82"/>
      <c r="L120" s="82"/>
    </row>
    <row r="121" spans="1:12" ht="14.4" customHeight="1">
      <c r="A121" s="253"/>
      <c r="B121" s="244"/>
      <c r="C121" s="245"/>
      <c r="D121" s="78" t="s">
        <v>1193</v>
      </c>
      <c r="E121" s="113"/>
      <c r="F121" s="114" t="s">
        <v>1253</v>
      </c>
      <c r="G121" s="107"/>
      <c r="H121" s="108">
        <v>0.33333333333333298</v>
      </c>
      <c r="I121" s="109">
        <f t="shared" si="2"/>
        <v>1</v>
      </c>
      <c r="J121" s="109">
        <v>0.9</v>
      </c>
      <c r="K121" s="82"/>
      <c r="L121" s="82"/>
    </row>
    <row r="122" spans="1:12" ht="14.4" customHeight="1">
      <c r="A122" s="253"/>
      <c r="B122" s="244"/>
      <c r="C122" s="248" t="s">
        <v>1197</v>
      </c>
      <c r="D122" s="132" t="s">
        <v>1194</v>
      </c>
      <c r="E122" s="158"/>
      <c r="F122" s="125" t="s">
        <v>1251</v>
      </c>
      <c r="G122" s="126">
        <v>0.33333333333333331</v>
      </c>
      <c r="H122" s="127">
        <v>0.33333333333333298</v>
      </c>
      <c r="I122" s="109">
        <f t="shared" si="2"/>
        <v>0</v>
      </c>
      <c r="J122" s="134">
        <v>0.9</v>
      </c>
      <c r="K122" s="135" t="s">
        <v>1264</v>
      </c>
      <c r="L122" s="137"/>
    </row>
    <row r="123" spans="1:12" ht="14.4" customHeight="1">
      <c r="A123" s="253"/>
      <c r="B123" s="244"/>
      <c r="C123" s="249"/>
      <c r="D123" s="132" t="s">
        <v>1194</v>
      </c>
      <c r="E123" s="158"/>
      <c r="F123" s="129" t="s">
        <v>1252</v>
      </c>
      <c r="G123" s="126"/>
      <c r="H123" s="127">
        <v>0.33333333333333298</v>
      </c>
      <c r="I123" s="109">
        <f t="shared" si="2"/>
        <v>1</v>
      </c>
      <c r="J123" s="134">
        <v>0.9</v>
      </c>
      <c r="K123" s="135"/>
      <c r="L123" s="136"/>
    </row>
    <row r="124" spans="1:12" ht="15" customHeight="1" thickBot="1">
      <c r="A124" s="253"/>
      <c r="B124" s="245"/>
      <c r="C124" s="250"/>
      <c r="D124" s="132" t="s">
        <v>1194</v>
      </c>
      <c r="E124" s="133"/>
      <c r="F124" s="128" t="s">
        <v>1253</v>
      </c>
      <c r="G124" s="126"/>
      <c r="H124" s="131">
        <v>0.33333333333333298</v>
      </c>
      <c r="I124" s="115">
        <f t="shared" si="2"/>
        <v>1</v>
      </c>
      <c r="J124" s="134">
        <v>0.9</v>
      </c>
      <c r="K124" s="133"/>
      <c r="L124" s="136"/>
    </row>
    <row r="125" spans="1:12" ht="14.4" customHeight="1">
      <c r="A125" s="253"/>
      <c r="B125" s="251">
        <v>45679</v>
      </c>
      <c r="C125" s="243" t="s">
        <v>1198</v>
      </c>
      <c r="D125" s="78" t="s">
        <v>1191</v>
      </c>
      <c r="E125" s="159"/>
      <c r="F125" s="111" t="s">
        <v>1251</v>
      </c>
      <c r="G125" s="107">
        <v>0.33333333333333331</v>
      </c>
      <c r="H125" s="108">
        <v>0.33333333333333298</v>
      </c>
      <c r="I125" s="109">
        <f t="shared" si="2"/>
        <v>0</v>
      </c>
      <c r="J125" s="109">
        <v>0.9</v>
      </c>
      <c r="K125" s="82" t="s">
        <v>1264</v>
      </c>
      <c r="L125" s="112"/>
    </row>
    <row r="126" spans="1:12" ht="14.4" customHeight="1">
      <c r="A126" s="253"/>
      <c r="B126" s="244"/>
      <c r="C126" s="244"/>
      <c r="D126" s="78" t="s">
        <v>1191</v>
      </c>
      <c r="E126" s="159"/>
      <c r="F126" s="106" t="s">
        <v>1252</v>
      </c>
      <c r="G126" s="107"/>
      <c r="H126" s="108">
        <v>0.33333333333333298</v>
      </c>
      <c r="I126" s="109">
        <f t="shared" si="2"/>
        <v>1</v>
      </c>
      <c r="J126" s="109">
        <v>0.9</v>
      </c>
      <c r="K126" s="82"/>
      <c r="L126" s="82"/>
    </row>
    <row r="127" spans="1:12" ht="14.4" customHeight="1">
      <c r="A127" s="253"/>
      <c r="B127" s="244"/>
      <c r="C127" s="245"/>
      <c r="D127" s="78" t="s">
        <v>1191</v>
      </c>
      <c r="E127" s="113"/>
      <c r="F127" s="114" t="s">
        <v>1253</v>
      </c>
      <c r="G127" s="107"/>
      <c r="H127" s="108">
        <v>0.33333333333333298</v>
      </c>
      <c r="I127" s="109">
        <f t="shared" si="2"/>
        <v>1</v>
      </c>
      <c r="J127" s="109">
        <v>0.9</v>
      </c>
      <c r="K127" s="82"/>
      <c r="L127" s="82"/>
    </row>
    <row r="128" spans="1:12" ht="14.4" customHeight="1">
      <c r="A128" s="253"/>
      <c r="B128" s="244"/>
      <c r="C128" s="248" t="s">
        <v>1196</v>
      </c>
      <c r="D128" s="132" t="s">
        <v>1193</v>
      </c>
      <c r="E128" s="158"/>
      <c r="F128" s="125" t="s">
        <v>1251</v>
      </c>
      <c r="G128" s="126">
        <v>0.33333333333333331</v>
      </c>
      <c r="H128" s="127">
        <v>0.33333333333333298</v>
      </c>
      <c r="I128" s="109">
        <f t="shared" si="2"/>
        <v>0</v>
      </c>
      <c r="J128" s="134">
        <v>0.9</v>
      </c>
      <c r="K128" s="135" t="s">
        <v>1264</v>
      </c>
      <c r="L128" s="137"/>
    </row>
    <row r="129" spans="1:12" ht="14.4" customHeight="1">
      <c r="A129" s="253"/>
      <c r="B129" s="244"/>
      <c r="C129" s="249"/>
      <c r="D129" s="132" t="s">
        <v>1193</v>
      </c>
      <c r="E129" s="158"/>
      <c r="F129" s="129" t="s">
        <v>1252</v>
      </c>
      <c r="G129" s="126"/>
      <c r="H129" s="127">
        <v>0.33333333333333298</v>
      </c>
      <c r="I129" s="109">
        <f t="shared" si="2"/>
        <v>1</v>
      </c>
      <c r="J129" s="134">
        <v>0.9</v>
      </c>
      <c r="K129" s="135"/>
      <c r="L129" s="136"/>
    </row>
    <row r="130" spans="1:12" ht="14.4" customHeight="1">
      <c r="A130" s="253"/>
      <c r="B130" s="244"/>
      <c r="C130" s="250"/>
      <c r="D130" s="132" t="s">
        <v>1193</v>
      </c>
      <c r="E130" s="133"/>
      <c r="F130" s="128" t="s">
        <v>1253</v>
      </c>
      <c r="G130" s="126"/>
      <c r="H130" s="127">
        <v>0.33333333333333298</v>
      </c>
      <c r="I130" s="109">
        <f t="shared" si="2"/>
        <v>1</v>
      </c>
      <c r="J130" s="134">
        <v>0.9</v>
      </c>
      <c r="K130" s="133"/>
      <c r="L130" s="136"/>
    </row>
    <row r="131" spans="1:12" ht="14.4" customHeight="1">
      <c r="A131" s="253"/>
      <c r="B131" s="244"/>
      <c r="C131" s="243" t="s">
        <v>1197</v>
      </c>
      <c r="D131" s="78" t="s">
        <v>1194</v>
      </c>
      <c r="E131" s="159"/>
      <c r="F131" s="111" t="s">
        <v>1251</v>
      </c>
      <c r="G131" s="107">
        <v>0.33333333333333331</v>
      </c>
      <c r="H131" s="108">
        <v>0.33333333333333298</v>
      </c>
      <c r="I131" s="109">
        <f t="shared" si="2"/>
        <v>0</v>
      </c>
      <c r="J131" s="109">
        <v>0.9</v>
      </c>
      <c r="K131" s="82" t="s">
        <v>1264</v>
      </c>
      <c r="L131" s="112"/>
    </row>
    <row r="132" spans="1:12" ht="14.4" customHeight="1">
      <c r="A132" s="253"/>
      <c r="B132" s="244"/>
      <c r="C132" s="244"/>
      <c r="D132" s="78" t="s">
        <v>1194</v>
      </c>
      <c r="E132" s="159"/>
      <c r="F132" s="106" t="s">
        <v>1252</v>
      </c>
      <c r="G132" s="107"/>
      <c r="H132" s="108">
        <v>0.33333333333333298</v>
      </c>
      <c r="I132" s="109">
        <f t="shared" si="2"/>
        <v>1</v>
      </c>
      <c r="J132" s="109">
        <v>0.9</v>
      </c>
      <c r="K132" s="82"/>
      <c r="L132" s="82"/>
    </row>
    <row r="133" spans="1:12" ht="15" customHeight="1" thickBot="1">
      <c r="A133" s="253"/>
      <c r="B133" s="245"/>
      <c r="C133" s="245"/>
      <c r="D133" s="78" t="s">
        <v>1194</v>
      </c>
      <c r="E133" s="113"/>
      <c r="F133" s="114" t="s">
        <v>1253</v>
      </c>
      <c r="G133" s="107"/>
      <c r="H133" s="108">
        <v>0.33333333333333298</v>
      </c>
      <c r="I133" s="109">
        <f t="shared" si="2"/>
        <v>1</v>
      </c>
      <c r="J133" s="109">
        <v>0.9</v>
      </c>
      <c r="K133" s="82"/>
      <c r="L133" s="82"/>
    </row>
    <row r="134" spans="1:12" ht="14.4" customHeight="1">
      <c r="A134" s="253"/>
      <c r="B134" s="251">
        <v>45680</v>
      </c>
      <c r="C134" s="248" t="s">
        <v>1198</v>
      </c>
      <c r="D134" s="132" t="s">
        <v>1191</v>
      </c>
      <c r="E134" s="158"/>
      <c r="F134" s="125" t="s">
        <v>1251</v>
      </c>
      <c r="G134" s="126">
        <v>0.33333333333333331</v>
      </c>
      <c r="H134" s="127">
        <v>0.33333333333333298</v>
      </c>
      <c r="I134" s="109">
        <f t="shared" si="2"/>
        <v>0</v>
      </c>
      <c r="J134" s="134">
        <v>0.9</v>
      </c>
      <c r="K134" s="135" t="s">
        <v>1264</v>
      </c>
      <c r="L134" s="137"/>
    </row>
    <row r="135" spans="1:12" ht="14.4" customHeight="1">
      <c r="A135" s="253"/>
      <c r="B135" s="244"/>
      <c r="C135" s="249"/>
      <c r="D135" s="132" t="s">
        <v>1191</v>
      </c>
      <c r="E135" s="158"/>
      <c r="F135" s="129" t="s">
        <v>1252</v>
      </c>
      <c r="G135" s="126"/>
      <c r="H135" s="127">
        <v>0.33333333333333298</v>
      </c>
      <c r="I135" s="109">
        <f t="shared" si="2"/>
        <v>1</v>
      </c>
      <c r="J135" s="134">
        <v>0.9</v>
      </c>
      <c r="K135" s="135"/>
      <c r="L135" s="136"/>
    </row>
    <row r="136" spans="1:12" ht="14.4" customHeight="1">
      <c r="A136" s="253"/>
      <c r="B136" s="244"/>
      <c r="C136" s="250"/>
      <c r="D136" s="132" t="s">
        <v>1191</v>
      </c>
      <c r="E136" s="133"/>
      <c r="F136" s="128" t="s">
        <v>1253</v>
      </c>
      <c r="G136" s="126">
        <v>3.8194444444444448E-2</v>
      </c>
      <c r="H136" s="127">
        <v>0.33333333333333298</v>
      </c>
      <c r="I136" s="109">
        <f t="shared" si="2"/>
        <v>0.88541666666666652</v>
      </c>
      <c r="J136" s="134">
        <v>0.9</v>
      </c>
      <c r="K136" s="133" t="s">
        <v>1264</v>
      </c>
      <c r="L136" s="136"/>
    </row>
    <row r="137" spans="1:12" ht="14.4" customHeight="1">
      <c r="A137" s="253"/>
      <c r="B137" s="244"/>
      <c r="C137" s="243" t="s">
        <v>1196</v>
      </c>
      <c r="D137" s="78" t="s">
        <v>1193</v>
      </c>
      <c r="E137" s="159"/>
      <c r="F137" s="111" t="s">
        <v>1251</v>
      </c>
      <c r="G137" s="107">
        <v>0.25</v>
      </c>
      <c r="H137" s="108">
        <v>0.33333333333333298</v>
      </c>
      <c r="I137" s="109">
        <f t="shared" si="2"/>
        <v>0.24999999999999922</v>
      </c>
      <c r="J137" s="109">
        <v>0.9</v>
      </c>
      <c r="K137" s="82" t="s">
        <v>1264</v>
      </c>
      <c r="L137" s="112" t="s">
        <v>1279</v>
      </c>
    </row>
    <row r="138" spans="1:12" ht="14.4" customHeight="1">
      <c r="A138" s="253"/>
      <c r="B138" s="244"/>
      <c r="C138" s="244"/>
      <c r="D138" s="78" t="s">
        <v>1193</v>
      </c>
      <c r="E138" s="159"/>
      <c r="F138" s="106" t="s">
        <v>1252</v>
      </c>
      <c r="G138" s="107"/>
      <c r="H138" s="108">
        <v>0.33333333333333298</v>
      </c>
      <c r="I138" s="109">
        <f t="shared" si="2"/>
        <v>1</v>
      </c>
      <c r="J138" s="109">
        <v>0.9</v>
      </c>
      <c r="K138" s="82"/>
      <c r="L138" s="82"/>
    </row>
    <row r="139" spans="1:12" ht="14.4" customHeight="1">
      <c r="A139" s="253"/>
      <c r="B139" s="244"/>
      <c r="C139" s="245"/>
      <c r="D139" s="78" t="s">
        <v>1193</v>
      </c>
      <c r="E139" s="113"/>
      <c r="F139" s="114" t="s">
        <v>1253</v>
      </c>
      <c r="G139" s="107">
        <v>0.11805555555555555</v>
      </c>
      <c r="H139" s="108">
        <v>0.33333333333333298</v>
      </c>
      <c r="I139" s="109">
        <f t="shared" si="2"/>
        <v>0.64583333333333304</v>
      </c>
      <c r="J139" s="109">
        <v>0.9</v>
      </c>
      <c r="K139" s="82"/>
      <c r="L139" s="82"/>
    </row>
    <row r="140" spans="1:12" ht="14.4" customHeight="1">
      <c r="A140" s="253"/>
      <c r="B140" s="244"/>
      <c r="C140" s="248" t="s">
        <v>1197</v>
      </c>
      <c r="D140" s="132" t="s">
        <v>1194</v>
      </c>
      <c r="E140" s="158"/>
      <c r="F140" s="125" t="s">
        <v>1251</v>
      </c>
      <c r="G140" s="126">
        <v>0.33333333333333331</v>
      </c>
      <c r="H140" s="127">
        <v>0.33333333333333298</v>
      </c>
      <c r="I140" s="109">
        <f t="shared" si="2"/>
        <v>0</v>
      </c>
      <c r="J140" s="134">
        <v>0.9</v>
      </c>
      <c r="K140" s="133" t="s">
        <v>1264</v>
      </c>
      <c r="L140" s="137"/>
    </row>
    <row r="141" spans="1:12" ht="14.4" customHeight="1">
      <c r="A141" s="253"/>
      <c r="B141" s="244"/>
      <c r="C141" s="249"/>
      <c r="D141" s="132" t="s">
        <v>1194</v>
      </c>
      <c r="E141" s="158"/>
      <c r="F141" s="129" t="s">
        <v>1252</v>
      </c>
      <c r="G141" s="126"/>
      <c r="H141" s="127">
        <v>0.33333333333333298</v>
      </c>
      <c r="I141" s="109">
        <f t="shared" si="2"/>
        <v>1</v>
      </c>
      <c r="J141" s="134">
        <v>0.9</v>
      </c>
      <c r="K141" s="135"/>
      <c r="L141" s="136"/>
    </row>
    <row r="142" spans="1:12" ht="15" customHeight="1" thickBot="1">
      <c r="A142" s="253"/>
      <c r="B142" s="245"/>
      <c r="C142" s="250"/>
      <c r="D142" s="132" t="s">
        <v>1194</v>
      </c>
      <c r="E142" s="133"/>
      <c r="F142" s="128" t="s">
        <v>1253</v>
      </c>
      <c r="G142" s="126"/>
      <c r="H142" s="127">
        <v>0.33333333333333298</v>
      </c>
      <c r="I142" s="109">
        <f t="shared" si="2"/>
        <v>1</v>
      </c>
      <c r="J142" s="134">
        <v>0.9</v>
      </c>
      <c r="K142" s="133"/>
      <c r="L142" s="136"/>
    </row>
    <row r="143" spans="1:12" ht="14.4" customHeight="1">
      <c r="A143" s="253"/>
      <c r="B143" s="251">
        <v>45681</v>
      </c>
      <c r="C143" s="243" t="s">
        <v>1198</v>
      </c>
      <c r="D143" s="78" t="s">
        <v>1191</v>
      </c>
      <c r="E143" s="159"/>
      <c r="F143" s="111" t="s">
        <v>1251</v>
      </c>
      <c r="G143" s="107">
        <v>0.33333333333333331</v>
      </c>
      <c r="H143" s="108">
        <v>0.33333333333333298</v>
      </c>
      <c r="I143" s="109">
        <f t="shared" si="2"/>
        <v>0</v>
      </c>
      <c r="J143" s="109">
        <v>0.9</v>
      </c>
      <c r="K143" s="82" t="s">
        <v>1264</v>
      </c>
      <c r="L143" s="112"/>
    </row>
    <row r="144" spans="1:12" ht="14.4" customHeight="1">
      <c r="A144" s="253"/>
      <c r="B144" s="244"/>
      <c r="C144" s="244"/>
      <c r="D144" s="78" t="s">
        <v>1191</v>
      </c>
      <c r="E144" s="159"/>
      <c r="F144" s="106" t="s">
        <v>1252</v>
      </c>
      <c r="G144" s="107">
        <v>0.10416666666666667</v>
      </c>
      <c r="H144" s="108">
        <v>0.33333333333333298</v>
      </c>
      <c r="I144" s="109">
        <f t="shared" si="2"/>
        <v>0.68749999999999967</v>
      </c>
      <c r="J144" s="109">
        <v>0.9</v>
      </c>
      <c r="K144" s="82" t="s">
        <v>1266</v>
      </c>
      <c r="L144" s="82"/>
    </row>
    <row r="145" spans="1:12" ht="14.4" customHeight="1">
      <c r="A145" s="253"/>
      <c r="B145" s="244"/>
      <c r="C145" s="245"/>
      <c r="D145" s="78" t="s">
        <v>1191</v>
      </c>
      <c r="E145" s="113"/>
      <c r="F145" s="114" t="s">
        <v>1253</v>
      </c>
      <c r="G145" s="107"/>
      <c r="H145" s="108">
        <v>0.33333333333333298</v>
      </c>
      <c r="I145" s="109">
        <f t="shared" si="2"/>
        <v>1</v>
      </c>
      <c r="J145" s="109">
        <v>0.9</v>
      </c>
      <c r="K145" s="82"/>
      <c r="L145" s="82"/>
    </row>
    <row r="146" spans="1:12" ht="14.4" customHeight="1">
      <c r="A146" s="253"/>
      <c r="B146" s="244"/>
      <c r="C146" s="248" t="s">
        <v>1196</v>
      </c>
      <c r="D146" s="132" t="s">
        <v>1193</v>
      </c>
      <c r="E146" s="158"/>
      <c r="F146" s="125" t="s">
        <v>1251</v>
      </c>
      <c r="G146" s="126">
        <v>0.21666666666666667</v>
      </c>
      <c r="H146" s="127">
        <v>0.33333333333333298</v>
      </c>
      <c r="I146" s="109">
        <f t="shared" si="2"/>
        <v>0.34999999999999931</v>
      </c>
      <c r="J146" s="134">
        <v>0.9</v>
      </c>
      <c r="K146" s="135" t="s">
        <v>1280</v>
      </c>
      <c r="L146" s="137"/>
    </row>
    <row r="147" spans="1:12" ht="14.4" customHeight="1">
      <c r="A147" s="253"/>
      <c r="B147" s="244"/>
      <c r="C147" s="249"/>
      <c r="D147" s="132" t="s">
        <v>1193</v>
      </c>
      <c r="E147" s="158"/>
      <c r="F147" s="129" t="s">
        <v>1252</v>
      </c>
      <c r="G147" s="126"/>
      <c r="H147" s="127">
        <v>0.33333333333333298</v>
      </c>
      <c r="I147" s="109">
        <f t="shared" si="2"/>
        <v>1</v>
      </c>
      <c r="J147" s="134">
        <v>0.9</v>
      </c>
      <c r="K147" s="135"/>
      <c r="L147" s="136"/>
    </row>
    <row r="148" spans="1:12" ht="14.4" customHeight="1">
      <c r="A148" s="253"/>
      <c r="B148" s="244"/>
      <c r="C148" s="250"/>
      <c r="D148" s="132" t="s">
        <v>1193</v>
      </c>
      <c r="E148" s="133"/>
      <c r="F148" s="128" t="s">
        <v>1253</v>
      </c>
      <c r="G148" s="126"/>
      <c r="H148" s="127">
        <v>0.33333333333333298</v>
      </c>
      <c r="I148" s="109">
        <f t="shared" si="2"/>
        <v>1</v>
      </c>
      <c r="J148" s="134">
        <v>0.9</v>
      </c>
      <c r="K148" s="133"/>
      <c r="L148" s="136"/>
    </row>
    <row r="149" spans="1:12" ht="14.4" customHeight="1">
      <c r="A149" s="253"/>
      <c r="B149" s="244"/>
      <c r="C149" s="243" t="s">
        <v>1197</v>
      </c>
      <c r="D149" s="78" t="s">
        <v>1194</v>
      </c>
      <c r="E149" s="159"/>
      <c r="F149" s="111" t="s">
        <v>1251</v>
      </c>
      <c r="G149" s="107">
        <v>0.33333333333333331</v>
      </c>
      <c r="H149" s="108">
        <v>0.33333333333333298</v>
      </c>
      <c r="I149" s="109">
        <f t="shared" si="2"/>
        <v>0</v>
      </c>
      <c r="J149" s="109">
        <v>0.9</v>
      </c>
      <c r="K149" s="82" t="s">
        <v>1264</v>
      </c>
      <c r="L149" s="82"/>
    </row>
    <row r="150" spans="1:12" ht="14.4" customHeight="1">
      <c r="A150" s="253"/>
      <c r="B150" s="244"/>
      <c r="C150" s="244"/>
      <c r="D150" s="78" t="s">
        <v>1194</v>
      </c>
      <c r="E150" s="159"/>
      <c r="F150" s="106" t="s">
        <v>1252</v>
      </c>
      <c r="G150" s="107"/>
      <c r="H150" s="108">
        <v>0.33333333333333298</v>
      </c>
      <c r="I150" s="109">
        <f t="shared" si="2"/>
        <v>1</v>
      </c>
      <c r="J150" s="109">
        <v>0.9</v>
      </c>
      <c r="K150" s="82"/>
      <c r="L150" s="82"/>
    </row>
    <row r="151" spans="1:12" ht="14.4" customHeight="1">
      <c r="A151" s="253"/>
      <c r="B151" s="245"/>
      <c r="C151" s="245"/>
      <c r="D151" s="78" t="s">
        <v>1194</v>
      </c>
      <c r="E151" s="113"/>
      <c r="F151" s="114" t="s">
        <v>1253</v>
      </c>
      <c r="G151" s="107"/>
      <c r="H151" s="123">
        <v>0.33333333333333298</v>
      </c>
      <c r="I151" s="109">
        <f t="shared" si="2"/>
        <v>1</v>
      </c>
      <c r="J151" s="109">
        <v>0.9</v>
      </c>
      <c r="K151" s="82"/>
      <c r="L151" s="82"/>
    </row>
    <row r="152" spans="1:12" ht="14.4" customHeight="1">
      <c r="A152" s="253"/>
      <c r="B152" s="117"/>
      <c r="C152" s="117"/>
      <c r="D152" s="118"/>
      <c r="E152" s="118"/>
      <c r="F152" s="119" t="s">
        <v>1251</v>
      </c>
      <c r="G152" s="124"/>
      <c r="H152" s="124"/>
      <c r="I152" s="120">
        <f>AVERAGEIF(F107:F151,F152,I107:I151)</f>
        <v>0.2441666666666665</v>
      </c>
      <c r="J152" s="121">
        <v>0.9</v>
      </c>
      <c r="K152" s="118"/>
      <c r="L152" s="116"/>
    </row>
    <row r="153" spans="1:12" ht="14.4" customHeight="1">
      <c r="A153" s="253"/>
      <c r="B153" s="117"/>
      <c r="C153" s="117"/>
      <c r="D153" s="118"/>
      <c r="E153" s="118"/>
      <c r="F153" s="119" t="s">
        <v>1252</v>
      </c>
      <c r="G153" s="124"/>
      <c r="H153" s="124"/>
      <c r="I153" s="120">
        <f>AVERAGEIF(F108:F152,F153,I108:I152)</f>
        <v>0.97916666666666663</v>
      </c>
      <c r="J153" s="121">
        <v>0.9</v>
      </c>
      <c r="K153" s="118"/>
      <c r="L153" s="116"/>
    </row>
    <row r="154" spans="1:12" ht="14.4" customHeight="1">
      <c r="A154" s="253"/>
      <c r="B154" s="117"/>
      <c r="C154" s="117"/>
      <c r="D154" s="118"/>
      <c r="E154" s="118"/>
      <c r="F154" s="119" t="s">
        <v>1253</v>
      </c>
      <c r="G154" s="124"/>
      <c r="H154" s="124"/>
      <c r="I154" s="120">
        <f>AVERAGEIF(F109:F153,F154,I109:I153)</f>
        <v>0.96875</v>
      </c>
      <c r="J154" s="121">
        <v>0.9</v>
      </c>
      <c r="K154" s="118"/>
      <c r="L154" s="116"/>
    </row>
  </sheetData>
  <mergeCells count="104">
    <mergeCell ref="N12:O12"/>
    <mergeCell ref="P38:P41"/>
    <mergeCell ref="Q38:Q41"/>
    <mergeCell ref="N43:N44"/>
    <mergeCell ref="O43:O44"/>
    <mergeCell ref="P43:P44"/>
    <mergeCell ref="Q43:Q44"/>
    <mergeCell ref="P45:P48"/>
    <mergeCell ref="Q45:Q48"/>
    <mergeCell ref="P24:P27"/>
    <mergeCell ref="Q24:Q27"/>
    <mergeCell ref="N29:N30"/>
    <mergeCell ref="O29:O30"/>
    <mergeCell ref="P29:P30"/>
    <mergeCell ref="Q29:Q30"/>
    <mergeCell ref="P31:P34"/>
    <mergeCell ref="Q31:Q34"/>
    <mergeCell ref="N36:N37"/>
    <mergeCell ref="O36:O37"/>
    <mergeCell ref="P36:P37"/>
    <mergeCell ref="Q36:Q37"/>
    <mergeCell ref="N15:N16"/>
    <mergeCell ref="O15:O16"/>
    <mergeCell ref="P15:P16"/>
    <mergeCell ref="P17:P19"/>
    <mergeCell ref="Q15:Q16"/>
    <mergeCell ref="Q17:Q19"/>
    <mergeCell ref="N22:N23"/>
    <mergeCell ref="O22:O23"/>
    <mergeCell ref="P22:P23"/>
    <mergeCell ref="Q22:Q23"/>
    <mergeCell ref="B59:B67"/>
    <mergeCell ref="C59:C61"/>
    <mergeCell ref="C62:C64"/>
    <mergeCell ref="C65:C67"/>
    <mergeCell ref="C29:C31"/>
    <mergeCell ref="C32:C34"/>
    <mergeCell ref="C35:C37"/>
    <mergeCell ref="B38:B46"/>
    <mergeCell ref="C38:C40"/>
    <mergeCell ref="C20:C22"/>
    <mergeCell ref="C23:C25"/>
    <mergeCell ref="C26:C28"/>
    <mergeCell ref="C14:C16"/>
    <mergeCell ref="B29:B37"/>
    <mergeCell ref="B47:B55"/>
    <mergeCell ref="C41:C43"/>
    <mergeCell ref="C44:C46"/>
    <mergeCell ref="C74:C76"/>
    <mergeCell ref="C47:C49"/>
    <mergeCell ref="C50:C52"/>
    <mergeCell ref="C53:C55"/>
    <mergeCell ref="A11:A58"/>
    <mergeCell ref="A59:A106"/>
    <mergeCell ref="B68:B76"/>
    <mergeCell ref="B77:B85"/>
    <mergeCell ref="C77:C79"/>
    <mergeCell ref="C80:C82"/>
    <mergeCell ref="C83:C85"/>
    <mergeCell ref="B86:B94"/>
    <mergeCell ref="C86:C88"/>
    <mergeCell ref="C89:C91"/>
    <mergeCell ref="C92:C94"/>
    <mergeCell ref="B95:B103"/>
    <mergeCell ref="C95:C97"/>
    <mergeCell ref="C98:C100"/>
    <mergeCell ref="C101:C103"/>
    <mergeCell ref="B11:B19"/>
    <mergeCell ref="B20:B28"/>
    <mergeCell ref="C11:C13"/>
    <mergeCell ref="C17:C19"/>
    <mergeCell ref="C68:C70"/>
    <mergeCell ref="C140:C142"/>
    <mergeCell ref="B143:B151"/>
    <mergeCell ref="C143:C145"/>
    <mergeCell ref="C146:C148"/>
    <mergeCell ref="C149:C151"/>
    <mergeCell ref="A107:A154"/>
    <mergeCell ref="B107:B115"/>
    <mergeCell ref="C107:C109"/>
    <mergeCell ref="C110:C112"/>
    <mergeCell ref="C113:C115"/>
    <mergeCell ref="B116:B124"/>
    <mergeCell ref="C116:C118"/>
    <mergeCell ref="C119:C121"/>
    <mergeCell ref="C122:C124"/>
    <mergeCell ref="B125:B133"/>
    <mergeCell ref="C125:C127"/>
    <mergeCell ref="C128:C130"/>
    <mergeCell ref="C131:C133"/>
    <mergeCell ref="B134:B142"/>
    <mergeCell ref="C134:C136"/>
    <mergeCell ref="C137:C139"/>
    <mergeCell ref="C71:C73"/>
    <mergeCell ref="A1:F1"/>
    <mergeCell ref="G1:J1"/>
    <mergeCell ref="A3:F3"/>
    <mergeCell ref="G3:J3"/>
    <mergeCell ref="K1:L1"/>
    <mergeCell ref="K3:L3"/>
    <mergeCell ref="K4:L4"/>
    <mergeCell ref="A2:L2"/>
    <mergeCell ref="A4:F4"/>
    <mergeCell ref="G4:J4"/>
  </mergeCells>
  <phoneticPr fontId="13" type="noConversion"/>
  <conditionalFormatting sqref="F11:F154">
    <cfRule type="containsText" dxfId="177" priority="24" operator="containsText" text="P'SUP">
      <formula>NOT(ISERROR(SEARCH("P'SUP",F11)))</formula>
    </cfRule>
    <cfRule type="containsText" dxfId="176" priority="25" operator="containsText" text="P'NUT">
      <formula>NOT(ISERROR(SEARCH("P'NUT",F11)))</formula>
    </cfRule>
    <cfRule type="containsText" dxfId="175" priority="26" operator="containsText" text="P'SUP">
      <formula>NOT(ISERROR(SEARCH("P'SUP",F11)))</formula>
    </cfRule>
  </conditionalFormatting>
  <conditionalFormatting sqref="I11:I154">
    <cfRule type="cellIs" dxfId="174" priority="7" operator="greaterThan">
      <formula>0.85</formula>
    </cfRule>
    <cfRule type="cellIs" dxfId="173" priority="8" operator="lessThan">
      <formula>0.85</formula>
    </cfRule>
  </conditionalFormatting>
  <conditionalFormatting sqref="O25:O27">
    <cfRule type="cellIs" dxfId="172" priority="3" operator="lessThan">
      <formula>0.85</formula>
    </cfRule>
  </conditionalFormatting>
  <conditionalFormatting sqref="O17:P19">
    <cfRule type="cellIs" dxfId="171" priority="6" operator="lessThan">
      <formula>0.85</formula>
    </cfRule>
  </conditionalFormatting>
  <conditionalFormatting sqref="O24:P24">
    <cfRule type="cellIs" dxfId="170" priority="5" operator="lessThan">
      <formula>0.85</formula>
    </cfRule>
  </conditionalFormatting>
  <conditionalFormatting sqref="O31:P31 O32:O34">
    <cfRule type="cellIs" dxfId="169" priority="4" operator="lessThan">
      <formula>0.85</formula>
    </cfRule>
  </conditionalFormatting>
  <conditionalFormatting sqref="O38:P38 O39:O41">
    <cfRule type="cellIs" dxfId="168" priority="2" operator="lessThan">
      <formula>0.85</formula>
    </cfRule>
  </conditionalFormatting>
  <conditionalFormatting sqref="O45:P45 O46:O48">
    <cfRule type="cellIs" dxfId="167" priority="1" operator="lessThan">
      <formula>0.85</formula>
    </cfRule>
  </conditionalFormatting>
  <pageMargins left="0.7" right="0.7" top="0.75" bottom="0.75" header="0.3" footer="0.3"/>
  <pageSetup paperSize="9" scale="42" fitToHeight="0" orientation="landscape" r:id="rId1"/>
  <ignoredErrors>
    <ignoredError sqref="I20:I55 I11:I19" unlockedFormula="1"/>
  </ignoredErrors>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E2B8A80B-31ED-41C7-92E1-99666BD9CC5A}">
          <x14:formula1>
            <xm:f>n!$A$8:$A$10</xm:f>
          </x14:formula1>
          <xm:sqref>F11:F154</xm:sqref>
        </x14:dataValidation>
        <x14:dataValidation type="list" allowBlank="1" showInputMessage="1" showErrorMessage="1" xr:uid="{FEFE730E-3216-4C32-B705-D2B24B606FF7}">
          <x14:formula1>
            <xm:f>n!$A$1:$A$6</xm:f>
          </x14:formula1>
          <xm:sqref>D11:E154</xm:sqref>
        </x14:dataValidation>
        <x14:dataValidation type="list" allowBlank="1" showInputMessage="1" showErrorMessage="1" xr:uid="{306F0D6D-E0BB-4A33-A32A-FBFADBE55BC1}">
          <x14:formula1>
            <xm:f>n!$B$2:$B$4</xm:f>
          </x14:formula1>
          <xm:sqref>C11:C154</xm:sqref>
        </x14:dataValidation>
        <x14:dataValidation type="list" allowBlank="1" showInputMessage="1" showErrorMessage="1" xr:uid="{BB2D9833-29BC-44D9-A0B9-A2FB2FFACF93}">
          <x14:formula1>
            <xm:f>n!$A$2:$A$6</xm:f>
          </x14:formula1>
          <xm:sqref>P31 P24 P38 P45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36D21-0548-4F41-B21F-DC9D6B8A04AA}">
  <sheetPr>
    <pageSetUpPr fitToPage="1"/>
  </sheetPr>
  <dimension ref="A1:Q322"/>
  <sheetViews>
    <sheetView showGridLines="0" topLeftCell="A50" zoomScale="80" zoomScaleNormal="80" workbookViewId="0">
      <selection activeCell="N20" sqref="N20"/>
    </sheetView>
  </sheetViews>
  <sheetFormatPr baseColWidth="10" defaultRowHeight="14.4"/>
  <cols>
    <col min="2" max="2" width="13.21875" customWidth="1"/>
    <col min="3" max="3" width="12.6640625" customWidth="1"/>
    <col min="4" max="5" width="14.33203125" customWidth="1"/>
    <col min="7" max="7" width="11" customWidth="1"/>
    <col min="9" max="9" width="12.77734375" customWidth="1"/>
    <col min="10" max="10" width="13.33203125" customWidth="1"/>
    <col min="11" max="11" width="28.5546875" customWidth="1"/>
    <col min="12" max="12" width="24.109375" customWidth="1"/>
    <col min="14" max="14" width="14.44140625" customWidth="1"/>
    <col min="15" max="15" width="16.77734375" customWidth="1"/>
    <col min="16" max="16" width="15.21875" customWidth="1"/>
    <col min="17" max="17" width="57.21875" customWidth="1"/>
  </cols>
  <sheetData>
    <row r="1" spans="1:17" ht="38.4" customHeight="1">
      <c r="A1" s="201"/>
      <c r="B1" s="201"/>
      <c r="C1" s="201"/>
      <c r="D1" s="201"/>
      <c r="E1" s="201"/>
      <c r="F1" s="201"/>
      <c r="G1" s="201"/>
      <c r="H1" s="201"/>
      <c r="I1" s="201"/>
      <c r="J1" s="201"/>
      <c r="K1" s="246" t="s">
        <v>1228</v>
      </c>
      <c r="L1" s="246"/>
    </row>
    <row r="2" spans="1:17" ht="26.4" customHeight="1">
      <c r="A2" s="210" t="s">
        <v>1227</v>
      </c>
      <c r="B2" s="210"/>
      <c r="C2" s="210"/>
      <c r="D2" s="210"/>
      <c r="E2" s="210"/>
      <c r="F2" s="210"/>
      <c r="G2" s="210"/>
      <c r="H2" s="210"/>
      <c r="I2" s="210"/>
      <c r="J2" s="210"/>
      <c r="K2" s="210"/>
      <c r="L2" s="210"/>
    </row>
    <row r="3" spans="1:17" ht="26.4" customHeight="1">
      <c r="A3" s="221" t="s">
        <v>1210</v>
      </c>
      <c r="B3" s="222"/>
      <c r="C3" s="222"/>
      <c r="D3" s="222"/>
      <c r="E3" s="222"/>
      <c r="F3" s="222"/>
      <c r="G3" s="221" t="s">
        <v>1209</v>
      </c>
      <c r="H3" s="222"/>
      <c r="I3" s="222"/>
      <c r="J3" s="222"/>
      <c r="K3" s="247" t="s">
        <v>1230</v>
      </c>
      <c r="L3" s="247"/>
      <c r="N3" s="67"/>
    </row>
    <row r="4" spans="1:17" ht="63" customHeight="1">
      <c r="A4" s="221" t="s">
        <v>1224</v>
      </c>
      <c r="B4" s="222"/>
      <c r="C4" s="222"/>
      <c r="D4" s="222"/>
      <c r="E4" s="222"/>
      <c r="F4" s="222"/>
      <c r="G4" s="221" t="s">
        <v>1225</v>
      </c>
      <c r="H4" s="222"/>
      <c r="I4" s="222"/>
      <c r="J4" s="222"/>
      <c r="K4" s="221" t="s">
        <v>1226</v>
      </c>
      <c r="L4" s="221"/>
    </row>
    <row r="5" spans="1:17" ht="14.4" customHeight="1"/>
    <row r="6" spans="1:17" hidden="1"/>
    <row r="7" spans="1:17" hidden="1"/>
    <row r="8" spans="1:17" hidden="1"/>
    <row r="9" spans="1:17" ht="24.6" customHeight="1" thickBot="1"/>
    <row r="10" spans="1:17" ht="36.6" customHeight="1" thickTop="1" thickBot="1">
      <c r="A10" s="139" t="s">
        <v>1190</v>
      </c>
      <c r="B10" s="140" t="s">
        <v>1258</v>
      </c>
      <c r="C10" s="141" t="s">
        <v>1257</v>
      </c>
      <c r="D10" s="141" t="s">
        <v>1250</v>
      </c>
      <c r="E10" s="141" t="s">
        <v>1285</v>
      </c>
      <c r="F10" s="141" t="s">
        <v>1246</v>
      </c>
      <c r="G10" s="142" t="s">
        <v>1259</v>
      </c>
      <c r="H10" s="143" t="s">
        <v>1248</v>
      </c>
      <c r="I10" s="143" t="s">
        <v>1249</v>
      </c>
      <c r="J10" s="143" t="s">
        <v>1254</v>
      </c>
      <c r="K10" s="144" t="s">
        <v>1247</v>
      </c>
      <c r="L10" s="145" t="s">
        <v>1255</v>
      </c>
    </row>
    <row r="11" spans="1:17" ht="14.4" customHeight="1">
      <c r="A11" s="252" t="s">
        <v>1295</v>
      </c>
      <c r="B11" s="251">
        <v>45684</v>
      </c>
      <c r="C11" s="243" t="s">
        <v>1198</v>
      </c>
      <c r="D11" s="110" t="s">
        <v>1201</v>
      </c>
      <c r="E11" s="156"/>
      <c r="F11" s="111" t="s">
        <v>1251</v>
      </c>
      <c r="G11" s="107">
        <v>0.33333333333333331</v>
      </c>
      <c r="H11" s="108">
        <v>0.33333333333333331</v>
      </c>
      <c r="I11" s="109">
        <f>1-(G11/H11)</f>
        <v>0</v>
      </c>
      <c r="J11" s="109">
        <v>0.9</v>
      </c>
      <c r="K11" s="82"/>
      <c r="L11" s="82"/>
    </row>
    <row r="12" spans="1:17" ht="14.4" customHeight="1">
      <c r="A12" s="253"/>
      <c r="B12" s="244"/>
      <c r="C12" s="244"/>
      <c r="D12" s="110" t="s">
        <v>1201</v>
      </c>
      <c r="E12" s="156"/>
      <c r="F12" s="111" t="s">
        <v>1252</v>
      </c>
      <c r="G12" s="107"/>
      <c r="H12" s="108">
        <v>0.33333333333333331</v>
      </c>
      <c r="I12" s="109">
        <f>1-(G12/H12)</f>
        <v>1</v>
      </c>
      <c r="J12" s="109">
        <v>0.9</v>
      </c>
      <c r="K12" s="82"/>
      <c r="L12" s="82"/>
      <c r="N12" s="258" t="s">
        <v>1359</v>
      </c>
      <c r="O12" s="258"/>
    </row>
    <row r="13" spans="1:17" ht="14.4" customHeight="1">
      <c r="A13" s="253"/>
      <c r="B13" s="244"/>
      <c r="C13" s="245"/>
      <c r="D13" s="110" t="s">
        <v>1201</v>
      </c>
      <c r="E13" s="157"/>
      <c r="F13" s="114" t="s">
        <v>1253</v>
      </c>
      <c r="G13" s="107"/>
      <c r="H13" s="108">
        <v>0.33333333333333298</v>
      </c>
      <c r="I13" s="109">
        <f t="shared" ref="I13:I73" si="0">1-(G13/H13)</f>
        <v>1</v>
      </c>
      <c r="J13" s="109">
        <v>0.9</v>
      </c>
      <c r="K13" s="82"/>
      <c r="L13" s="82"/>
    </row>
    <row r="14" spans="1:17" ht="14.4" customHeight="1">
      <c r="A14" s="253"/>
      <c r="B14" s="244"/>
      <c r="C14" s="248" t="s">
        <v>1196</v>
      </c>
      <c r="D14" s="132" t="s">
        <v>1191</v>
      </c>
      <c r="E14" s="158"/>
      <c r="F14" s="125" t="s">
        <v>1251</v>
      </c>
      <c r="G14" s="126">
        <v>0.33333333333333331</v>
      </c>
      <c r="H14" s="127">
        <v>0.33333333333333298</v>
      </c>
      <c r="I14" s="134">
        <f t="shared" si="0"/>
        <v>0</v>
      </c>
      <c r="J14" s="134">
        <v>0.9</v>
      </c>
      <c r="K14" s="135" t="s">
        <v>1264</v>
      </c>
      <c r="L14" s="136"/>
    </row>
    <row r="15" spans="1:17" ht="14.4" customHeight="1">
      <c r="A15" s="253"/>
      <c r="B15" s="244"/>
      <c r="C15" s="249"/>
      <c r="D15" s="132" t="s">
        <v>1191</v>
      </c>
      <c r="E15" s="158"/>
      <c r="F15" s="125" t="s">
        <v>1252</v>
      </c>
      <c r="G15" s="126"/>
      <c r="H15" s="127">
        <v>0.33333333333333298</v>
      </c>
      <c r="I15" s="134">
        <f t="shared" si="0"/>
        <v>1</v>
      </c>
      <c r="J15" s="134">
        <v>0.9</v>
      </c>
      <c r="K15" s="135"/>
      <c r="L15" s="136"/>
      <c r="N15" s="255" t="s">
        <v>1287</v>
      </c>
      <c r="O15" s="255" t="s">
        <v>1288</v>
      </c>
      <c r="P15" s="255" t="s">
        <v>1289</v>
      </c>
      <c r="Q15" s="255" t="s">
        <v>1290</v>
      </c>
    </row>
    <row r="16" spans="1:17" ht="14.4" customHeight="1">
      <c r="A16" s="253"/>
      <c r="B16" s="244"/>
      <c r="C16" s="250"/>
      <c r="D16" s="132" t="s">
        <v>1191</v>
      </c>
      <c r="E16" s="133"/>
      <c r="F16" s="128" t="s">
        <v>1253</v>
      </c>
      <c r="G16" s="126"/>
      <c r="H16" s="127">
        <v>0.33333333333333298</v>
      </c>
      <c r="I16" s="134">
        <f t="shared" si="0"/>
        <v>1</v>
      </c>
      <c r="J16" s="134">
        <v>0.9</v>
      </c>
      <c r="K16" s="133"/>
      <c r="L16" s="136"/>
      <c r="N16" s="255"/>
      <c r="O16" s="255"/>
      <c r="P16" s="255"/>
      <c r="Q16" s="255"/>
    </row>
    <row r="17" spans="1:17" ht="14.4" customHeight="1">
      <c r="A17" s="253"/>
      <c r="B17" s="244"/>
      <c r="C17" s="243" t="s">
        <v>1197</v>
      </c>
      <c r="D17" s="78" t="s">
        <v>1192</v>
      </c>
      <c r="E17" s="159"/>
      <c r="F17" s="111" t="s">
        <v>1251</v>
      </c>
      <c r="G17" s="107">
        <v>0.33333333333333331</v>
      </c>
      <c r="H17" s="108">
        <v>0.33333333333333298</v>
      </c>
      <c r="I17" s="109">
        <f t="shared" si="0"/>
        <v>0</v>
      </c>
      <c r="J17" s="109">
        <v>0.9</v>
      </c>
      <c r="K17" s="82" t="s">
        <v>1264</v>
      </c>
      <c r="L17" s="82"/>
      <c r="N17" s="161" t="s">
        <v>1251</v>
      </c>
      <c r="O17" s="162">
        <f>(I74+I140+I206+I272+I320)/5</f>
        <v>0</v>
      </c>
      <c r="P17" s="254">
        <f>(O17+O18+O19)/3</f>
        <v>0.57997486772486773</v>
      </c>
      <c r="Q17" s="259" t="s">
        <v>1317</v>
      </c>
    </row>
    <row r="18" spans="1:17" ht="14.4" customHeight="1">
      <c r="A18" s="253"/>
      <c r="B18" s="244"/>
      <c r="C18" s="244"/>
      <c r="D18" s="78" t="s">
        <v>1192</v>
      </c>
      <c r="E18" s="159"/>
      <c r="F18" s="111" t="s">
        <v>1252</v>
      </c>
      <c r="G18" s="107"/>
      <c r="H18" s="108">
        <v>0.33333333333333298</v>
      </c>
      <c r="I18" s="109">
        <f t="shared" si="0"/>
        <v>1</v>
      </c>
      <c r="J18" s="109">
        <v>0.9</v>
      </c>
      <c r="K18" s="82"/>
      <c r="L18" s="82"/>
      <c r="N18" s="161" t="s">
        <v>1252</v>
      </c>
      <c r="O18" s="162">
        <f>(I75+I141+I207+I273+I321)/5</f>
        <v>0.91290476190476189</v>
      </c>
      <c r="P18" s="254"/>
      <c r="Q18" s="259"/>
    </row>
    <row r="19" spans="1:17" ht="15" customHeight="1" thickBot="1">
      <c r="A19" s="253"/>
      <c r="B19" s="245"/>
      <c r="C19" s="245"/>
      <c r="D19" s="78" t="s">
        <v>1192</v>
      </c>
      <c r="E19" s="113"/>
      <c r="F19" s="114" t="s">
        <v>1253</v>
      </c>
      <c r="G19" s="107"/>
      <c r="H19" s="108">
        <v>0.33333333333333298</v>
      </c>
      <c r="I19" s="109">
        <f t="shared" si="0"/>
        <v>1</v>
      </c>
      <c r="J19" s="109">
        <v>0.9</v>
      </c>
      <c r="K19" s="82"/>
      <c r="L19" s="82"/>
      <c r="N19" s="161" t="s">
        <v>1253</v>
      </c>
      <c r="O19" s="162">
        <f>(I76+I142+I208+I274+I322)/5</f>
        <v>0.82701984126984129</v>
      </c>
      <c r="P19" s="254"/>
      <c r="Q19" s="259"/>
    </row>
    <row r="20" spans="1:17" ht="14.4" customHeight="1">
      <c r="A20" s="253"/>
      <c r="B20" s="251">
        <v>45685</v>
      </c>
      <c r="C20" s="248" t="s">
        <v>1198</v>
      </c>
      <c r="D20" s="132" t="s">
        <v>1193</v>
      </c>
      <c r="E20" s="158"/>
      <c r="F20" s="125" t="s">
        <v>1251</v>
      </c>
      <c r="G20" s="126">
        <v>0.33333333333333331</v>
      </c>
      <c r="H20" s="127">
        <v>0.33333333333333298</v>
      </c>
      <c r="I20" s="134">
        <f t="shared" si="0"/>
        <v>0</v>
      </c>
      <c r="J20" s="134">
        <v>0.9</v>
      </c>
      <c r="K20" s="135" t="s">
        <v>1264</v>
      </c>
      <c r="L20" s="137"/>
    </row>
    <row r="21" spans="1:17" ht="14.4" customHeight="1">
      <c r="A21" s="253"/>
      <c r="B21" s="244"/>
      <c r="C21" s="249"/>
      <c r="D21" s="132" t="s">
        <v>1193</v>
      </c>
      <c r="E21" s="158"/>
      <c r="F21" s="125" t="s">
        <v>1252</v>
      </c>
      <c r="G21" s="126">
        <v>2.2916666666666665E-2</v>
      </c>
      <c r="H21" s="127">
        <v>0.33333333333333298</v>
      </c>
      <c r="I21" s="134">
        <f t="shared" si="0"/>
        <v>0.93124999999999991</v>
      </c>
      <c r="J21" s="134">
        <v>0.9</v>
      </c>
      <c r="K21" s="135" t="s">
        <v>1281</v>
      </c>
      <c r="L21" s="136"/>
    </row>
    <row r="22" spans="1:17" ht="14.4" customHeight="1">
      <c r="A22" s="253"/>
      <c r="B22" s="244"/>
      <c r="C22" s="250"/>
      <c r="D22" s="132" t="s">
        <v>1193</v>
      </c>
      <c r="E22" s="133"/>
      <c r="F22" s="128" t="s">
        <v>1253</v>
      </c>
      <c r="G22" s="126"/>
      <c r="H22" s="127">
        <v>0.33333333333333298</v>
      </c>
      <c r="I22" s="134">
        <f t="shared" si="0"/>
        <v>1</v>
      </c>
      <c r="J22" s="134">
        <v>0.9</v>
      </c>
      <c r="K22" s="133"/>
      <c r="L22" s="136"/>
      <c r="N22" s="255" t="s">
        <v>1287</v>
      </c>
      <c r="O22" s="255" t="s">
        <v>1288</v>
      </c>
      <c r="P22" s="255" t="s">
        <v>1292</v>
      </c>
      <c r="Q22" s="255" t="s">
        <v>1290</v>
      </c>
    </row>
    <row r="23" spans="1:17" ht="14.4" customHeight="1">
      <c r="A23" s="253"/>
      <c r="B23" s="244"/>
      <c r="C23" s="243" t="s">
        <v>1196</v>
      </c>
      <c r="D23" s="78" t="s">
        <v>1191</v>
      </c>
      <c r="E23" s="159"/>
      <c r="F23" s="111" t="s">
        <v>1251</v>
      </c>
      <c r="G23" s="107">
        <v>0.33333333333333331</v>
      </c>
      <c r="H23" s="108">
        <v>0.33333333333333298</v>
      </c>
      <c r="I23" s="109">
        <f t="shared" si="0"/>
        <v>0</v>
      </c>
      <c r="J23" s="109">
        <v>0.9</v>
      </c>
      <c r="K23" s="82" t="s">
        <v>1264</v>
      </c>
      <c r="L23" s="112"/>
      <c r="N23" s="255"/>
      <c r="O23" s="255"/>
      <c r="P23" s="255"/>
      <c r="Q23" s="255"/>
    </row>
    <row r="24" spans="1:17" ht="14.4" customHeight="1">
      <c r="A24" s="253"/>
      <c r="B24" s="244"/>
      <c r="C24" s="244"/>
      <c r="D24" s="78" t="s">
        <v>1191</v>
      </c>
      <c r="E24" s="159"/>
      <c r="F24" s="111" t="s">
        <v>1252</v>
      </c>
      <c r="G24" s="107"/>
      <c r="H24" s="108">
        <v>0.33333333333333298</v>
      </c>
      <c r="I24" s="109">
        <f t="shared" si="0"/>
        <v>1</v>
      </c>
      <c r="J24" s="109">
        <v>0.9</v>
      </c>
      <c r="K24" s="82"/>
      <c r="L24" s="82"/>
      <c r="N24" s="161" t="s">
        <v>1251</v>
      </c>
      <c r="O24" s="162">
        <f>(AVERAGEIFS(I11:I73,D11:D73,P24,F11:F73,N24)+AVERAGEIFS(I77:I139,D77:D139,P24,F77:F139,N24)+AVERAGEIFS(I143:I205,D143:D205,P24,F143:F205,N24)+AVERAGEIFS(I209:I271,D209:D271,P24,F209:F271,N24)+AVERAGEIFS(I275:I319,D275:D319,P24,F275:F319,N24))/5</f>
        <v>0</v>
      </c>
      <c r="P24" s="260" t="s">
        <v>1191</v>
      </c>
      <c r="Q24" s="259"/>
    </row>
    <row r="25" spans="1:17" ht="14.4" customHeight="1">
      <c r="A25" s="253"/>
      <c r="B25" s="244"/>
      <c r="C25" s="245"/>
      <c r="D25" s="78" t="s">
        <v>1191</v>
      </c>
      <c r="E25" s="113"/>
      <c r="F25" s="114" t="s">
        <v>1253</v>
      </c>
      <c r="G25" s="107"/>
      <c r="H25" s="108">
        <v>0.33333333333333298</v>
      </c>
      <c r="I25" s="109">
        <f t="shared" si="0"/>
        <v>1</v>
      </c>
      <c r="J25" s="109">
        <v>0.9</v>
      </c>
      <c r="K25" s="82"/>
      <c r="L25" s="82"/>
      <c r="N25" s="161" t="s">
        <v>1252</v>
      </c>
      <c r="O25" s="162">
        <f>(AVERAGEIFS(I11:I73,D11:D73,P24,F11:F73,N25)+AVERAGEIFS(I77:I139,D77:D139,P24,F77:F139,N25)+AVERAGEIFS(I143:I205,D143:D205,P24,F143:F205,N25)+AVERAGEIFS(I209:I271,D209:D271,P24,F209:F271,N25)+AVERAGEIFS(I275:I319,D275:D319,P24,F275:F319,N25))/5</f>
        <v>0.92458333333333331</v>
      </c>
      <c r="P25" s="261"/>
      <c r="Q25" s="259"/>
    </row>
    <row r="26" spans="1:17" ht="14.4" customHeight="1">
      <c r="A26" s="253"/>
      <c r="B26" s="244"/>
      <c r="C26" s="248" t="s">
        <v>1197</v>
      </c>
      <c r="D26" s="132" t="s">
        <v>1192</v>
      </c>
      <c r="E26" s="158"/>
      <c r="F26" s="125" t="s">
        <v>1251</v>
      </c>
      <c r="G26" s="126">
        <v>0.33333333333333331</v>
      </c>
      <c r="H26" s="127">
        <v>0.33333333333333298</v>
      </c>
      <c r="I26" s="134">
        <f t="shared" si="0"/>
        <v>0</v>
      </c>
      <c r="J26" s="134">
        <v>0.9</v>
      </c>
      <c r="K26" s="135" t="s">
        <v>1264</v>
      </c>
      <c r="L26" s="137"/>
      <c r="N26" s="161" t="s">
        <v>1253</v>
      </c>
      <c r="O26" s="162">
        <f>(AVERAGEIFS(I11:I73,D11:D73,P24,F11:F73,N26)+AVERAGEIFS(I77:I139,D77:D139,P24,F77:F139,N26)+AVERAGEIFS(I143:I205,D143:D205,P24,F143:F205,N26)+AVERAGEIFS(I209:I271,D209:D271,P24,F209:F271,N26)+AVERAGEIFS(I275:I319,D275:D319,P24,F275:F319,N26))/5</f>
        <v>0.79947222222222214</v>
      </c>
      <c r="P26" s="261"/>
      <c r="Q26" s="259"/>
    </row>
    <row r="27" spans="1:17" ht="14.4" customHeight="1">
      <c r="A27" s="253"/>
      <c r="B27" s="244"/>
      <c r="C27" s="249"/>
      <c r="D27" s="132" t="s">
        <v>1192</v>
      </c>
      <c r="E27" s="158"/>
      <c r="F27" s="129" t="s">
        <v>1252</v>
      </c>
      <c r="G27" s="126"/>
      <c r="H27" s="127">
        <v>0.33333333333333298</v>
      </c>
      <c r="I27" s="134">
        <f t="shared" si="0"/>
        <v>1</v>
      </c>
      <c r="J27" s="134">
        <v>0.9</v>
      </c>
      <c r="K27" s="135"/>
      <c r="L27" s="136"/>
      <c r="N27" s="161" t="s">
        <v>1293</v>
      </c>
      <c r="O27" s="162">
        <f>(O24+O25+O26)/3</f>
        <v>0.57468518518518519</v>
      </c>
      <c r="P27" s="261"/>
      <c r="Q27" s="259"/>
    </row>
    <row r="28" spans="1:17" ht="14.4" customHeight="1" thickBot="1">
      <c r="A28" s="253"/>
      <c r="B28" s="245"/>
      <c r="C28" s="250"/>
      <c r="D28" s="132" t="s">
        <v>1192</v>
      </c>
      <c r="E28" s="133"/>
      <c r="F28" s="128" t="s">
        <v>1253</v>
      </c>
      <c r="G28" s="126"/>
      <c r="H28" s="131">
        <v>0.33333333333333298</v>
      </c>
      <c r="I28" s="138">
        <f t="shared" si="0"/>
        <v>1</v>
      </c>
      <c r="J28" s="134">
        <v>0.9</v>
      </c>
      <c r="K28" s="133"/>
      <c r="L28" s="136"/>
    </row>
    <row r="29" spans="1:17" ht="15" customHeight="1">
      <c r="A29" s="253"/>
      <c r="B29" s="251">
        <v>45686</v>
      </c>
      <c r="C29" s="243" t="s">
        <v>1198</v>
      </c>
      <c r="D29" s="78" t="s">
        <v>1194</v>
      </c>
      <c r="E29" s="159"/>
      <c r="F29" s="111" t="s">
        <v>1251</v>
      </c>
      <c r="G29" s="107">
        <v>0.33333333333333331</v>
      </c>
      <c r="H29" s="108">
        <v>0.33333333333333298</v>
      </c>
      <c r="I29" s="109">
        <f t="shared" si="0"/>
        <v>0</v>
      </c>
      <c r="J29" s="109">
        <v>0.9</v>
      </c>
      <c r="K29" s="82" t="s">
        <v>1264</v>
      </c>
      <c r="L29" s="112"/>
      <c r="N29" s="255" t="s">
        <v>1287</v>
      </c>
      <c r="O29" s="255" t="s">
        <v>1288</v>
      </c>
      <c r="P29" s="255" t="s">
        <v>1292</v>
      </c>
      <c r="Q29" s="255" t="s">
        <v>1290</v>
      </c>
    </row>
    <row r="30" spans="1:17" ht="15" customHeight="1">
      <c r="A30" s="253"/>
      <c r="B30" s="244"/>
      <c r="C30" s="244"/>
      <c r="D30" s="78" t="s">
        <v>1194</v>
      </c>
      <c r="E30" s="159"/>
      <c r="F30" s="106" t="s">
        <v>1252</v>
      </c>
      <c r="G30" s="107">
        <v>0.20833333333333334</v>
      </c>
      <c r="H30" s="108">
        <v>0.33333333333333298</v>
      </c>
      <c r="I30" s="109">
        <f t="shared" si="0"/>
        <v>0.37499999999999933</v>
      </c>
      <c r="J30" s="109">
        <v>0.9</v>
      </c>
      <c r="K30" s="82" t="s">
        <v>1281</v>
      </c>
      <c r="L30" s="82"/>
      <c r="N30" s="255"/>
      <c r="O30" s="255"/>
      <c r="P30" s="255"/>
      <c r="Q30" s="255"/>
    </row>
    <row r="31" spans="1:17" ht="15" customHeight="1">
      <c r="A31" s="253"/>
      <c r="B31" s="244"/>
      <c r="C31" s="245"/>
      <c r="D31" s="78" t="s">
        <v>1194</v>
      </c>
      <c r="E31" s="113"/>
      <c r="F31" s="114" t="s">
        <v>1253</v>
      </c>
      <c r="G31" s="107"/>
      <c r="H31" s="108">
        <v>0.33333333333333298</v>
      </c>
      <c r="I31" s="109">
        <f t="shared" si="0"/>
        <v>1</v>
      </c>
      <c r="J31" s="109">
        <v>0.9</v>
      </c>
      <c r="K31" s="82"/>
      <c r="L31" s="82"/>
      <c r="N31" s="161" t="s">
        <v>1251</v>
      </c>
      <c r="O31" s="162">
        <f>(AVERAGEIFS(I11:I73,D11:D73,P31,F11:F73,N31)+AVERAGEIFS(I77:I139,D77:D139,P31,F77:F139,N31)+AVERAGEIFS(I143:I205,D143:D205,P31,F143:F205,N31)+AVERAGEIFS(I209:I271,D209:D271,P31,F209:F271,N31)+AVERAGEIFS(I275:I319,D275:D319,P31,F275:F319,N31))/5</f>
        <v>0</v>
      </c>
      <c r="P31" s="254" t="s">
        <v>1194</v>
      </c>
      <c r="Q31" s="259"/>
    </row>
    <row r="32" spans="1:17" ht="15" customHeight="1">
      <c r="A32" s="253"/>
      <c r="B32" s="244"/>
      <c r="C32" s="248" t="s">
        <v>1196</v>
      </c>
      <c r="D32" s="132" t="s">
        <v>1193</v>
      </c>
      <c r="E32" s="158"/>
      <c r="F32" s="125" t="s">
        <v>1251</v>
      </c>
      <c r="G32" s="126">
        <v>0.33333333333333331</v>
      </c>
      <c r="H32" s="127">
        <v>0.33333333333333298</v>
      </c>
      <c r="I32" s="134">
        <f t="shared" si="0"/>
        <v>0</v>
      </c>
      <c r="J32" s="134">
        <v>0.9</v>
      </c>
      <c r="K32" s="135" t="s">
        <v>1264</v>
      </c>
      <c r="L32" s="137"/>
      <c r="N32" s="161" t="s">
        <v>1252</v>
      </c>
      <c r="O32" s="162">
        <f>(AVERAGEIFS(I11:I73,D11:D73,P31,F11:F73,N32)+AVERAGEIFS(I77:I139,D77:D139,P31,F77:F139,N32)+AVERAGEIFS(I143:I205,D143:D205,P31,F143:F205,N32)+AVERAGEIFS(I209:I271,D209:D271,P31,F209:F271,N32)+AVERAGEIFS(I275:I319,D275:D319,P31,F275:F319,N32))/5</f>
        <v>0.87291666666666656</v>
      </c>
      <c r="P32" s="254"/>
      <c r="Q32" s="259"/>
    </row>
    <row r="33" spans="1:17" ht="15" customHeight="1">
      <c r="A33" s="253"/>
      <c r="B33" s="244"/>
      <c r="C33" s="249"/>
      <c r="D33" s="132" t="s">
        <v>1193</v>
      </c>
      <c r="E33" s="158"/>
      <c r="F33" s="129" t="s">
        <v>1252</v>
      </c>
      <c r="G33" s="126"/>
      <c r="H33" s="127">
        <v>0.33333333333333298</v>
      </c>
      <c r="I33" s="134">
        <f t="shared" si="0"/>
        <v>1</v>
      </c>
      <c r="J33" s="134">
        <v>0.9</v>
      </c>
      <c r="K33" s="135"/>
      <c r="L33" s="136"/>
      <c r="N33" s="161" t="s">
        <v>1253</v>
      </c>
      <c r="O33" s="162">
        <f>(AVERAGEIFS(I11:I73,D11:D73,P31,F11:F73,N33)+AVERAGEIFS(I77:I139,D77:D139,P31,F77:F139,N33)+AVERAGEIFS(I143:I205,D143:D205,P31,F143:F205,N33)+AVERAGEIFS(I209:I271,D209:D271,P31,F209:F271,N33)+AVERAGEIFS(I275:I319,D275:D319,P31,F275:F319,N33))/5</f>
        <v>0.80958333333333332</v>
      </c>
      <c r="P33" s="254"/>
      <c r="Q33" s="259"/>
    </row>
    <row r="34" spans="1:17" ht="15" customHeight="1">
      <c r="A34" s="253"/>
      <c r="B34" s="244"/>
      <c r="C34" s="250"/>
      <c r="D34" s="132" t="s">
        <v>1193</v>
      </c>
      <c r="E34" s="133"/>
      <c r="F34" s="128" t="s">
        <v>1253</v>
      </c>
      <c r="G34" s="126"/>
      <c r="H34" s="127">
        <v>0.33333333333333298</v>
      </c>
      <c r="I34" s="134">
        <f t="shared" si="0"/>
        <v>1</v>
      </c>
      <c r="J34" s="134">
        <v>0.9</v>
      </c>
      <c r="K34" s="133"/>
      <c r="L34" s="136"/>
      <c r="N34" s="161" t="s">
        <v>1293</v>
      </c>
      <c r="O34" s="162">
        <f>(O31+O32+O33)/3</f>
        <v>0.56083333333333329</v>
      </c>
      <c r="P34" s="254"/>
      <c r="Q34" s="259"/>
    </row>
    <row r="35" spans="1:17" ht="15" customHeight="1">
      <c r="A35" s="253"/>
      <c r="B35" s="244"/>
      <c r="C35" s="243" t="s">
        <v>1197</v>
      </c>
      <c r="D35" s="78" t="s">
        <v>1191</v>
      </c>
      <c r="E35" s="159"/>
      <c r="F35" s="111" t="s">
        <v>1251</v>
      </c>
      <c r="G35" s="107">
        <v>0.33333333333333331</v>
      </c>
      <c r="H35" s="108">
        <v>0.33333333333333298</v>
      </c>
      <c r="I35" s="109">
        <f t="shared" si="0"/>
        <v>0</v>
      </c>
      <c r="J35" s="109">
        <v>0.9</v>
      </c>
      <c r="K35" s="82" t="s">
        <v>1264</v>
      </c>
      <c r="L35" s="112"/>
    </row>
    <row r="36" spans="1:17" ht="15" customHeight="1">
      <c r="A36" s="253"/>
      <c r="B36" s="244"/>
      <c r="C36" s="244"/>
      <c r="D36" s="78" t="s">
        <v>1191</v>
      </c>
      <c r="E36" s="159"/>
      <c r="F36" s="106" t="s">
        <v>1252</v>
      </c>
      <c r="G36" s="107"/>
      <c r="H36" s="108">
        <v>0.33333333333333298</v>
      </c>
      <c r="I36" s="109">
        <f t="shared" si="0"/>
        <v>1</v>
      </c>
      <c r="J36" s="109">
        <v>0.9</v>
      </c>
      <c r="K36" s="82"/>
      <c r="L36" s="82"/>
      <c r="N36" s="255" t="s">
        <v>1287</v>
      </c>
      <c r="O36" s="255" t="s">
        <v>1288</v>
      </c>
      <c r="P36" s="255" t="s">
        <v>1292</v>
      </c>
      <c r="Q36" s="255" t="s">
        <v>1290</v>
      </c>
    </row>
    <row r="37" spans="1:17" ht="15.6" customHeight="1" thickBot="1">
      <c r="A37" s="253"/>
      <c r="B37" s="245"/>
      <c r="C37" s="245"/>
      <c r="D37" s="78" t="s">
        <v>1191</v>
      </c>
      <c r="E37" s="113"/>
      <c r="F37" s="114" t="s">
        <v>1253</v>
      </c>
      <c r="G37" s="107"/>
      <c r="H37" s="108">
        <v>0.33333333333333298</v>
      </c>
      <c r="I37" s="109">
        <f t="shared" si="0"/>
        <v>1</v>
      </c>
      <c r="J37" s="109">
        <v>0.9</v>
      </c>
      <c r="K37" s="82"/>
      <c r="L37" s="82"/>
      <c r="N37" s="255"/>
      <c r="O37" s="255"/>
      <c r="P37" s="255"/>
      <c r="Q37" s="255"/>
    </row>
    <row r="38" spans="1:17" ht="15" customHeight="1">
      <c r="A38" s="253"/>
      <c r="B38" s="251">
        <v>45687</v>
      </c>
      <c r="C38" s="248" t="s">
        <v>1198</v>
      </c>
      <c r="D38" s="132" t="s">
        <v>1194</v>
      </c>
      <c r="E38" s="158"/>
      <c r="F38" s="125" t="s">
        <v>1251</v>
      </c>
      <c r="G38" s="126">
        <v>0.33333333333333331</v>
      </c>
      <c r="H38" s="127">
        <v>0.33333333333333298</v>
      </c>
      <c r="I38" s="134">
        <f t="shared" si="0"/>
        <v>0</v>
      </c>
      <c r="J38" s="134">
        <v>0.9</v>
      </c>
      <c r="K38" s="135"/>
      <c r="L38" s="137"/>
      <c r="N38" s="161" t="s">
        <v>1251</v>
      </c>
      <c r="O38" s="162">
        <f>(AVERAGEIFS(I11:I73,D11:D73,P38,F11:F73,N38)+AVERAGEIFS(I77:I139,D77:D139,P38,F77:F139,N38)+AVERAGEIFS(I143:I205,D143:D205,P38,F143:F205,N38)+AVERAGEIFS(I209:I271,D209:D271,P38,F209:F271,N38)+AVERAGEIFS(I275:I319,D275:D319,P38,F275:F319,N38))/5</f>
        <v>0</v>
      </c>
      <c r="P38" s="254" t="s">
        <v>1193</v>
      </c>
      <c r="Q38" s="259" t="s">
        <v>1360</v>
      </c>
    </row>
    <row r="39" spans="1:17" ht="15" customHeight="1">
      <c r="A39" s="253"/>
      <c r="B39" s="244"/>
      <c r="C39" s="249"/>
      <c r="D39" s="132" t="s">
        <v>1194</v>
      </c>
      <c r="E39" s="158"/>
      <c r="F39" s="129" t="s">
        <v>1252</v>
      </c>
      <c r="G39" s="126"/>
      <c r="H39" s="127">
        <v>0.33333333333333298</v>
      </c>
      <c r="I39" s="134">
        <f t="shared" si="0"/>
        <v>1</v>
      </c>
      <c r="J39" s="134">
        <v>0.9</v>
      </c>
      <c r="K39" s="135"/>
      <c r="L39" s="136"/>
      <c r="N39" s="161" t="s">
        <v>1252</v>
      </c>
      <c r="O39" s="162">
        <f>(AVERAGEIFS(I11:I73,D11:D73,P38,F11:F73,N39)+AVERAGEIFS(I77:I139,D77:D139,P38,F77:F139,N39)+AVERAGEIFS(I143:I205,D143:D205,P38,F143:F205,N39)+AVERAGEIFS(I209:I271,D209:D271,P38,F209:F271,N39)+AVERAGEIFS(I275:I319,D275:D319,P38,F275:F319,N39))/5</f>
        <v>0.89547222222222211</v>
      </c>
      <c r="P39" s="254"/>
      <c r="Q39" s="259"/>
    </row>
    <row r="40" spans="1:17" ht="15" customHeight="1">
      <c r="A40" s="253"/>
      <c r="B40" s="244"/>
      <c r="C40" s="250"/>
      <c r="D40" s="132" t="s">
        <v>1194</v>
      </c>
      <c r="E40" s="133"/>
      <c r="F40" s="128" t="s">
        <v>1253</v>
      </c>
      <c r="G40" s="126"/>
      <c r="H40" s="127">
        <v>0.33333333333333298</v>
      </c>
      <c r="I40" s="134">
        <f t="shared" si="0"/>
        <v>1</v>
      </c>
      <c r="J40" s="134">
        <v>0.9</v>
      </c>
      <c r="K40" s="133"/>
      <c r="L40" s="136"/>
      <c r="N40" s="161" t="s">
        <v>1253</v>
      </c>
      <c r="O40" s="162">
        <f>(AVERAGEIFS(I11:I73,D11:D73,P38,F11:F73,N40)+AVERAGEIFS(I77:I139,D77:D139,P38,F77:F139,N40)+AVERAGEIFS(I143:I205,D143:D205,P38,F143:F205,N40)+AVERAGEIFS(I209:I271,D209:D271,P38,F209:F271,N40)+AVERAGEIFS(I275:I319,D275:D319,P38,F275:F319,N40))/5</f>
        <v>0.83472222222222214</v>
      </c>
      <c r="P40" s="254"/>
      <c r="Q40" s="259"/>
    </row>
    <row r="41" spans="1:17" ht="15" customHeight="1">
      <c r="A41" s="253"/>
      <c r="B41" s="244"/>
      <c r="C41" s="243" t="s">
        <v>1196</v>
      </c>
      <c r="D41" s="78" t="s">
        <v>1193</v>
      </c>
      <c r="E41" s="159"/>
      <c r="F41" s="111" t="s">
        <v>1251</v>
      </c>
      <c r="G41" s="107">
        <v>0.33333333333333331</v>
      </c>
      <c r="H41" s="108">
        <v>0.33333333333333298</v>
      </c>
      <c r="I41" s="109">
        <f t="shared" si="0"/>
        <v>0</v>
      </c>
      <c r="J41" s="109">
        <v>0.9</v>
      </c>
      <c r="K41" s="82"/>
      <c r="L41" s="112"/>
      <c r="N41" s="161" t="s">
        <v>1293</v>
      </c>
      <c r="O41" s="162">
        <f>(O38+O39+O40)/3</f>
        <v>0.57673148148148146</v>
      </c>
      <c r="P41" s="254"/>
      <c r="Q41" s="259"/>
    </row>
    <row r="42" spans="1:17" ht="15" customHeight="1">
      <c r="A42" s="253"/>
      <c r="B42" s="244"/>
      <c r="C42" s="244"/>
      <c r="D42" s="78" t="s">
        <v>1193</v>
      </c>
      <c r="E42" s="159"/>
      <c r="F42" s="106" t="s">
        <v>1252</v>
      </c>
      <c r="G42" s="107"/>
      <c r="H42" s="108">
        <v>0.33333333333333298</v>
      </c>
      <c r="I42" s="109">
        <f t="shared" si="0"/>
        <v>1</v>
      </c>
      <c r="J42" s="109">
        <v>0.9</v>
      </c>
      <c r="K42" s="82"/>
      <c r="L42" s="82"/>
    </row>
    <row r="43" spans="1:17" ht="15" customHeight="1">
      <c r="A43" s="253"/>
      <c r="B43" s="244"/>
      <c r="C43" s="245"/>
      <c r="D43" s="78" t="s">
        <v>1193</v>
      </c>
      <c r="E43" s="113"/>
      <c r="F43" s="114" t="s">
        <v>1253</v>
      </c>
      <c r="G43" s="107"/>
      <c r="H43" s="108">
        <v>0.33333333333333298</v>
      </c>
      <c r="I43" s="109">
        <f t="shared" si="0"/>
        <v>1</v>
      </c>
      <c r="J43" s="109">
        <v>0.9</v>
      </c>
      <c r="K43" s="82"/>
      <c r="L43" s="82"/>
      <c r="N43" s="255" t="s">
        <v>1287</v>
      </c>
      <c r="O43" s="255" t="s">
        <v>1288</v>
      </c>
      <c r="P43" s="255" t="s">
        <v>1292</v>
      </c>
      <c r="Q43" s="255" t="s">
        <v>1290</v>
      </c>
    </row>
    <row r="44" spans="1:17" ht="15" customHeight="1">
      <c r="A44" s="253"/>
      <c r="B44" s="244"/>
      <c r="C44" s="248" t="s">
        <v>1197</v>
      </c>
      <c r="D44" s="132" t="s">
        <v>1191</v>
      </c>
      <c r="E44" s="158"/>
      <c r="F44" s="125" t="s">
        <v>1251</v>
      </c>
      <c r="G44" s="126">
        <v>0.33333333333333331</v>
      </c>
      <c r="H44" s="127">
        <v>0.33333333333333298</v>
      </c>
      <c r="I44" s="134">
        <f t="shared" si="0"/>
        <v>0</v>
      </c>
      <c r="J44" s="134">
        <v>0.9</v>
      </c>
      <c r="K44" s="135"/>
      <c r="L44" s="137"/>
      <c r="N44" s="255"/>
      <c r="O44" s="255"/>
      <c r="P44" s="255"/>
      <c r="Q44" s="255"/>
    </row>
    <row r="45" spans="1:17" ht="15" customHeight="1">
      <c r="A45" s="253"/>
      <c r="B45" s="244"/>
      <c r="C45" s="249"/>
      <c r="D45" s="132" t="s">
        <v>1191</v>
      </c>
      <c r="E45" s="158"/>
      <c r="F45" s="129" t="s">
        <v>1252</v>
      </c>
      <c r="G45" s="126"/>
      <c r="H45" s="127">
        <v>0.33333333333333298</v>
      </c>
      <c r="I45" s="134">
        <f t="shared" si="0"/>
        <v>1</v>
      </c>
      <c r="J45" s="134">
        <v>0.9</v>
      </c>
      <c r="K45" s="135"/>
      <c r="L45" s="136"/>
      <c r="N45" s="161" t="s">
        <v>1251</v>
      </c>
      <c r="O45" s="162">
        <f>(AVERAGEIFS(I11:I73,D11:D73,P45,F11:F73,N45)+AVERAGEIFS(I77:I139,D77:D139,P45,F77:F139,N45)+AVERAGEIFS(I143:I205,D143:D205,P45,F143:F205,N45)+AVERAGEIFS(I209:I271,D209:D271,P45,F209:F271,N45)+AVERAGEIFS(I275:I319,D275:D319,P45,F275:F319,N45))/5</f>
        <v>0</v>
      </c>
      <c r="P45" s="254" t="s">
        <v>1192</v>
      </c>
      <c r="Q45" s="259"/>
    </row>
    <row r="46" spans="1:17" ht="15.6" customHeight="1" thickBot="1">
      <c r="A46" s="253"/>
      <c r="B46" s="245"/>
      <c r="C46" s="250"/>
      <c r="D46" s="132" t="s">
        <v>1191</v>
      </c>
      <c r="E46" s="133"/>
      <c r="F46" s="128" t="s">
        <v>1253</v>
      </c>
      <c r="G46" s="126"/>
      <c r="H46" s="127">
        <v>0.33333333333333298</v>
      </c>
      <c r="I46" s="134">
        <f t="shared" si="0"/>
        <v>1</v>
      </c>
      <c r="J46" s="134">
        <v>0.9</v>
      </c>
      <c r="K46" s="133"/>
      <c r="L46" s="136"/>
      <c r="N46" s="161" t="s">
        <v>1252</v>
      </c>
      <c r="O46" s="162">
        <f>(AVERAGEIFS(I11:I73,D11:D73,P45,F11:F73,N46)+AVERAGEIFS(I77:I139,D77:D139,P45,F77:F139,N46)+AVERAGEIFS(I143:I205,D143:D205,P45,F143:F205,N46)+AVERAGEIFS(I209:I271,D209:D271,P45,F209:F271,N46)+AVERAGEIFS(I275:I319,D275:D319,P45,F275:F319,N46))/5</f>
        <v>0.94372916666666673</v>
      </c>
      <c r="P46" s="254"/>
      <c r="Q46" s="259"/>
    </row>
    <row r="47" spans="1:17" ht="15" customHeight="1">
      <c r="A47" s="253"/>
      <c r="B47" s="251">
        <v>45688</v>
      </c>
      <c r="C47" s="243" t="s">
        <v>1198</v>
      </c>
      <c r="D47" s="78" t="s">
        <v>1192</v>
      </c>
      <c r="E47" s="159"/>
      <c r="F47" s="111" t="s">
        <v>1251</v>
      </c>
      <c r="G47" s="107">
        <v>0.33333333333333331</v>
      </c>
      <c r="H47" s="108">
        <v>0.33333333333333298</v>
      </c>
      <c r="I47" s="109">
        <f t="shared" si="0"/>
        <v>0</v>
      </c>
      <c r="J47" s="109">
        <v>0.9</v>
      </c>
      <c r="K47" s="82"/>
      <c r="L47" s="112"/>
      <c r="N47" s="161" t="s">
        <v>1253</v>
      </c>
      <c r="O47" s="162">
        <f>(AVERAGEIFS(I11:I73,D11:D73,P45,F11:F73,N47)+AVERAGEIFS(I77:I139,D77:D139,P45,F77:F139,N47)+AVERAGEIFS(I143:I205,D143:D205,P45,F143:F205,N47)+AVERAGEIFS(I209:I271,D209:D271,P45,F209:F271,N47)+AVERAGEIFS(I275:I319,D275:D319,P45,F275:F319,N47))/5</f>
        <v>0.8188333333333333</v>
      </c>
      <c r="P47" s="254"/>
      <c r="Q47" s="259"/>
    </row>
    <row r="48" spans="1:17" ht="15" customHeight="1">
      <c r="A48" s="253"/>
      <c r="B48" s="244"/>
      <c r="C48" s="244"/>
      <c r="D48" s="78" t="s">
        <v>1192</v>
      </c>
      <c r="E48" s="159"/>
      <c r="F48" s="106" t="s">
        <v>1252</v>
      </c>
      <c r="G48" s="107"/>
      <c r="H48" s="108">
        <v>0.33333333333333298</v>
      </c>
      <c r="I48" s="109">
        <f t="shared" si="0"/>
        <v>1</v>
      </c>
      <c r="J48" s="109">
        <v>0.9</v>
      </c>
      <c r="K48" s="82"/>
      <c r="L48" s="82"/>
      <c r="N48" s="161" t="s">
        <v>1293</v>
      </c>
      <c r="O48" s="162">
        <f>(O45+O46+O47)/3</f>
        <v>0.58752083333333338</v>
      </c>
      <c r="P48" s="254"/>
      <c r="Q48" s="259"/>
    </row>
    <row r="49" spans="1:12" ht="15" customHeight="1">
      <c r="A49" s="253"/>
      <c r="B49" s="244"/>
      <c r="C49" s="245"/>
      <c r="D49" s="78" t="s">
        <v>1192</v>
      </c>
      <c r="E49" s="113"/>
      <c r="F49" s="114" t="s">
        <v>1253</v>
      </c>
      <c r="G49" s="107">
        <v>6.25E-2</v>
      </c>
      <c r="H49" s="108">
        <v>0.33333333333333298</v>
      </c>
      <c r="I49" s="109">
        <f t="shared" si="0"/>
        <v>0.81249999999999978</v>
      </c>
      <c r="J49" s="109">
        <v>0.9</v>
      </c>
      <c r="K49" s="82" t="s">
        <v>1282</v>
      </c>
      <c r="L49" s="82"/>
    </row>
    <row r="50" spans="1:12" ht="15" customHeight="1">
      <c r="A50" s="253"/>
      <c r="B50" s="244"/>
      <c r="C50" s="248" t="s">
        <v>1196</v>
      </c>
      <c r="D50" s="132" t="s">
        <v>1194</v>
      </c>
      <c r="E50" s="158"/>
      <c r="F50" s="125" t="s">
        <v>1251</v>
      </c>
      <c r="G50" s="126">
        <v>0.33333333333333331</v>
      </c>
      <c r="H50" s="127">
        <v>0.33333333333333298</v>
      </c>
      <c r="I50" s="134">
        <f t="shared" si="0"/>
        <v>0</v>
      </c>
      <c r="J50" s="134">
        <v>0.9</v>
      </c>
      <c r="K50" s="135"/>
      <c r="L50" s="137"/>
    </row>
    <row r="51" spans="1:12" ht="15" customHeight="1">
      <c r="A51" s="253"/>
      <c r="B51" s="244"/>
      <c r="C51" s="249"/>
      <c r="D51" s="132" t="s">
        <v>1194</v>
      </c>
      <c r="E51" s="158"/>
      <c r="F51" s="129" t="s">
        <v>1252</v>
      </c>
      <c r="G51" s="126"/>
      <c r="H51" s="127">
        <v>0.33333333333333298</v>
      </c>
      <c r="I51" s="134">
        <f t="shared" si="0"/>
        <v>1</v>
      </c>
      <c r="J51" s="134">
        <v>0.9</v>
      </c>
      <c r="K51" s="135"/>
      <c r="L51" s="136"/>
    </row>
    <row r="52" spans="1:12" ht="15" customHeight="1">
      <c r="A52" s="253"/>
      <c r="B52" s="244"/>
      <c r="C52" s="250"/>
      <c r="D52" s="132" t="s">
        <v>1194</v>
      </c>
      <c r="E52" s="133"/>
      <c r="F52" s="128" t="s">
        <v>1253</v>
      </c>
      <c r="G52" s="126"/>
      <c r="H52" s="127">
        <v>0.33333333333333298</v>
      </c>
      <c r="I52" s="134">
        <f t="shared" si="0"/>
        <v>1</v>
      </c>
      <c r="J52" s="134">
        <v>0.9</v>
      </c>
      <c r="K52" s="133"/>
      <c r="L52" s="136"/>
    </row>
    <row r="53" spans="1:12" ht="15" customHeight="1">
      <c r="A53" s="253"/>
      <c r="B53" s="244"/>
      <c r="C53" s="243" t="s">
        <v>1197</v>
      </c>
      <c r="D53" s="78" t="s">
        <v>1193</v>
      </c>
      <c r="E53" s="159"/>
      <c r="F53" s="111" t="s">
        <v>1251</v>
      </c>
      <c r="G53" s="107">
        <v>0.33333333333333331</v>
      </c>
      <c r="H53" s="108">
        <v>0.33333333333333298</v>
      </c>
      <c r="I53" s="109">
        <f t="shared" si="0"/>
        <v>0</v>
      </c>
      <c r="J53" s="109">
        <v>0.9</v>
      </c>
      <c r="K53" s="82"/>
      <c r="L53" s="82"/>
    </row>
    <row r="54" spans="1:12" ht="15" customHeight="1">
      <c r="A54" s="253"/>
      <c r="B54" s="244"/>
      <c r="C54" s="244"/>
      <c r="D54" s="78" t="s">
        <v>1193</v>
      </c>
      <c r="E54" s="159"/>
      <c r="F54" s="106" t="s">
        <v>1252</v>
      </c>
      <c r="G54" s="107"/>
      <c r="H54" s="108">
        <v>0.33333333333333298</v>
      </c>
      <c r="I54" s="109">
        <f t="shared" si="0"/>
        <v>1</v>
      </c>
      <c r="J54" s="109">
        <v>0.9</v>
      </c>
      <c r="K54" s="82"/>
      <c r="L54" s="82"/>
    </row>
    <row r="55" spans="1:12" ht="15.6" customHeight="1" thickBot="1">
      <c r="A55" s="253"/>
      <c r="B55" s="245"/>
      <c r="C55" s="245"/>
      <c r="D55" s="78" t="s">
        <v>1193</v>
      </c>
      <c r="E55" s="113"/>
      <c r="F55" s="114" t="s">
        <v>1253</v>
      </c>
      <c r="G55" s="107"/>
      <c r="H55" s="123">
        <v>0.33333333333333298</v>
      </c>
      <c r="I55" s="109">
        <f t="shared" si="0"/>
        <v>1</v>
      </c>
      <c r="J55" s="109">
        <v>0.9</v>
      </c>
      <c r="K55" s="82"/>
      <c r="L55" s="82"/>
    </row>
    <row r="56" spans="1:12" ht="15.6" customHeight="1">
      <c r="A56" s="253"/>
      <c r="B56" s="251">
        <v>45689</v>
      </c>
      <c r="C56" s="243" t="s">
        <v>1198</v>
      </c>
      <c r="D56" s="78" t="s">
        <v>1192</v>
      </c>
      <c r="E56" s="159"/>
      <c r="F56" s="111" t="s">
        <v>1251</v>
      </c>
      <c r="G56" s="107">
        <v>0.33333333333333331</v>
      </c>
      <c r="H56" s="108">
        <v>0.33333333333333298</v>
      </c>
      <c r="I56" s="109">
        <f t="shared" si="0"/>
        <v>0</v>
      </c>
      <c r="J56" s="109">
        <v>0.9</v>
      </c>
      <c r="K56" s="82"/>
      <c r="L56" s="112"/>
    </row>
    <row r="57" spans="1:12" ht="15.6" customHeight="1">
      <c r="A57" s="253"/>
      <c r="B57" s="244"/>
      <c r="C57" s="244"/>
      <c r="D57" s="78" t="s">
        <v>1192</v>
      </c>
      <c r="E57" s="159"/>
      <c r="F57" s="106" t="s">
        <v>1252</v>
      </c>
      <c r="G57" s="107"/>
      <c r="H57" s="108">
        <v>0.33333333333333298</v>
      </c>
      <c r="I57" s="109">
        <f t="shared" si="0"/>
        <v>1</v>
      </c>
      <c r="J57" s="109">
        <v>0.9</v>
      </c>
      <c r="K57" s="82"/>
      <c r="L57" s="82"/>
    </row>
    <row r="58" spans="1:12" ht="15.6" customHeight="1">
      <c r="A58" s="253"/>
      <c r="B58" s="244"/>
      <c r="C58" s="245"/>
      <c r="D58" s="78" t="s">
        <v>1192</v>
      </c>
      <c r="E58" s="113"/>
      <c r="F58" s="114" t="s">
        <v>1253</v>
      </c>
      <c r="G58" s="107"/>
      <c r="H58" s="123">
        <v>0.33333333333333298</v>
      </c>
      <c r="I58" s="109">
        <f t="shared" si="0"/>
        <v>1</v>
      </c>
      <c r="J58" s="109">
        <v>0.9</v>
      </c>
      <c r="K58" s="82"/>
      <c r="L58" s="82"/>
    </row>
    <row r="59" spans="1:12" ht="15.6" customHeight="1">
      <c r="A59" s="253"/>
      <c r="B59" s="244"/>
      <c r="C59" s="248" t="s">
        <v>1196</v>
      </c>
      <c r="D59" s="132" t="s">
        <v>1194</v>
      </c>
      <c r="E59" s="158"/>
      <c r="F59" s="125" t="s">
        <v>1251</v>
      </c>
      <c r="G59" s="126">
        <v>0.33333333333333331</v>
      </c>
      <c r="H59" s="127">
        <v>0.33333333333333298</v>
      </c>
      <c r="I59" s="109">
        <f t="shared" si="0"/>
        <v>0</v>
      </c>
      <c r="J59" s="134">
        <v>0.9</v>
      </c>
      <c r="K59" s="135" t="s">
        <v>1283</v>
      </c>
      <c r="L59" s="137"/>
    </row>
    <row r="60" spans="1:12" ht="15.6" customHeight="1">
      <c r="A60" s="253"/>
      <c r="B60" s="244"/>
      <c r="C60" s="249"/>
      <c r="D60" s="132" t="s">
        <v>1194</v>
      </c>
      <c r="E60" s="158"/>
      <c r="F60" s="129" t="s">
        <v>1252</v>
      </c>
      <c r="G60" s="126">
        <v>0.33333333333333331</v>
      </c>
      <c r="H60" s="127">
        <v>0.33333333333333298</v>
      </c>
      <c r="I60" s="109">
        <f t="shared" si="0"/>
        <v>0</v>
      </c>
      <c r="J60" s="134">
        <v>0.9</v>
      </c>
      <c r="K60" s="135" t="s">
        <v>1283</v>
      </c>
      <c r="L60" s="136"/>
    </row>
    <row r="61" spans="1:12" ht="15.6" customHeight="1">
      <c r="A61" s="253"/>
      <c r="B61" s="244"/>
      <c r="C61" s="250"/>
      <c r="D61" s="132" t="s">
        <v>1194</v>
      </c>
      <c r="E61" s="133"/>
      <c r="F61" s="128" t="s">
        <v>1253</v>
      </c>
      <c r="G61" s="126">
        <v>0.33333333333333331</v>
      </c>
      <c r="H61" s="165">
        <v>0.33333333333333298</v>
      </c>
      <c r="I61" s="109">
        <f t="shared" si="0"/>
        <v>0</v>
      </c>
      <c r="J61" s="134">
        <v>0.9</v>
      </c>
      <c r="K61" s="135" t="s">
        <v>1283</v>
      </c>
      <c r="L61" s="136"/>
    </row>
    <row r="62" spans="1:12" ht="15.6" customHeight="1">
      <c r="A62" s="253"/>
      <c r="B62" s="244"/>
      <c r="C62" s="243" t="s">
        <v>1197</v>
      </c>
      <c r="D62" s="78" t="s">
        <v>1193</v>
      </c>
      <c r="E62" s="159"/>
      <c r="F62" s="111" t="s">
        <v>1251</v>
      </c>
      <c r="G62" s="107">
        <v>0.33333333333333331</v>
      </c>
      <c r="H62" s="108">
        <v>0.33333333333333298</v>
      </c>
      <c r="I62" s="109">
        <f t="shared" si="0"/>
        <v>0</v>
      </c>
      <c r="J62" s="109">
        <v>0.9</v>
      </c>
      <c r="K62" s="82" t="s">
        <v>1283</v>
      </c>
      <c r="L62" s="82"/>
    </row>
    <row r="63" spans="1:12" ht="15.6" customHeight="1">
      <c r="A63" s="253"/>
      <c r="B63" s="244"/>
      <c r="C63" s="244"/>
      <c r="D63" s="78" t="s">
        <v>1193</v>
      </c>
      <c r="E63" s="159"/>
      <c r="F63" s="106" t="s">
        <v>1252</v>
      </c>
      <c r="G63" s="107">
        <v>0.33333333333333331</v>
      </c>
      <c r="H63" s="108">
        <v>0.33333333333333298</v>
      </c>
      <c r="I63" s="109">
        <f t="shared" si="0"/>
        <v>0</v>
      </c>
      <c r="J63" s="109">
        <v>0.9</v>
      </c>
      <c r="K63" s="82" t="s">
        <v>1283</v>
      </c>
      <c r="L63" s="82"/>
    </row>
    <row r="64" spans="1:12" ht="15.6" customHeight="1" thickBot="1">
      <c r="A64" s="253"/>
      <c r="B64" s="245"/>
      <c r="C64" s="245"/>
      <c r="D64" s="78" t="s">
        <v>1193</v>
      </c>
      <c r="E64" s="113"/>
      <c r="F64" s="114" t="s">
        <v>1253</v>
      </c>
      <c r="G64" s="107">
        <v>0.33333333333333331</v>
      </c>
      <c r="H64" s="123">
        <v>0.33333333333333298</v>
      </c>
      <c r="I64" s="109">
        <f t="shared" si="0"/>
        <v>0</v>
      </c>
      <c r="J64" s="109">
        <v>0.9</v>
      </c>
      <c r="K64" s="82" t="s">
        <v>1283</v>
      </c>
      <c r="L64" s="82"/>
    </row>
    <row r="65" spans="1:12" ht="15.6" customHeight="1">
      <c r="A65" s="253"/>
      <c r="B65" s="251">
        <v>45690</v>
      </c>
      <c r="C65" s="243" t="s">
        <v>1198</v>
      </c>
      <c r="D65" s="132" t="s">
        <v>1191</v>
      </c>
      <c r="E65" s="158"/>
      <c r="F65" s="125" t="s">
        <v>1251</v>
      </c>
      <c r="G65" s="126">
        <v>0.33333333333333331</v>
      </c>
      <c r="H65" s="127">
        <v>0.33333333333333298</v>
      </c>
      <c r="I65" s="109">
        <f t="shared" si="0"/>
        <v>0</v>
      </c>
      <c r="J65" s="134">
        <v>0.9</v>
      </c>
      <c r="K65" s="136" t="s">
        <v>1283</v>
      </c>
      <c r="L65" s="137"/>
    </row>
    <row r="66" spans="1:12" ht="15.6" customHeight="1">
      <c r="A66" s="253"/>
      <c r="B66" s="244"/>
      <c r="C66" s="244"/>
      <c r="D66" s="132" t="s">
        <v>1191</v>
      </c>
      <c r="E66" s="158"/>
      <c r="F66" s="129" t="s">
        <v>1252</v>
      </c>
      <c r="G66" s="126">
        <v>0.33333333333333331</v>
      </c>
      <c r="H66" s="127">
        <v>0.33333333333333298</v>
      </c>
      <c r="I66" s="109">
        <f t="shared" si="0"/>
        <v>0</v>
      </c>
      <c r="J66" s="134">
        <v>0.9</v>
      </c>
      <c r="K66" s="136" t="s">
        <v>1283</v>
      </c>
      <c r="L66" s="136"/>
    </row>
    <row r="67" spans="1:12" ht="15.6" customHeight="1">
      <c r="A67" s="253"/>
      <c r="B67" s="244"/>
      <c r="C67" s="245"/>
      <c r="D67" s="132" t="s">
        <v>1191</v>
      </c>
      <c r="E67" s="133"/>
      <c r="F67" s="128" t="s">
        <v>1253</v>
      </c>
      <c r="G67" s="126">
        <v>0.33333333333333331</v>
      </c>
      <c r="H67" s="165">
        <v>0.33333333333333298</v>
      </c>
      <c r="I67" s="109">
        <f t="shared" si="0"/>
        <v>0</v>
      </c>
      <c r="J67" s="134">
        <v>0.9</v>
      </c>
      <c r="K67" s="136" t="s">
        <v>1283</v>
      </c>
      <c r="L67" s="136"/>
    </row>
    <row r="68" spans="1:12" ht="15.6" customHeight="1">
      <c r="A68" s="253"/>
      <c r="B68" s="244"/>
      <c r="C68" s="248" t="s">
        <v>1196</v>
      </c>
      <c r="D68" s="147" t="s">
        <v>1192</v>
      </c>
      <c r="E68" s="160"/>
      <c r="F68" s="148" t="s">
        <v>1251</v>
      </c>
      <c r="G68" s="149">
        <v>0.33333333333333331</v>
      </c>
      <c r="H68" s="108">
        <v>0.33333333333333298</v>
      </c>
      <c r="I68" s="109">
        <f t="shared" si="0"/>
        <v>0</v>
      </c>
      <c r="J68" s="109">
        <v>0.9</v>
      </c>
      <c r="K68" s="150" t="s">
        <v>1264</v>
      </c>
      <c r="L68" s="151"/>
    </row>
    <row r="69" spans="1:12" ht="15.6" customHeight="1">
      <c r="A69" s="253"/>
      <c r="B69" s="244"/>
      <c r="C69" s="249"/>
      <c r="D69" s="147" t="s">
        <v>1192</v>
      </c>
      <c r="E69" s="160"/>
      <c r="F69" s="152" t="s">
        <v>1252</v>
      </c>
      <c r="G69" s="149">
        <v>0.125</v>
      </c>
      <c r="H69" s="108">
        <v>0.33333333333333298</v>
      </c>
      <c r="I69" s="109">
        <f t="shared" si="0"/>
        <v>0.62499999999999956</v>
      </c>
      <c r="J69" s="109">
        <v>0.9</v>
      </c>
      <c r="K69" s="150" t="s">
        <v>1284</v>
      </c>
      <c r="L69" s="153"/>
    </row>
    <row r="70" spans="1:12" ht="15.6" customHeight="1">
      <c r="A70" s="253"/>
      <c r="B70" s="244"/>
      <c r="C70" s="250"/>
      <c r="D70" s="147" t="s">
        <v>1192</v>
      </c>
      <c r="E70" s="154"/>
      <c r="F70" s="155" t="s">
        <v>1253</v>
      </c>
      <c r="G70" s="149">
        <v>0.125</v>
      </c>
      <c r="H70" s="123">
        <v>0.33333333333333298</v>
      </c>
      <c r="I70" s="109">
        <f t="shared" si="0"/>
        <v>0.62499999999999956</v>
      </c>
      <c r="J70" s="109">
        <v>0.9</v>
      </c>
      <c r="K70" s="150" t="s">
        <v>1284</v>
      </c>
      <c r="L70" s="153"/>
    </row>
    <row r="71" spans="1:12" ht="15.6" customHeight="1">
      <c r="A71" s="253"/>
      <c r="B71" s="244"/>
      <c r="C71" s="243" t="s">
        <v>1197</v>
      </c>
      <c r="D71" s="132" t="s">
        <v>1194</v>
      </c>
      <c r="E71" s="158"/>
      <c r="F71" s="125" t="s">
        <v>1251</v>
      </c>
      <c r="G71" s="126">
        <v>0.33333333333333331</v>
      </c>
      <c r="H71" s="127">
        <v>0.33333333333333298</v>
      </c>
      <c r="I71" s="109">
        <f t="shared" si="0"/>
        <v>0</v>
      </c>
      <c r="J71" s="134">
        <v>0.9</v>
      </c>
      <c r="K71" s="136"/>
      <c r="L71" s="136"/>
    </row>
    <row r="72" spans="1:12" ht="15.6" customHeight="1">
      <c r="A72" s="253"/>
      <c r="B72" s="244"/>
      <c r="C72" s="244"/>
      <c r="D72" s="132" t="s">
        <v>1194</v>
      </c>
      <c r="E72" s="158"/>
      <c r="F72" s="129" t="s">
        <v>1252</v>
      </c>
      <c r="G72" s="126"/>
      <c r="H72" s="127">
        <v>0.33333333333333298</v>
      </c>
      <c r="I72" s="109">
        <f t="shared" si="0"/>
        <v>1</v>
      </c>
      <c r="J72" s="134">
        <v>0.9</v>
      </c>
      <c r="K72" s="136"/>
      <c r="L72" s="136"/>
    </row>
    <row r="73" spans="1:12" ht="15.6" customHeight="1">
      <c r="A73" s="253"/>
      <c r="B73" s="245"/>
      <c r="C73" s="245"/>
      <c r="D73" s="132" t="s">
        <v>1194</v>
      </c>
      <c r="E73" s="133"/>
      <c r="F73" s="128" t="s">
        <v>1253</v>
      </c>
      <c r="G73" s="126"/>
      <c r="H73" s="165">
        <v>0.33333333333333298</v>
      </c>
      <c r="I73" s="109">
        <f t="shared" si="0"/>
        <v>1</v>
      </c>
      <c r="J73" s="134">
        <v>0.9</v>
      </c>
      <c r="K73" s="136"/>
      <c r="L73" s="136"/>
    </row>
    <row r="74" spans="1:12" ht="15.6" customHeight="1">
      <c r="A74" s="253"/>
      <c r="B74" s="117"/>
      <c r="C74" s="117"/>
      <c r="D74" s="118"/>
      <c r="E74" s="118"/>
      <c r="F74" s="119" t="s">
        <v>1251</v>
      </c>
      <c r="G74" s="124"/>
      <c r="H74" s="124"/>
      <c r="I74" s="120">
        <f>AVERAGEIF(F11:F73,F74,I11:I73)</f>
        <v>0</v>
      </c>
      <c r="J74" s="121">
        <v>0.9</v>
      </c>
      <c r="K74" s="118"/>
      <c r="L74" s="116"/>
    </row>
    <row r="75" spans="1:12" ht="15.6" customHeight="1">
      <c r="A75" s="253"/>
      <c r="B75" s="117"/>
      <c r="C75" s="117"/>
      <c r="D75" s="118"/>
      <c r="E75" s="118"/>
      <c r="F75" s="119" t="s">
        <v>1252</v>
      </c>
      <c r="G75" s="124"/>
      <c r="H75" s="124"/>
      <c r="I75" s="120">
        <f>AVERAGEIF(F11:F73,F75,I11:I73)</f>
        <v>0.80624999999999991</v>
      </c>
      <c r="J75" s="121">
        <v>0.9</v>
      </c>
      <c r="K75" s="118"/>
      <c r="L75" s="116"/>
    </row>
    <row r="76" spans="1:12" ht="15.6" customHeight="1" thickBot="1">
      <c r="A76" s="253"/>
      <c r="B76" s="117"/>
      <c r="C76" s="117"/>
      <c r="D76" s="118"/>
      <c r="E76" s="118"/>
      <c r="F76" s="119" t="s">
        <v>1253</v>
      </c>
      <c r="G76" s="124"/>
      <c r="H76" s="124"/>
      <c r="I76" s="120">
        <f>AVERAGEIF(F11:F73,F76,I11:I73)</f>
        <v>0.8303571428571429</v>
      </c>
      <c r="J76" s="121">
        <v>0.9</v>
      </c>
      <c r="K76" s="118"/>
      <c r="L76" s="116"/>
    </row>
    <row r="77" spans="1:12" ht="14.4" customHeight="1">
      <c r="A77" s="252" t="s">
        <v>1296</v>
      </c>
      <c r="B77" s="251">
        <v>45691</v>
      </c>
      <c r="C77" s="243" t="s">
        <v>1198</v>
      </c>
      <c r="D77" s="110" t="s">
        <v>1201</v>
      </c>
      <c r="E77" s="156"/>
      <c r="F77" s="111" t="s">
        <v>1251</v>
      </c>
      <c r="G77" s="107">
        <v>0.33333333333333331</v>
      </c>
      <c r="H77" s="108">
        <v>0.33333333333333331</v>
      </c>
      <c r="I77" s="109">
        <f>1-(G77/H77)</f>
        <v>0</v>
      </c>
      <c r="J77" s="109">
        <v>0.9</v>
      </c>
      <c r="K77" s="82"/>
      <c r="L77" s="82"/>
    </row>
    <row r="78" spans="1:12" ht="14.4" customHeight="1">
      <c r="A78" s="253"/>
      <c r="B78" s="244"/>
      <c r="C78" s="244"/>
      <c r="D78" s="110" t="s">
        <v>1201</v>
      </c>
      <c r="E78" s="156"/>
      <c r="F78" s="111" t="s">
        <v>1252</v>
      </c>
      <c r="G78" s="107"/>
      <c r="H78" s="108">
        <v>0.33333333333333331</v>
      </c>
      <c r="I78" s="109">
        <f>1-(G78/H78)</f>
        <v>1</v>
      </c>
      <c r="J78" s="109">
        <v>0.9</v>
      </c>
      <c r="K78" s="82"/>
      <c r="L78" s="82"/>
    </row>
    <row r="79" spans="1:12" ht="14.4" customHeight="1">
      <c r="A79" s="253"/>
      <c r="B79" s="244"/>
      <c r="C79" s="245"/>
      <c r="D79" s="110" t="s">
        <v>1201</v>
      </c>
      <c r="E79" s="157"/>
      <c r="F79" s="114" t="s">
        <v>1253</v>
      </c>
      <c r="G79" s="107"/>
      <c r="H79" s="108">
        <v>0.33333333333333298</v>
      </c>
      <c r="I79" s="109">
        <f t="shared" ref="I79:I121" si="1">1-(G79/H79)</f>
        <v>1</v>
      </c>
      <c r="J79" s="109">
        <v>0.9</v>
      </c>
      <c r="K79" s="82"/>
      <c r="L79" s="82"/>
    </row>
    <row r="80" spans="1:12" ht="14.4" customHeight="1">
      <c r="A80" s="253"/>
      <c r="B80" s="244"/>
      <c r="C80" s="248" t="s">
        <v>1196</v>
      </c>
      <c r="D80" s="132" t="s">
        <v>1192</v>
      </c>
      <c r="E80" s="158"/>
      <c r="F80" s="125" t="s">
        <v>1251</v>
      </c>
      <c r="G80" s="126">
        <v>0.33333333333333331</v>
      </c>
      <c r="H80" s="127">
        <v>0.33333333333333298</v>
      </c>
      <c r="I80" s="109">
        <f t="shared" si="1"/>
        <v>0</v>
      </c>
      <c r="J80" s="134">
        <v>0.9</v>
      </c>
      <c r="K80" s="135" t="s">
        <v>1264</v>
      </c>
      <c r="L80" s="136"/>
    </row>
    <row r="81" spans="1:12" ht="14.4" customHeight="1">
      <c r="A81" s="253"/>
      <c r="B81" s="244"/>
      <c r="C81" s="249"/>
      <c r="D81" s="132" t="s">
        <v>1192</v>
      </c>
      <c r="E81" s="158"/>
      <c r="F81" s="125" t="s">
        <v>1252</v>
      </c>
      <c r="G81" s="126"/>
      <c r="H81" s="127">
        <v>0.33333333333333298</v>
      </c>
      <c r="I81" s="109">
        <f t="shared" si="1"/>
        <v>1</v>
      </c>
      <c r="J81" s="134">
        <v>0.9</v>
      </c>
      <c r="K81" s="135"/>
      <c r="L81" s="136"/>
    </row>
    <row r="82" spans="1:12" ht="14.4" customHeight="1">
      <c r="A82" s="253"/>
      <c r="B82" s="244"/>
      <c r="C82" s="250"/>
      <c r="D82" s="132" t="s">
        <v>1192</v>
      </c>
      <c r="E82" s="133"/>
      <c r="F82" s="128" t="s">
        <v>1253</v>
      </c>
      <c r="G82" s="126"/>
      <c r="H82" s="127">
        <v>0.33333333333333298</v>
      </c>
      <c r="I82" s="109">
        <f t="shared" si="1"/>
        <v>1</v>
      </c>
      <c r="J82" s="134">
        <v>0.9</v>
      </c>
      <c r="K82" s="133"/>
      <c r="L82" s="136"/>
    </row>
    <row r="83" spans="1:12" ht="14.4" customHeight="1">
      <c r="A83" s="253"/>
      <c r="B83" s="244"/>
      <c r="C83" s="243" t="s">
        <v>1197</v>
      </c>
      <c r="D83" s="78" t="s">
        <v>1194</v>
      </c>
      <c r="E83" s="159"/>
      <c r="F83" s="111" t="s">
        <v>1251</v>
      </c>
      <c r="G83" s="107">
        <v>0.33333333333333331</v>
      </c>
      <c r="H83" s="108">
        <v>0.33333333333333298</v>
      </c>
      <c r="I83" s="109">
        <f t="shared" si="1"/>
        <v>0</v>
      </c>
      <c r="J83" s="109">
        <v>0.9</v>
      </c>
      <c r="K83" s="82"/>
      <c r="L83" s="82"/>
    </row>
    <row r="84" spans="1:12" ht="14.4" customHeight="1">
      <c r="A84" s="253"/>
      <c r="B84" s="244"/>
      <c r="C84" s="244"/>
      <c r="D84" s="78" t="s">
        <v>1194</v>
      </c>
      <c r="E84" s="159"/>
      <c r="F84" s="111" t="s">
        <v>1252</v>
      </c>
      <c r="G84" s="107"/>
      <c r="H84" s="108">
        <v>0.33333333333333298</v>
      </c>
      <c r="I84" s="109">
        <f t="shared" si="1"/>
        <v>1</v>
      </c>
      <c r="J84" s="109">
        <v>0.9</v>
      </c>
      <c r="K84" s="82"/>
      <c r="L84" s="82"/>
    </row>
    <row r="85" spans="1:12" ht="15" customHeight="1" thickBot="1">
      <c r="A85" s="253"/>
      <c r="B85" s="245"/>
      <c r="C85" s="245"/>
      <c r="D85" s="78" t="s">
        <v>1194</v>
      </c>
      <c r="E85" s="113"/>
      <c r="F85" s="114" t="s">
        <v>1253</v>
      </c>
      <c r="G85" s="107">
        <v>6.9444444444444448E-2</v>
      </c>
      <c r="H85" s="108">
        <v>0.33333333333333298</v>
      </c>
      <c r="I85" s="109">
        <f t="shared" si="1"/>
        <v>0.79166666666666641</v>
      </c>
      <c r="J85" s="109">
        <v>0.9</v>
      </c>
      <c r="K85" s="82"/>
      <c r="L85" s="82"/>
    </row>
    <row r="86" spans="1:12" ht="14.4" customHeight="1">
      <c r="A86" s="253"/>
      <c r="B86" s="251">
        <v>45692</v>
      </c>
      <c r="C86" s="248" t="s">
        <v>1198</v>
      </c>
      <c r="D86" s="132"/>
      <c r="E86" s="158"/>
      <c r="F86" s="125" t="s">
        <v>1251</v>
      </c>
      <c r="G86" s="126">
        <v>0.33333333333333331</v>
      </c>
      <c r="H86" s="127">
        <v>0.33333333333333298</v>
      </c>
      <c r="I86" s="109">
        <f t="shared" si="1"/>
        <v>0</v>
      </c>
      <c r="J86" s="134">
        <v>0.9</v>
      </c>
      <c r="K86" s="135" t="s">
        <v>1264</v>
      </c>
      <c r="L86" s="137"/>
    </row>
    <row r="87" spans="1:12" ht="14.4" customHeight="1">
      <c r="A87" s="253"/>
      <c r="B87" s="244"/>
      <c r="C87" s="249"/>
      <c r="D87" s="132"/>
      <c r="E87" s="158"/>
      <c r="F87" s="125" t="s">
        <v>1252</v>
      </c>
      <c r="G87" s="126"/>
      <c r="H87" s="127">
        <v>0.33333333333333298</v>
      </c>
      <c r="I87" s="109">
        <f t="shared" si="1"/>
        <v>1</v>
      </c>
      <c r="J87" s="134">
        <v>0.9</v>
      </c>
      <c r="K87" s="135"/>
      <c r="L87" s="136"/>
    </row>
    <row r="88" spans="1:12" ht="14.4" customHeight="1">
      <c r="A88" s="253"/>
      <c r="B88" s="244"/>
      <c r="C88" s="250"/>
      <c r="D88" s="132"/>
      <c r="E88" s="133"/>
      <c r="F88" s="128" t="s">
        <v>1253</v>
      </c>
      <c r="G88" s="126"/>
      <c r="H88" s="127">
        <v>0.33333333333333298</v>
      </c>
      <c r="I88" s="109">
        <f t="shared" si="1"/>
        <v>1</v>
      </c>
      <c r="J88" s="134">
        <v>0.9</v>
      </c>
      <c r="K88" s="133"/>
      <c r="L88" s="136"/>
    </row>
    <row r="89" spans="1:12" ht="14.4" customHeight="1">
      <c r="A89" s="253"/>
      <c r="B89" s="244"/>
      <c r="C89" s="243" t="s">
        <v>1196</v>
      </c>
      <c r="D89" s="78" t="s">
        <v>1191</v>
      </c>
      <c r="E89" s="159"/>
      <c r="F89" s="111" t="s">
        <v>1251</v>
      </c>
      <c r="G89" s="107">
        <v>0.33333333333333331</v>
      </c>
      <c r="H89" s="108">
        <v>0.33333333333333298</v>
      </c>
      <c r="I89" s="109">
        <f t="shared" si="1"/>
        <v>0</v>
      </c>
      <c r="J89" s="109">
        <v>0.9</v>
      </c>
      <c r="K89" s="112" t="s">
        <v>1264</v>
      </c>
      <c r="L89" s="112"/>
    </row>
    <row r="90" spans="1:12" ht="14.4" customHeight="1">
      <c r="A90" s="253"/>
      <c r="B90" s="244"/>
      <c r="C90" s="244"/>
      <c r="D90" s="78" t="s">
        <v>1191</v>
      </c>
      <c r="E90" s="159"/>
      <c r="F90" s="111" t="s">
        <v>1252</v>
      </c>
      <c r="G90" s="107">
        <v>0.10833333333333334</v>
      </c>
      <c r="H90" s="108">
        <v>0.33333333333333298</v>
      </c>
      <c r="I90" s="109">
        <f t="shared" si="1"/>
        <v>0.6749999999999996</v>
      </c>
      <c r="J90" s="109">
        <v>0.9</v>
      </c>
      <c r="K90" s="82" t="s">
        <v>1299</v>
      </c>
      <c r="L90" s="82"/>
    </row>
    <row r="91" spans="1:12" ht="14.4" customHeight="1">
      <c r="A91" s="253"/>
      <c r="B91" s="244"/>
      <c r="C91" s="245"/>
      <c r="D91" s="78" t="s">
        <v>1191</v>
      </c>
      <c r="E91" s="113"/>
      <c r="F91" s="114" t="s">
        <v>1253</v>
      </c>
      <c r="G91" s="107"/>
      <c r="H91" s="108">
        <v>0.33333333333333298</v>
      </c>
      <c r="I91" s="109">
        <f t="shared" si="1"/>
        <v>1</v>
      </c>
      <c r="J91" s="109">
        <v>0.9</v>
      </c>
      <c r="K91" s="82"/>
      <c r="L91" s="82"/>
    </row>
    <row r="92" spans="1:12" ht="14.4" customHeight="1">
      <c r="A92" s="253"/>
      <c r="B92" s="244"/>
      <c r="C92" s="248" t="s">
        <v>1197</v>
      </c>
      <c r="D92" s="132" t="s">
        <v>1192</v>
      </c>
      <c r="E92" s="158"/>
      <c r="F92" s="125" t="s">
        <v>1251</v>
      </c>
      <c r="G92" s="126">
        <v>0.33333333333333331</v>
      </c>
      <c r="H92" s="127">
        <v>0.33333333333333298</v>
      </c>
      <c r="I92" s="109">
        <f t="shared" si="1"/>
        <v>0</v>
      </c>
      <c r="J92" s="134">
        <v>0.9</v>
      </c>
      <c r="K92" s="146" t="s">
        <v>1264</v>
      </c>
      <c r="L92" s="136"/>
    </row>
    <row r="93" spans="1:12" ht="14.4" customHeight="1">
      <c r="A93" s="253"/>
      <c r="B93" s="244"/>
      <c r="C93" s="249"/>
      <c r="D93" s="132" t="s">
        <v>1192</v>
      </c>
      <c r="E93" s="158"/>
      <c r="F93" s="129" t="s">
        <v>1252</v>
      </c>
      <c r="G93" s="126">
        <v>0.20833333333333334</v>
      </c>
      <c r="H93" s="127">
        <v>0.33333333333333298</v>
      </c>
      <c r="I93" s="109">
        <f t="shared" si="1"/>
        <v>0.37499999999999933</v>
      </c>
      <c r="J93" s="134">
        <v>0.9</v>
      </c>
      <c r="K93" s="136" t="s">
        <v>1298</v>
      </c>
      <c r="L93" s="136"/>
    </row>
    <row r="94" spans="1:12" ht="15" customHeight="1" thickBot="1">
      <c r="A94" s="253"/>
      <c r="B94" s="245"/>
      <c r="C94" s="250"/>
      <c r="D94" s="132" t="s">
        <v>1192</v>
      </c>
      <c r="E94" s="133"/>
      <c r="F94" s="128" t="s">
        <v>1253</v>
      </c>
      <c r="G94" s="126">
        <v>0.20833333333333334</v>
      </c>
      <c r="H94" s="131">
        <v>0.33333333333333298</v>
      </c>
      <c r="I94" s="115">
        <f t="shared" si="1"/>
        <v>0.37499999999999933</v>
      </c>
      <c r="J94" s="134">
        <v>0.9</v>
      </c>
      <c r="K94" s="136" t="s">
        <v>1298</v>
      </c>
      <c r="L94" s="136"/>
    </row>
    <row r="95" spans="1:12" ht="14.4" customHeight="1">
      <c r="A95" s="253"/>
      <c r="B95" s="251">
        <v>45693</v>
      </c>
      <c r="C95" s="243" t="s">
        <v>1198</v>
      </c>
      <c r="D95" s="78"/>
      <c r="E95" s="159"/>
      <c r="F95" s="111" t="s">
        <v>1251</v>
      </c>
      <c r="G95" s="107">
        <v>0.33333333333333331</v>
      </c>
      <c r="H95" s="108">
        <v>0.33333333333333298</v>
      </c>
      <c r="I95" s="109">
        <f t="shared" si="1"/>
        <v>0</v>
      </c>
      <c r="J95" s="109">
        <v>0.9</v>
      </c>
      <c r="K95" s="82" t="s">
        <v>1264</v>
      </c>
      <c r="L95" s="112"/>
    </row>
    <row r="96" spans="1:12" ht="14.4" customHeight="1">
      <c r="A96" s="253"/>
      <c r="B96" s="244"/>
      <c r="C96" s="244"/>
      <c r="D96" s="78"/>
      <c r="E96" s="159"/>
      <c r="F96" s="106" t="s">
        <v>1252</v>
      </c>
      <c r="G96" s="107"/>
      <c r="H96" s="108">
        <v>0.33333333333333298</v>
      </c>
      <c r="I96" s="109">
        <f t="shared" si="1"/>
        <v>1</v>
      </c>
      <c r="J96" s="109">
        <v>0.9</v>
      </c>
      <c r="K96" s="82"/>
      <c r="L96" s="82"/>
    </row>
    <row r="97" spans="1:12" ht="14.4" customHeight="1">
      <c r="A97" s="253"/>
      <c r="B97" s="244"/>
      <c r="C97" s="245"/>
      <c r="D97" s="78"/>
      <c r="E97" s="113"/>
      <c r="F97" s="114" t="s">
        <v>1253</v>
      </c>
      <c r="G97" s="107"/>
      <c r="H97" s="108">
        <v>0.33333333333333298</v>
      </c>
      <c r="I97" s="109">
        <f t="shared" si="1"/>
        <v>1</v>
      </c>
      <c r="J97" s="109">
        <v>0.9</v>
      </c>
      <c r="K97" s="82"/>
      <c r="L97" s="82"/>
    </row>
    <row r="98" spans="1:12" ht="14.4" customHeight="1">
      <c r="A98" s="253"/>
      <c r="B98" s="244"/>
      <c r="C98" s="248" t="s">
        <v>1196</v>
      </c>
      <c r="D98" s="132" t="s">
        <v>1191</v>
      </c>
      <c r="E98" s="158"/>
      <c r="F98" s="125" t="s">
        <v>1251</v>
      </c>
      <c r="G98" s="126">
        <v>0.33333333333333331</v>
      </c>
      <c r="H98" s="127">
        <v>0.33333333333333298</v>
      </c>
      <c r="I98" s="109">
        <f t="shared" si="1"/>
        <v>0</v>
      </c>
      <c r="J98" s="134">
        <v>0.9</v>
      </c>
      <c r="K98" s="135" t="s">
        <v>1264</v>
      </c>
      <c r="L98" s="136"/>
    </row>
    <row r="99" spans="1:12" ht="14.4" customHeight="1">
      <c r="A99" s="253"/>
      <c r="B99" s="244"/>
      <c r="C99" s="249"/>
      <c r="D99" s="132" t="s">
        <v>1191</v>
      </c>
      <c r="E99" s="158"/>
      <c r="F99" s="129" t="s">
        <v>1252</v>
      </c>
      <c r="G99" s="126"/>
      <c r="H99" s="127">
        <v>0.33333333333333298</v>
      </c>
      <c r="I99" s="109">
        <f t="shared" si="1"/>
        <v>1</v>
      </c>
      <c r="J99" s="134">
        <v>0.9</v>
      </c>
      <c r="K99" s="135"/>
      <c r="L99" s="136"/>
    </row>
    <row r="100" spans="1:12" ht="14.4" customHeight="1">
      <c r="A100" s="253"/>
      <c r="B100" s="244"/>
      <c r="C100" s="250"/>
      <c r="D100" s="132" t="s">
        <v>1191</v>
      </c>
      <c r="E100" s="133"/>
      <c r="F100" s="128" t="s">
        <v>1253</v>
      </c>
      <c r="G100" s="126"/>
      <c r="H100" s="127">
        <v>0.33333333333333298</v>
      </c>
      <c r="I100" s="109">
        <f t="shared" si="1"/>
        <v>1</v>
      </c>
      <c r="J100" s="134">
        <v>0.9</v>
      </c>
      <c r="K100" s="133"/>
      <c r="L100" s="136"/>
    </row>
    <row r="101" spans="1:12" ht="14.4" customHeight="1">
      <c r="A101" s="253"/>
      <c r="B101" s="244"/>
      <c r="C101" s="243" t="s">
        <v>1197</v>
      </c>
      <c r="D101" s="78" t="s">
        <v>1192</v>
      </c>
      <c r="E101" s="159"/>
      <c r="F101" s="111" t="s">
        <v>1251</v>
      </c>
      <c r="G101" s="107">
        <v>0.33333333333333331</v>
      </c>
      <c r="H101" s="108">
        <v>0.33333333333333298</v>
      </c>
      <c r="I101" s="109">
        <f t="shared" si="1"/>
        <v>0</v>
      </c>
      <c r="J101" s="109">
        <v>0.9</v>
      </c>
      <c r="K101" s="82" t="s">
        <v>1264</v>
      </c>
      <c r="L101" s="82"/>
    </row>
    <row r="102" spans="1:12" ht="14.4" customHeight="1">
      <c r="A102" s="253"/>
      <c r="B102" s="244"/>
      <c r="C102" s="244"/>
      <c r="D102" s="78" t="s">
        <v>1192</v>
      </c>
      <c r="E102" s="159"/>
      <c r="F102" s="106" t="s">
        <v>1252</v>
      </c>
      <c r="G102" s="107"/>
      <c r="H102" s="108">
        <v>0.33333333333333298</v>
      </c>
      <c r="I102" s="109">
        <f t="shared" si="1"/>
        <v>1</v>
      </c>
      <c r="J102" s="109">
        <v>0.9</v>
      </c>
      <c r="K102" s="82"/>
      <c r="L102" s="82"/>
    </row>
    <row r="103" spans="1:12" ht="15" customHeight="1" thickBot="1">
      <c r="A103" s="253"/>
      <c r="B103" s="245"/>
      <c r="C103" s="245"/>
      <c r="D103" s="78" t="s">
        <v>1192</v>
      </c>
      <c r="E103" s="113"/>
      <c r="F103" s="114" t="s">
        <v>1253</v>
      </c>
      <c r="G103" s="107"/>
      <c r="H103" s="108">
        <v>0.33333333333333298</v>
      </c>
      <c r="I103" s="109">
        <f t="shared" si="1"/>
        <v>1</v>
      </c>
      <c r="J103" s="109">
        <v>0.9</v>
      </c>
      <c r="K103" s="82"/>
      <c r="L103" s="82"/>
    </row>
    <row r="104" spans="1:12" ht="14.4" customHeight="1">
      <c r="A104" s="253"/>
      <c r="B104" s="251">
        <v>45694</v>
      </c>
      <c r="C104" s="248" t="s">
        <v>1198</v>
      </c>
      <c r="D104" s="132" t="s">
        <v>1194</v>
      </c>
      <c r="E104" s="158"/>
      <c r="F104" s="125" t="s">
        <v>1251</v>
      </c>
      <c r="G104" s="126">
        <v>0.33333333333333331</v>
      </c>
      <c r="H104" s="127">
        <v>0.33333333333333298</v>
      </c>
      <c r="I104" s="109">
        <f>1-(G104/H104)</f>
        <v>0</v>
      </c>
      <c r="J104" s="134">
        <v>0.9</v>
      </c>
      <c r="K104" s="135" t="s">
        <v>1264</v>
      </c>
      <c r="L104" s="137"/>
    </row>
    <row r="105" spans="1:12" ht="14.4" customHeight="1">
      <c r="A105" s="253"/>
      <c r="B105" s="244"/>
      <c r="C105" s="249"/>
      <c r="D105" s="132" t="s">
        <v>1194</v>
      </c>
      <c r="E105" s="158"/>
      <c r="F105" s="129" t="s">
        <v>1252</v>
      </c>
      <c r="G105" s="126"/>
      <c r="H105" s="127">
        <v>0.33333333333333298</v>
      </c>
      <c r="I105" s="109">
        <f>1-(G105/H105)</f>
        <v>1</v>
      </c>
      <c r="J105" s="134">
        <v>0.9</v>
      </c>
      <c r="K105" s="135"/>
      <c r="L105" s="136"/>
    </row>
    <row r="106" spans="1:12" ht="14.4" customHeight="1">
      <c r="A106" s="253"/>
      <c r="B106" s="244"/>
      <c r="C106" s="250"/>
      <c r="D106" s="132" t="s">
        <v>1194</v>
      </c>
      <c r="E106" s="133"/>
      <c r="F106" s="128" t="s">
        <v>1253</v>
      </c>
      <c r="G106" s="126"/>
      <c r="H106" s="127">
        <v>0.33333333333333298</v>
      </c>
      <c r="I106" s="109">
        <f t="shared" si="1"/>
        <v>1</v>
      </c>
      <c r="J106" s="134">
        <v>0.9</v>
      </c>
      <c r="K106" s="133"/>
      <c r="L106" s="136"/>
    </row>
    <row r="107" spans="1:12" ht="14.4" customHeight="1">
      <c r="A107" s="253"/>
      <c r="B107" s="244"/>
      <c r="C107" s="243" t="s">
        <v>1196</v>
      </c>
      <c r="D107" s="78"/>
      <c r="E107" s="159"/>
      <c r="F107" s="111" t="s">
        <v>1251</v>
      </c>
      <c r="G107" s="107">
        <v>0.33333333333333331</v>
      </c>
      <c r="H107" s="108">
        <v>0.33333333333333298</v>
      </c>
      <c r="I107" s="109">
        <f t="shared" si="1"/>
        <v>0</v>
      </c>
      <c r="J107" s="109">
        <v>0.9</v>
      </c>
      <c r="K107" s="82" t="s">
        <v>1264</v>
      </c>
      <c r="L107" s="112"/>
    </row>
    <row r="108" spans="1:12" ht="14.4" customHeight="1">
      <c r="A108" s="253"/>
      <c r="B108" s="244"/>
      <c r="C108" s="244"/>
      <c r="D108" s="78"/>
      <c r="E108" s="159"/>
      <c r="F108" s="106" t="s">
        <v>1252</v>
      </c>
      <c r="G108" s="107"/>
      <c r="H108" s="108">
        <v>0.33333333333333298</v>
      </c>
      <c r="I108" s="109">
        <f t="shared" si="1"/>
        <v>1</v>
      </c>
      <c r="J108" s="109">
        <v>0.9</v>
      </c>
      <c r="K108" s="82"/>
      <c r="L108" s="82"/>
    </row>
    <row r="109" spans="1:12" ht="14.4" customHeight="1">
      <c r="A109" s="253"/>
      <c r="B109" s="244"/>
      <c r="C109" s="245"/>
      <c r="D109" s="78"/>
      <c r="E109" s="113"/>
      <c r="F109" s="114" t="s">
        <v>1253</v>
      </c>
      <c r="G109" s="107"/>
      <c r="H109" s="108">
        <v>0.33333333333333298</v>
      </c>
      <c r="I109" s="109">
        <f t="shared" si="1"/>
        <v>1</v>
      </c>
      <c r="J109" s="109">
        <v>0.9</v>
      </c>
      <c r="K109" s="82"/>
      <c r="L109" s="82"/>
    </row>
    <row r="110" spans="1:12" ht="14.4" customHeight="1">
      <c r="A110" s="253"/>
      <c r="B110" s="244"/>
      <c r="C110" s="248" t="s">
        <v>1197</v>
      </c>
      <c r="D110" s="132" t="s">
        <v>1191</v>
      </c>
      <c r="E110" s="158"/>
      <c r="F110" s="125" t="s">
        <v>1251</v>
      </c>
      <c r="G110" s="126">
        <v>0.33333333333333331</v>
      </c>
      <c r="H110" s="127">
        <v>0.33333333333333298</v>
      </c>
      <c r="I110" s="109">
        <f t="shared" si="1"/>
        <v>0</v>
      </c>
      <c r="J110" s="134">
        <v>0.9</v>
      </c>
      <c r="K110" s="135" t="s">
        <v>1264</v>
      </c>
      <c r="L110" s="136"/>
    </row>
    <row r="111" spans="1:12" ht="14.4" customHeight="1">
      <c r="A111" s="253"/>
      <c r="B111" s="244"/>
      <c r="C111" s="249"/>
      <c r="D111" s="132" t="s">
        <v>1191</v>
      </c>
      <c r="E111" s="158"/>
      <c r="F111" s="129" t="s">
        <v>1252</v>
      </c>
      <c r="G111" s="126"/>
      <c r="H111" s="127">
        <v>0.33333333333333298</v>
      </c>
      <c r="I111" s="109">
        <f t="shared" si="1"/>
        <v>1</v>
      </c>
      <c r="J111" s="134">
        <v>0.9</v>
      </c>
      <c r="K111" s="135"/>
      <c r="L111" s="136"/>
    </row>
    <row r="112" spans="1:12" ht="15" customHeight="1" thickBot="1">
      <c r="A112" s="253"/>
      <c r="B112" s="245"/>
      <c r="C112" s="250"/>
      <c r="D112" s="132" t="s">
        <v>1191</v>
      </c>
      <c r="E112" s="133"/>
      <c r="F112" s="128" t="s">
        <v>1253</v>
      </c>
      <c r="G112" s="126"/>
      <c r="H112" s="127">
        <v>0.33333333333333298</v>
      </c>
      <c r="I112" s="109">
        <f t="shared" si="1"/>
        <v>1</v>
      </c>
      <c r="J112" s="134">
        <v>0.9</v>
      </c>
      <c r="K112" s="133"/>
      <c r="L112" s="136"/>
    </row>
    <row r="113" spans="1:12" ht="14.4" customHeight="1">
      <c r="A113" s="253"/>
      <c r="B113" s="251">
        <v>45695</v>
      </c>
      <c r="C113" s="243" t="s">
        <v>1198</v>
      </c>
      <c r="D113" s="78" t="s">
        <v>1194</v>
      </c>
      <c r="E113" s="159"/>
      <c r="F113" s="111" t="s">
        <v>1251</v>
      </c>
      <c r="G113" s="107">
        <v>0.33333333333333331</v>
      </c>
      <c r="H113" s="108">
        <v>0.33333333333333298</v>
      </c>
      <c r="I113" s="109">
        <f t="shared" si="1"/>
        <v>0</v>
      </c>
      <c r="J113" s="109">
        <v>0.9</v>
      </c>
      <c r="K113" s="82" t="s">
        <v>1264</v>
      </c>
      <c r="L113" s="112"/>
    </row>
    <row r="114" spans="1:12" ht="14.4" customHeight="1">
      <c r="A114" s="253"/>
      <c r="B114" s="244"/>
      <c r="C114" s="244"/>
      <c r="D114" s="78" t="s">
        <v>1194</v>
      </c>
      <c r="E114" s="159"/>
      <c r="F114" s="106" t="s">
        <v>1252</v>
      </c>
      <c r="G114" s="107"/>
      <c r="H114" s="108">
        <v>0.33333333333333298</v>
      </c>
      <c r="I114" s="109">
        <f t="shared" si="1"/>
        <v>1</v>
      </c>
      <c r="J114" s="109">
        <v>0.9</v>
      </c>
      <c r="K114" s="82"/>
      <c r="L114" s="82"/>
    </row>
    <row r="115" spans="1:12" ht="14.4" customHeight="1">
      <c r="A115" s="253"/>
      <c r="B115" s="244"/>
      <c r="C115" s="245"/>
      <c r="D115" s="78" t="s">
        <v>1194</v>
      </c>
      <c r="E115" s="113"/>
      <c r="F115" s="114" t="s">
        <v>1253</v>
      </c>
      <c r="G115" s="107"/>
      <c r="H115" s="108">
        <v>0.33333333333333298</v>
      </c>
      <c r="I115" s="109">
        <f t="shared" si="1"/>
        <v>1</v>
      </c>
      <c r="J115" s="109">
        <v>0.9</v>
      </c>
      <c r="K115" s="82"/>
      <c r="L115" s="82"/>
    </row>
    <row r="116" spans="1:12" ht="14.4" customHeight="1">
      <c r="A116" s="253"/>
      <c r="B116" s="244"/>
      <c r="C116" s="248" t="s">
        <v>1196</v>
      </c>
      <c r="D116" s="132"/>
      <c r="E116" s="158"/>
      <c r="F116" s="125" t="s">
        <v>1251</v>
      </c>
      <c r="G116" s="126">
        <v>0.33333333333333331</v>
      </c>
      <c r="H116" s="127">
        <v>0.33333333333333298</v>
      </c>
      <c r="I116" s="109">
        <f t="shared" si="1"/>
        <v>0</v>
      </c>
      <c r="J116" s="134">
        <v>0.9</v>
      </c>
      <c r="K116" s="137" t="s">
        <v>1264</v>
      </c>
      <c r="L116" s="137"/>
    </row>
    <row r="117" spans="1:12" ht="14.4" customHeight="1">
      <c r="A117" s="253"/>
      <c r="B117" s="244"/>
      <c r="C117" s="249"/>
      <c r="D117" s="132"/>
      <c r="E117" s="158"/>
      <c r="F117" s="129" t="s">
        <v>1252</v>
      </c>
      <c r="G117" s="126"/>
      <c r="H117" s="127">
        <v>0.33333333333333298</v>
      </c>
      <c r="I117" s="109">
        <f t="shared" si="1"/>
        <v>1</v>
      </c>
      <c r="J117" s="134">
        <v>0.9</v>
      </c>
      <c r="K117" s="135"/>
      <c r="L117" s="136"/>
    </row>
    <row r="118" spans="1:12" ht="14.4" customHeight="1">
      <c r="A118" s="253"/>
      <c r="B118" s="244"/>
      <c r="C118" s="250"/>
      <c r="D118" s="132"/>
      <c r="E118" s="133"/>
      <c r="F118" s="128" t="s">
        <v>1253</v>
      </c>
      <c r="G118" s="126"/>
      <c r="H118" s="127">
        <v>0.33333333333333298</v>
      </c>
      <c r="I118" s="109">
        <f t="shared" si="1"/>
        <v>1</v>
      </c>
      <c r="J118" s="134">
        <v>0.9</v>
      </c>
      <c r="K118" s="133"/>
      <c r="L118" s="136"/>
    </row>
    <row r="119" spans="1:12" ht="14.4" customHeight="1">
      <c r="A119" s="253"/>
      <c r="B119" s="244"/>
      <c r="C119" s="243" t="s">
        <v>1197</v>
      </c>
      <c r="D119" s="78" t="s">
        <v>1191</v>
      </c>
      <c r="E119" s="159"/>
      <c r="F119" s="111" t="s">
        <v>1251</v>
      </c>
      <c r="G119" s="107">
        <v>0.33333333333333331</v>
      </c>
      <c r="H119" s="108">
        <v>0.33333333333333298</v>
      </c>
      <c r="I119" s="109">
        <f t="shared" si="1"/>
        <v>0</v>
      </c>
      <c r="J119" s="109">
        <v>0.9</v>
      </c>
      <c r="K119" s="82" t="s">
        <v>1264</v>
      </c>
      <c r="L119" s="82"/>
    </row>
    <row r="120" spans="1:12" ht="14.4" customHeight="1">
      <c r="A120" s="253"/>
      <c r="B120" s="244"/>
      <c r="C120" s="244"/>
      <c r="D120" s="78" t="s">
        <v>1191</v>
      </c>
      <c r="E120" s="159"/>
      <c r="F120" s="106" t="s">
        <v>1252</v>
      </c>
      <c r="G120" s="107"/>
      <c r="H120" s="108">
        <v>0.33333333333333298</v>
      </c>
      <c r="I120" s="109">
        <f t="shared" si="1"/>
        <v>1</v>
      </c>
      <c r="J120" s="109">
        <v>0.9</v>
      </c>
      <c r="K120" s="82"/>
      <c r="L120" s="82"/>
    </row>
    <row r="121" spans="1:12" ht="14.4" customHeight="1" thickBot="1">
      <c r="A121" s="253"/>
      <c r="B121" s="245"/>
      <c r="C121" s="245"/>
      <c r="D121" s="78" t="s">
        <v>1191</v>
      </c>
      <c r="E121" s="113"/>
      <c r="F121" s="114" t="s">
        <v>1253</v>
      </c>
      <c r="G121" s="122"/>
      <c r="H121" s="123">
        <v>0.33333333333333298</v>
      </c>
      <c r="I121" s="109">
        <f t="shared" si="1"/>
        <v>1</v>
      </c>
      <c r="J121" s="109">
        <v>0.9</v>
      </c>
      <c r="K121" s="82"/>
      <c r="L121" s="82"/>
    </row>
    <row r="122" spans="1:12" ht="14.4" customHeight="1">
      <c r="A122" s="253"/>
      <c r="B122" s="251">
        <v>45696</v>
      </c>
      <c r="C122" s="248" t="s">
        <v>1198</v>
      </c>
      <c r="D122" s="132" t="s">
        <v>1192</v>
      </c>
      <c r="E122" s="158"/>
      <c r="F122" s="125" t="s">
        <v>1251</v>
      </c>
      <c r="G122" s="126">
        <v>0.33333333333333331</v>
      </c>
      <c r="H122" s="127">
        <v>0.33333333333333298</v>
      </c>
      <c r="I122" s="109">
        <f>1-(G122/H122)</f>
        <v>0</v>
      </c>
      <c r="J122" s="134">
        <v>0.9</v>
      </c>
      <c r="K122" s="135" t="s">
        <v>1264</v>
      </c>
      <c r="L122" s="137"/>
    </row>
    <row r="123" spans="1:12" ht="14.4" customHeight="1">
      <c r="A123" s="253"/>
      <c r="B123" s="244"/>
      <c r="C123" s="249"/>
      <c r="D123" s="132" t="s">
        <v>1192</v>
      </c>
      <c r="E123" s="158"/>
      <c r="F123" s="129" t="s">
        <v>1252</v>
      </c>
      <c r="G123" s="126"/>
      <c r="H123" s="127">
        <v>0.33333333333333298</v>
      </c>
      <c r="I123" s="109">
        <f>1-(G123/H123)</f>
        <v>1</v>
      </c>
      <c r="J123" s="134">
        <v>0.9</v>
      </c>
      <c r="K123" s="135"/>
      <c r="L123" s="136"/>
    </row>
    <row r="124" spans="1:12" ht="14.4" customHeight="1">
      <c r="A124" s="253"/>
      <c r="B124" s="244"/>
      <c r="C124" s="250"/>
      <c r="D124" s="132" t="s">
        <v>1192</v>
      </c>
      <c r="E124" s="133"/>
      <c r="F124" s="128" t="s">
        <v>1253</v>
      </c>
      <c r="G124" s="126"/>
      <c r="H124" s="127">
        <v>0.33333333333333298</v>
      </c>
      <c r="I124" s="109">
        <f t="shared" ref="I124:I139" si="2">1-(G124/H124)</f>
        <v>1</v>
      </c>
      <c r="J124" s="134">
        <v>0.9</v>
      </c>
      <c r="K124" s="133"/>
      <c r="L124" s="136"/>
    </row>
    <row r="125" spans="1:12" ht="14.4" customHeight="1">
      <c r="A125" s="253"/>
      <c r="B125" s="244"/>
      <c r="C125" s="243" t="s">
        <v>1196</v>
      </c>
      <c r="D125" s="78" t="s">
        <v>1194</v>
      </c>
      <c r="E125" s="159"/>
      <c r="F125" s="111" t="s">
        <v>1251</v>
      </c>
      <c r="G125" s="107">
        <v>0.33333333333333331</v>
      </c>
      <c r="H125" s="108">
        <v>0.33333333333333298</v>
      </c>
      <c r="I125" s="109">
        <f t="shared" si="2"/>
        <v>0</v>
      </c>
      <c r="J125" s="109">
        <v>0.9</v>
      </c>
      <c r="K125" s="82" t="s">
        <v>1264</v>
      </c>
      <c r="L125" s="112"/>
    </row>
    <row r="126" spans="1:12" ht="14.4" customHeight="1">
      <c r="A126" s="253"/>
      <c r="B126" s="244"/>
      <c r="C126" s="244"/>
      <c r="D126" s="78" t="s">
        <v>1194</v>
      </c>
      <c r="E126" s="159"/>
      <c r="F126" s="106" t="s">
        <v>1252</v>
      </c>
      <c r="G126" s="107"/>
      <c r="H126" s="108">
        <v>0.33333333333333298</v>
      </c>
      <c r="I126" s="109">
        <f t="shared" si="2"/>
        <v>1</v>
      </c>
      <c r="J126" s="109">
        <v>0.9</v>
      </c>
      <c r="K126" s="82"/>
      <c r="L126" s="82"/>
    </row>
    <row r="127" spans="1:12" ht="14.4" customHeight="1">
      <c r="A127" s="253"/>
      <c r="B127" s="244"/>
      <c r="C127" s="245"/>
      <c r="D127" s="78" t="s">
        <v>1194</v>
      </c>
      <c r="E127" s="113"/>
      <c r="F127" s="114" t="s">
        <v>1253</v>
      </c>
      <c r="G127" s="107"/>
      <c r="H127" s="108">
        <v>0.33333333333333298</v>
      </c>
      <c r="I127" s="109">
        <f t="shared" si="2"/>
        <v>1</v>
      </c>
      <c r="J127" s="109">
        <v>0.9</v>
      </c>
      <c r="K127" s="82"/>
      <c r="L127" s="82"/>
    </row>
    <row r="128" spans="1:12" ht="14.4" customHeight="1">
      <c r="A128" s="253"/>
      <c r="B128" s="244"/>
      <c r="C128" s="248" t="s">
        <v>1197</v>
      </c>
      <c r="D128" s="132"/>
      <c r="E128" s="158"/>
      <c r="F128" s="125" t="s">
        <v>1251</v>
      </c>
      <c r="G128" s="126">
        <v>0.33333333333333331</v>
      </c>
      <c r="H128" s="127">
        <v>0.33333333333333298</v>
      </c>
      <c r="I128" s="109">
        <f t="shared" si="2"/>
        <v>0</v>
      </c>
      <c r="J128" s="134">
        <v>0.9</v>
      </c>
      <c r="K128" s="135" t="s">
        <v>1264</v>
      </c>
      <c r="L128" s="136"/>
    </row>
    <row r="129" spans="1:12" ht="14.4" customHeight="1">
      <c r="A129" s="253"/>
      <c r="B129" s="244"/>
      <c r="C129" s="249"/>
      <c r="D129" s="132"/>
      <c r="E129" s="158"/>
      <c r="F129" s="129" t="s">
        <v>1252</v>
      </c>
      <c r="G129" s="126">
        <v>8.3333333333333329E-2</v>
      </c>
      <c r="H129" s="127">
        <v>0.33333333333333298</v>
      </c>
      <c r="I129" s="109">
        <f t="shared" si="2"/>
        <v>0.74999999999999978</v>
      </c>
      <c r="J129" s="134">
        <v>0.9</v>
      </c>
      <c r="K129" s="135" t="s">
        <v>1297</v>
      </c>
      <c r="L129" s="136"/>
    </row>
    <row r="130" spans="1:12" ht="14.4" customHeight="1" thickBot="1">
      <c r="A130" s="253"/>
      <c r="B130" s="245"/>
      <c r="C130" s="250"/>
      <c r="D130" s="132"/>
      <c r="E130" s="133"/>
      <c r="F130" s="128" t="s">
        <v>1253</v>
      </c>
      <c r="G130" s="126"/>
      <c r="H130" s="127">
        <v>0.33333333333333298</v>
      </c>
      <c r="I130" s="109">
        <f t="shared" si="2"/>
        <v>1</v>
      </c>
      <c r="J130" s="134">
        <v>0.9</v>
      </c>
      <c r="K130" s="133"/>
      <c r="L130" s="136"/>
    </row>
    <row r="131" spans="1:12" ht="14.4" customHeight="1">
      <c r="A131" s="253"/>
      <c r="B131" s="251">
        <v>45697</v>
      </c>
      <c r="C131" s="243" t="s">
        <v>1198</v>
      </c>
      <c r="D131" s="78" t="s">
        <v>1192</v>
      </c>
      <c r="E131" s="159"/>
      <c r="F131" s="111" t="s">
        <v>1251</v>
      </c>
      <c r="G131" s="107">
        <v>0.33333333333333331</v>
      </c>
      <c r="H131" s="108">
        <v>0.33333333333333298</v>
      </c>
      <c r="I131" s="109">
        <f t="shared" si="2"/>
        <v>0</v>
      </c>
      <c r="J131" s="109">
        <v>0.9</v>
      </c>
      <c r="K131" s="82" t="s">
        <v>1264</v>
      </c>
      <c r="L131" s="112"/>
    </row>
    <row r="132" spans="1:12" ht="14.4" customHeight="1">
      <c r="A132" s="253"/>
      <c r="B132" s="244"/>
      <c r="C132" s="244"/>
      <c r="D132" s="78" t="s">
        <v>1192</v>
      </c>
      <c r="E132" s="159"/>
      <c r="F132" s="106" t="s">
        <v>1252</v>
      </c>
      <c r="G132" s="107">
        <v>2.7777777777777776E-2</v>
      </c>
      <c r="H132" s="108">
        <v>0.33333333333333298</v>
      </c>
      <c r="I132" s="109">
        <f t="shared" si="2"/>
        <v>0.91666666666666663</v>
      </c>
      <c r="J132" s="109">
        <v>0.9</v>
      </c>
      <c r="K132" s="82"/>
      <c r="L132" s="82"/>
    </row>
    <row r="133" spans="1:12" ht="14.4" customHeight="1">
      <c r="A133" s="253"/>
      <c r="B133" s="244"/>
      <c r="C133" s="245"/>
      <c r="D133" s="78" t="s">
        <v>1192</v>
      </c>
      <c r="E133" s="113"/>
      <c r="F133" s="114" t="s">
        <v>1253</v>
      </c>
      <c r="G133" s="107"/>
      <c r="H133" s="108">
        <v>0.33333333333333298</v>
      </c>
      <c r="I133" s="109">
        <f t="shared" si="2"/>
        <v>1</v>
      </c>
      <c r="J133" s="109">
        <v>0.9</v>
      </c>
      <c r="K133" s="82"/>
      <c r="L133" s="82"/>
    </row>
    <row r="134" spans="1:12" ht="14.4" customHeight="1">
      <c r="A134" s="253"/>
      <c r="B134" s="244"/>
      <c r="C134" s="248" t="s">
        <v>1196</v>
      </c>
      <c r="D134" s="132" t="s">
        <v>1194</v>
      </c>
      <c r="E134" s="158"/>
      <c r="F134" s="125" t="s">
        <v>1251</v>
      </c>
      <c r="G134" s="126">
        <v>0.33333333333333331</v>
      </c>
      <c r="H134" s="127">
        <v>0.33333333333333298</v>
      </c>
      <c r="I134" s="109">
        <f t="shared" si="2"/>
        <v>0</v>
      </c>
      <c r="J134" s="134">
        <v>0.9</v>
      </c>
      <c r="K134" s="137" t="s">
        <v>1264</v>
      </c>
      <c r="L134" s="137"/>
    </row>
    <row r="135" spans="1:12" ht="14.4" customHeight="1">
      <c r="A135" s="253"/>
      <c r="B135" s="244"/>
      <c r="C135" s="249"/>
      <c r="D135" s="132" t="s">
        <v>1194</v>
      </c>
      <c r="E135" s="158"/>
      <c r="F135" s="129" t="s">
        <v>1252</v>
      </c>
      <c r="G135" s="126"/>
      <c r="H135" s="127">
        <v>0.33333333333333298</v>
      </c>
      <c r="I135" s="109">
        <f t="shared" si="2"/>
        <v>1</v>
      </c>
      <c r="J135" s="134">
        <v>0.9</v>
      </c>
      <c r="K135" s="135"/>
      <c r="L135" s="136"/>
    </row>
    <row r="136" spans="1:12" ht="14.4" customHeight="1">
      <c r="A136" s="253"/>
      <c r="B136" s="244"/>
      <c r="C136" s="250"/>
      <c r="D136" s="132" t="s">
        <v>1194</v>
      </c>
      <c r="E136" s="133"/>
      <c r="F136" s="128" t="s">
        <v>1253</v>
      </c>
      <c r="G136" s="126"/>
      <c r="H136" s="127">
        <v>0.33333333333333298</v>
      </c>
      <c r="I136" s="109">
        <f t="shared" si="2"/>
        <v>1</v>
      </c>
      <c r="J136" s="134">
        <v>0.9</v>
      </c>
      <c r="K136" s="133"/>
      <c r="L136" s="136"/>
    </row>
    <row r="137" spans="1:12" ht="14.4" customHeight="1">
      <c r="A137" s="253"/>
      <c r="B137" s="244"/>
      <c r="C137" s="243" t="s">
        <v>1197</v>
      </c>
      <c r="D137" s="78" t="s">
        <v>1193</v>
      </c>
      <c r="E137" s="159"/>
      <c r="F137" s="111" t="s">
        <v>1251</v>
      </c>
      <c r="G137" s="107">
        <v>0.33333333333333331</v>
      </c>
      <c r="H137" s="108">
        <v>0.33333333333333298</v>
      </c>
      <c r="I137" s="109">
        <f t="shared" si="2"/>
        <v>0</v>
      </c>
      <c r="J137" s="109">
        <v>0.9</v>
      </c>
      <c r="K137" s="82" t="s">
        <v>1264</v>
      </c>
      <c r="L137" s="82"/>
    </row>
    <row r="138" spans="1:12" ht="14.4" customHeight="1">
      <c r="A138" s="253"/>
      <c r="B138" s="244"/>
      <c r="C138" s="244"/>
      <c r="D138" s="78" t="s">
        <v>1193</v>
      </c>
      <c r="E138" s="159"/>
      <c r="F138" s="106" t="s">
        <v>1252</v>
      </c>
      <c r="G138" s="107"/>
      <c r="H138" s="108">
        <v>0.33333333333333298</v>
      </c>
      <c r="I138" s="109">
        <f t="shared" si="2"/>
        <v>1</v>
      </c>
      <c r="J138" s="109">
        <v>0.9</v>
      </c>
      <c r="K138" s="82"/>
      <c r="L138" s="82"/>
    </row>
    <row r="139" spans="1:12" ht="14.4" customHeight="1">
      <c r="A139" s="253"/>
      <c r="B139" s="245"/>
      <c r="C139" s="245"/>
      <c r="D139" s="78" t="s">
        <v>1193</v>
      </c>
      <c r="E139" s="113"/>
      <c r="F139" s="114" t="s">
        <v>1253</v>
      </c>
      <c r="G139" s="122"/>
      <c r="H139" s="123">
        <v>0.33333333333333298</v>
      </c>
      <c r="I139" s="109">
        <f t="shared" si="2"/>
        <v>1</v>
      </c>
      <c r="J139" s="109">
        <v>0.9</v>
      </c>
      <c r="K139" s="82"/>
      <c r="L139" s="82"/>
    </row>
    <row r="140" spans="1:12" ht="14.4" customHeight="1">
      <c r="A140" s="253"/>
      <c r="B140" s="117"/>
      <c r="C140" s="117"/>
      <c r="D140" s="118"/>
      <c r="E140" s="118"/>
      <c r="F140" s="119" t="s">
        <v>1251</v>
      </c>
      <c r="G140" s="124"/>
      <c r="H140" s="124"/>
      <c r="I140" s="120">
        <f>AVERAGEIF(F77:F139,F140,I77:I139)</f>
        <v>0</v>
      </c>
      <c r="J140" s="121">
        <v>0.9</v>
      </c>
      <c r="K140" s="118"/>
      <c r="L140" s="116"/>
    </row>
    <row r="141" spans="1:12" ht="14.4" customHeight="1">
      <c r="A141" s="253"/>
      <c r="B141" s="117"/>
      <c r="C141" s="117"/>
      <c r="D141" s="118"/>
      <c r="E141" s="118"/>
      <c r="F141" s="119" t="s">
        <v>1252</v>
      </c>
      <c r="G141" s="124"/>
      <c r="H141" s="124"/>
      <c r="I141" s="120">
        <f>AVERAGEIF(F77:F139,F141,I77:I139)</f>
        <v>0.93888888888888877</v>
      </c>
      <c r="J141" s="121">
        <v>0.9</v>
      </c>
      <c r="K141" s="118"/>
      <c r="L141" s="116"/>
    </row>
    <row r="142" spans="1:12" ht="15" customHeight="1" thickBot="1">
      <c r="A142" s="253"/>
      <c r="B142" s="117"/>
      <c r="C142" s="117"/>
      <c r="D142" s="118"/>
      <c r="E142" s="118"/>
      <c r="F142" s="119" t="s">
        <v>1253</v>
      </c>
      <c r="G142" s="124"/>
      <c r="H142" s="124"/>
      <c r="I142" s="120">
        <f>AVERAGEIF(F77:F139,F142,I77:I139)</f>
        <v>0.96031746031746024</v>
      </c>
      <c r="J142" s="121">
        <v>0.9</v>
      </c>
      <c r="K142" s="118"/>
      <c r="L142" s="116"/>
    </row>
    <row r="143" spans="1:12" ht="14.4" customHeight="1">
      <c r="A143" s="252" t="s">
        <v>1308</v>
      </c>
      <c r="B143" s="251">
        <v>45698</v>
      </c>
      <c r="C143" s="243" t="s">
        <v>1198</v>
      </c>
      <c r="D143" s="110" t="s">
        <v>1201</v>
      </c>
      <c r="E143" s="156"/>
      <c r="F143" s="111" t="s">
        <v>1251</v>
      </c>
      <c r="G143" s="107">
        <v>0.33333333333333331</v>
      </c>
      <c r="H143" s="108">
        <v>0.33333333333333331</v>
      </c>
      <c r="I143" s="109">
        <f>1-(G143/H143)</f>
        <v>0</v>
      </c>
      <c r="J143" s="109">
        <v>0.9</v>
      </c>
      <c r="K143" s="82"/>
      <c r="L143" s="82"/>
    </row>
    <row r="144" spans="1:12" ht="14.4" customHeight="1">
      <c r="A144" s="253"/>
      <c r="B144" s="244"/>
      <c r="C144" s="244"/>
      <c r="D144" s="110" t="s">
        <v>1201</v>
      </c>
      <c r="E144" s="156"/>
      <c r="F144" s="111" t="s">
        <v>1252</v>
      </c>
      <c r="G144" s="107"/>
      <c r="H144" s="108">
        <v>0.33333333333333331</v>
      </c>
      <c r="I144" s="109">
        <f>1-(G144/H144)</f>
        <v>1</v>
      </c>
      <c r="J144" s="109">
        <v>0.9</v>
      </c>
      <c r="K144" s="82"/>
      <c r="L144" s="82"/>
    </row>
    <row r="145" spans="1:12" ht="14.4" customHeight="1">
      <c r="A145" s="253"/>
      <c r="B145" s="244"/>
      <c r="C145" s="245"/>
      <c r="D145" s="110" t="s">
        <v>1201</v>
      </c>
      <c r="E145" s="157"/>
      <c r="F145" s="114" t="s">
        <v>1253</v>
      </c>
      <c r="G145" s="107"/>
      <c r="H145" s="108">
        <v>0.33333333333333298</v>
      </c>
      <c r="I145" s="109">
        <f t="shared" ref="I145:I187" si="3">1-(G145/H145)</f>
        <v>1</v>
      </c>
      <c r="J145" s="109">
        <v>0.9</v>
      </c>
      <c r="K145" s="82"/>
      <c r="L145" s="82"/>
    </row>
    <row r="146" spans="1:12" ht="14.4" customHeight="1">
      <c r="A146" s="253"/>
      <c r="B146" s="244"/>
      <c r="C146" s="248" t="s">
        <v>1196</v>
      </c>
      <c r="D146" s="132" t="s">
        <v>1192</v>
      </c>
      <c r="E146" s="158"/>
      <c r="F146" s="125" t="s">
        <v>1251</v>
      </c>
      <c r="G146" s="126">
        <v>0.33333333333333331</v>
      </c>
      <c r="H146" s="127">
        <v>0.33333333333333298</v>
      </c>
      <c r="I146" s="109">
        <f t="shared" si="3"/>
        <v>0</v>
      </c>
      <c r="J146" s="134">
        <v>0.9</v>
      </c>
      <c r="K146" s="136" t="s">
        <v>1264</v>
      </c>
      <c r="L146" s="136"/>
    </row>
    <row r="147" spans="1:12" ht="14.4" customHeight="1">
      <c r="A147" s="253"/>
      <c r="B147" s="244"/>
      <c r="C147" s="249"/>
      <c r="D147" s="132" t="s">
        <v>1192</v>
      </c>
      <c r="E147" s="158"/>
      <c r="F147" s="125" t="s">
        <v>1252</v>
      </c>
      <c r="G147" s="126"/>
      <c r="H147" s="127">
        <v>0.33333333333333298</v>
      </c>
      <c r="I147" s="109">
        <f t="shared" si="3"/>
        <v>1</v>
      </c>
      <c r="J147" s="134">
        <v>0.9</v>
      </c>
      <c r="K147" s="135"/>
      <c r="L147" s="136"/>
    </row>
    <row r="148" spans="1:12" ht="14.4" customHeight="1">
      <c r="A148" s="253"/>
      <c r="B148" s="244"/>
      <c r="C148" s="250"/>
      <c r="D148" s="132" t="s">
        <v>1192</v>
      </c>
      <c r="E148" s="133"/>
      <c r="F148" s="128" t="s">
        <v>1253</v>
      </c>
      <c r="G148" s="126">
        <v>0.33333333333333331</v>
      </c>
      <c r="H148" s="127">
        <v>0.33333333333333298</v>
      </c>
      <c r="I148" s="109">
        <f t="shared" si="3"/>
        <v>0</v>
      </c>
      <c r="J148" s="134">
        <v>0.9</v>
      </c>
      <c r="K148" s="133" t="s">
        <v>1302</v>
      </c>
      <c r="L148" s="136"/>
    </row>
    <row r="149" spans="1:12" ht="14.4" customHeight="1">
      <c r="A149" s="253"/>
      <c r="B149" s="244"/>
      <c r="C149" s="243" t="s">
        <v>1197</v>
      </c>
      <c r="D149" s="78" t="s">
        <v>1194</v>
      </c>
      <c r="E149" s="159"/>
      <c r="F149" s="111" t="s">
        <v>1251</v>
      </c>
      <c r="G149" s="107">
        <v>0.33333333333333331</v>
      </c>
      <c r="H149" s="108">
        <v>0.33333333333333298</v>
      </c>
      <c r="I149" s="109">
        <f t="shared" si="3"/>
        <v>0</v>
      </c>
      <c r="J149" s="109">
        <v>0.9</v>
      </c>
      <c r="K149" s="82" t="s">
        <v>1264</v>
      </c>
      <c r="L149" s="112"/>
    </row>
    <row r="150" spans="1:12" ht="14.4" customHeight="1">
      <c r="A150" s="253"/>
      <c r="B150" s="244"/>
      <c r="C150" s="244"/>
      <c r="D150" s="78" t="s">
        <v>1194</v>
      </c>
      <c r="E150" s="159"/>
      <c r="F150" s="111" t="s">
        <v>1252</v>
      </c>
      <c r="G150" s="107"/>
      <c r="H150" s="108">
        <v>0.33333333333333298</v>
      </c>
      <c r="I150" s="109">
        <f t="shared" si="3"/>
        <v>1</v>
      </c>
      <c r="J150" s="109">
        <v>0.9</v>
      </c>
      <c r="K150" s="82"/>
      <c r="L150" s="82"/>
    </row>
    <row r="151" spans="1:12" ht="15" customHeight="1" thickBot="1">
      <c r="A151" s="253"/>
      <c r="B151" s="245"/>
      <c r="C151" s="245"/>
      <c r="D151" s="78" t="s">
        <v>1194</v>
      </c>
      <c r="E151" s="113"/>
      <c r="F151" s="114" t="s">
        <v>1253</v>
      </c>
      <c r="G151" s="107">
        <v>0.33333333333333331</v>
      </c>
      <c r="H151" s="108">
        <v>0.33333333333333298</v>
      </c>
      <c r="I151" s="109">
        <f t="shared" si="3"/>
        <v>0</v>
      </c>
      <c r="J151" s="109">
        <v>0.9</v>
      </c>
      <c r="K151" s="82" t="s">
        <v>1302</v>
      </c>
      <c r="L151" s="82"/>
    </row>
    <row r="152" spans="1:12" ht="14.4" customHeight="1">
      <c r="A152" s="253"/>
      <c r="B152" s="251">
        <v>45699</v>
      </c>
      <c r="C152" s="248" t="s">
        <v>1198</v>
      </c>
      <c r="D152" s="132" t="s">
        <v>1191</v>
      </c>
      <c r="E152" s="158"/>
      <c r="F152" s="125" t="s">
        <v>1251</v>
      </c>
      <c r="G152" s="126">
        <v>0.33333333333333331</v>
      </c>
      <c r="H152" s="127">
        <v>0.33333333333333298</v>
      </c>
      <c r="I152" s="109">
        <f t="shared" si="3"/>
        <v>0</v>
      </c>
      <c r="J152" s="134">
        <v>0.9</v>
      </c>
      <c r="K152" s="135" t="s">
        <v>1264</v>
      </c>
      <c r="L152" s="137"/>
    </row>
    <row r="153" spans="1:12" ht="14.4" customHeight="1">
      <c r="A153" s="253"/>
      <c r="B153" s="244"/>
      <c r="C153" s="249"/>
      <c r="D153" s="132" t="s">
        <v>1191</v>
      </c>
      <c r="E153" s="158"/>
      <c r="F153" s="125" t="s">
        <v>1252</v>
      </c>
      <c r="G153" s="126"/>
      <c r="H153" s="127">
        <v>0.33333333333333298</v>
      </c>
      <c r="I153" s="109">
        <f t="shared" si="3"/>
        <v>1</v>
      </c>
      <c r="J153" s="134">
        <v>0.9</v>
      </c>
      <c r="K153" s="135"/>
      <c r="L153" s="136"/>
    </row>
    <row r="154" spans="1:12" ht="14.4" customHeight="1">
      <c r="A154" s="253"/>
      <c r="B154" s="244"/>
      <c r="C154" s="250"/>
      <c r="D154" s="132" t="s">
        <v>1191</v>
      </c>
      <c r="E154" s="133"/>
      <c r="F154" s="128" t="s">
        <v>1253</v>
      </c>
      <c r="G154" s="126">
        <v>0.33333333333333331</v>
      </c>
      <c r="H154" s="127">
        <v>0.33333333333333298</v>
      </c>
      <c r="I154" s="109">
        <f t="shared" si="3"/>
        <v>0</v>
      </c>
      <c r="J154" s="134">
        <v>0.9</v>
      </c>
      <c r="K154" s="133" t="s">
        <v>1302</v>
      </c>
      <c r="L154" s="136"/>
    </row>
    <row r="155" spans="1:12" ht="14.4" customHeight="1">
      <c r="A155" s="253"/>
      <c r="B155" s="244"/>
      <c r="C155" s="243" t="s">
        <v>1196</v>
      </c>
      <c r="D155" s="78" t="s">
        <v>1192</v>
      </c>
      <c r="E155" s="159"/>
      <c r="F155" s="111" t="s">
        <v>1251</v>
      </c>
      <c r="G155" s="107">
        <v>0.33333333333333331</v>
      </c>
      <c r="H155" s="108">
        <v>0.33333333333333298</v>
      </c>
      <c r="I155" s="109">
        <f t="shared" si="3"/>
        <v>0</v>
      </c>
      <c r="J155" s="109">
        <v>0.9</v>
      </c>
      <c r="K155" s="82" t="s">
        <v>1264</v>
      </c>
      <c r="L155" s="112"/>
    </row>
    <row r="156" spans="1:12" ht="14.4" customHeight="1">
      <c r="A156" s="253"/>
      <c r="B156" s="244"/>
      <c r="C156" s="244"/>
      <c r="D156" s="78" t="s">
        <v>1192</v>
      </c>
      <c r="E156" s="159"/>
      <c r="F156" s="111" t="s">
        <v>1252</v>
      </c>
      <c r="G156" s="107"/>
      <c r="H156" s="108">
        <v>0.33333333333333298</v>
      </c>
      <c r="I156" s="109">
        <f t="shared" si="3"/>
        <v>1</v>
      </c>
      <c r="J156" s="109">
        <v>0.9</v>
      </c>
      <c r="K156" s="82"/>
      <c r="L156" s="82"/>
    </row>
    <row r="157" spans="1:12" ht="14.4" customHeight="1">
      <c r="A157" s="253"/>
      <c r="B157" s="244"/>
      <c r="C157" s="245"/>
      <c r="D157" s="78" t="s">
        <v>1192</v>
      </c>
      <c r="E157" s="113"/>
      <c r="F157" s="114" t="s">
        <v>1253</v>
      </c>
      <c r="G157" s="107">
        <v>0.33333333333333331</v>
      </c>
      <c r="H157" s="108">
        <v>0.33333333333333298</v>
      </c>
      <c r="I157" s="109">
        <f t="shared" si="3"/>
        <v>0</v>
      </c>
      <c r="J157" s="109">
        <v>0.9</v>
      </c>
      <c r="K157" s="82" t="s">
        <v>1302</v>
      </c>
      <c r="L157" s="82"/>
    </row>
    <row r="158" spans="1:12" ht="14.4" customHeight="1">
      <c r="A158" s="253"/>
      <c r="B158" s="244"/>
      <c r="C158" s="248" t="s">
        <v>1197</v>
      </c>
      <c r="D158" s="132" t="s">
        <v>1194</v>
      </c>
      <c r="E158" s="158"/>
      <c r="F158" s="125" t="s">
        <v>1251</v>
      </c>
      <c r="G158" s="126">
        <v>0.33333333333333331</v>
      </c>
      <c r="H158" s="127">
        <v>0.33333333333333298</v>
      </c>
      <c r="I158" s="109">
        <f t="shared" si="3"/>
        <v>0</v>
      </c>
      <c r="J158" s="134">
        <v>0.9</v>
      </c>
      <c r="K158" s="135" t="s">
        <v>1264</v>
      </c>
      <c r="L158" s="137"/>
    </row>
    <row r="159" spans="1:12" ht="14.4" customHeight="1">
      <c r="A159" s="253"/>
      <c r="B159" s="244"/>
      <c r="C159" s="249"/>
      <c r="D159" s="132" t="s">
        <v>1194</v>
      </c>
      <c r="E159" s="158"/>
      <c r="F159" s="129" t="s">
        <v>1252</v>
      </c>
      <c r="G159" s="126"/>
      <c r="H159" s="127">
        <v>0.33333333333333298</v>
      </c>
      <c r="I159" s="109">
        <f t="shared" si="3"/>
        <v>1</v>
      </c>
      <c r="J159" s="134">
        <v>0.9</v>
      </c>
      <c r="K159" s="135"/>
      <c r="L159" s="136"/>
    </row>
    <row r="160" spans="1:12" ht="15" customHeight="1" thickBot="1">
      <c r="A160" s="253"/>
      <c r="B160" s="245"/>
      <c r="C160" s="250"/>
      <c r="D160" s="132" t="s">
        <v>1194</v>
      </c>
      <c r="E160" s="133"/>
      <c r="F160" s="128" t="s">
        <v>1253</v>
      </c>
      <c r="G160" s="126">
        <v>0.33333333333333331</v>
      </c>
      <c r="H160" s="131">
        <v>0.33333333333333298</v>
      </c>
      <c r="I160" s="115">
        <f t="shared" si="3"/>
        <v>0</v>
      </c>
      <c r="J160" s="134">
        <v>0.9</v>
      </c>
      <c r="K160" s="133" t="s">
        <v>1302</v>
      </c>
      <c r="L160" s="136"/>
    </row>
    <row r="161" spans="1:12" ht="14.4" customHeight="1">
      <c r="A161" s="253"/>
      <c r="B161" s="251">
        <v>45700</v>
      </c>
      <c r="C161" s="243" t="s">
        <v>1198</v>
      </c>
      <c r="D161" s="78" t="s">
        <v>1193</v>
      </c>
      <c r="E161" s="159"/>
      <c r="F161" s="111" t="s">
        <v>1251</v>
      </c>
      <c r="G161" s="107">
        <v>0.33333333333333331</v>
      </c>
      <c r="H161" s="108">
        <v>0.33333333333333298</v>
      </c>
      <c r="I161" s="109">
        <f t="shared" si="3"/>
        <v>0</v>
      </c>
      <c r="J161" s="109">
        <v>0.9</v>
      </c>
      <c r="K161" s="82" t="s">
        <v>1264</v>
      </c>
      <c r="L161" s="112"/>
    </row>
    <row r="162" spans="1:12" ht="14.4" customHeight="1">
      <c r="A162" s="253"/>
      <c r="B162" s="244"/>
      <c r="C162" s="244"/>
      <c r="D162" s="78" t="s">
        <v>1193</v>
      </c>
      <c r="E162" s="159"/>
      <c r="F162" s="106" t="s">
        <v>1252</v>
      </c>
      <c r="G162" s="107"/>
      <c r="H162" s="108">
        <v>0.33333333333333298</v>
      </c>
      <c r="I162" s="109">
        <f t="shared" si="3"/>
        <v>1</v>
      </c>
      <c r="J162" s="109">
        <v>0.9</v>
      </c>
      <c r="K162" s="82"/>
      <c r="L162" s="82"/>
    </row>
    <row r="163" spans="1:12" ht="14.4" customHeight="1">
      <c r="A163" s="253"/>
      <c r="B163" s="244"/>
      <c r="C163" s="245"/>
      <c r="D163" s="78" t="s">
        <v>1193</v>
      </c>
      <c r="E163" s="113"/>
      <c r="F163" s="114" t="s">
        <v>1253</v>
      </c>
      <c r="G163" s="107">
        <v>0.33333333333333331</v>
      </c>
      <c r="H163" s="108">
        <v>0.33333333333333298</v>
      </c>
      <c r="I163" s="109">
        <f t="shared" si="3"/>
        <v>0</v>
      </c>
      <c r="J163" s="109">
        <v>0.9</v>
      </c>
      <c r="K163" s="82" t="s">
        <v>1302</v>
      </c>
      <c r="L163" s="82"/>
    </row>
    <row r="164" spans="1:12" ht="14.4" customHeight="1">
      <c r="A164" s="253"/>
      <c r="B164" s="244"/>
      <c r="C164" s="248" t="s">
        <v>1196</v>
      </c>
      <c r="D164" s="132" t="s">
        <v>1191</v>
      </c>
      <c r="E164" s="158"/>
      <c r="F164" s="125" t="s">
        <v>1251</v>
      </c>
      <c r="G164" s="126">
        <v>0.33333333333333331</v>
      </c>
      <c r="H164" s="127">
        <v>0.33333333333333298</v>
      </c>
      <c r="I164" s="109">
        <f t="shared" si="3"/>
        <v>0</v>
      </c>
      <c r="J164" s="134">
        <v>0.9</v>
      </c>
      <c r="K164" s="135" t="s">
        <v>1264</v>
      </c>
      <c r="L164" s="137"/>
    </row>
    <row r="165" spans="1:12" ht="14.4" customHeight="1">
      <c r="A165" s="253"/>
      <c r="B165" s="244"/>
      <c r="C165" s="249"/>
      <c r="D165" s="132" t="s">
        <v>1191</v>
      </c>
      <c r="E165" s="158"/>
      <c r="F165" s="129" t="s">
        <v>1252</v>
      </c>
      <c r="G165" s="126"/>
      <c r="H165" s="127">
        <v>0.33333333333333298</v>
      </c>
      <c r="I165" s="109">
        <f t="shared" si="3"/>
        <v>1</v>
      </c>
      <c r="J165" s="134">
        <v>0.9</v>
      </c>
      <c r="K165" s="135"/>
      <c r="L165" s="136"/>
    </row>
    <row r="166" spans="1:12" ht="14.4" customHeight="1">
      <c r="A166" s="253"/>
      <c r="B166" s="244"/>
      <c r="C166" s="250"/>
      <c r="D166" s="132" t="s">
        <v>1191</v>
      </c>
      <c r="E166" s="133"/>
      <c r="F166" s="128" t="s">
        <v>1253</v>
      </c>
      <c r="G166" s="126">
        <v>0.33333333333333331</v>
      </c>
      <c r="H166" s="127">
        <v>0.33333333333333298</v>
      </c>
      <c r="I166" s="109">
        <f t="shared" si="3"/>
        <v>0</v>
      </c>
      <c r="J166" s="134">
        <v>0.9</v>
      </c>
      <c r="K166" s="133" t="s">
        <v>1302</v>
      </c>
      <c r="L166" s="136"/>
    </row>
    <row r="167" spans="1:12" ht="14.4" customHeight="1">
      <c r="A167" s="253"/>
      <c r="B167" s="244"/>
      <c r="C167" s="243" t="s">
        <v>1197</v>
      </c>
      <c r="D167" s="78" t="s">
        <v>1192</v>
      </c>
      <c r="E167" s="159"/>
      <c r="F167" s="111" t="s">
        <v>1251</v>
      </c>
      <c r="G167" s="107">
        <v>0.33333333333333331</v>
      </c>
      <c r="H167" s="108">
        <v>0.33333333333333298</v>
      </c>
      <c r="I167" s="109">
        <f t="shared" si="3"/>
        <v>0</v>
      </c>
      <c r="J167" s="109">
        <v>0.9</v>
      </c>
      <c r="K167" s="82" t="s">
        <v>1264</v>
      </c>
      <c r="L167" s="112"/>
    </row>
    <row r="168" spans="1:12" ht="14.4" customHeight="1">
      <c r="A168" s="253"/>
      <c r="B168" s="244"/>
      <c r="C168" s="244"/>
      <c r="D168" s="78" t="s">
        <v>1192</v>
      </c>
      <c r="E168" s="159"/>
      <c r="F168" s="106" t="s">
        <v>1252</v>
      </c>
      <c r="G168" s="107"/>
      <c r="H168" s="108">
        <v>0.33333333333333298</v>
      </c>
      <c r="I168" s="109">
        <f t="shared" si="3"/>
        <v>1</v>
      </c>
      <c r="J168" s="109">
        <v>0.9</v>
      </c>
      <c r="K168" s="82"/>
      <c r="L168" s="82"/>
    </row>
    <row r="169" spans="1:12" ht="15" customHeight="1" thickBot="1">
      <c r="A169" s="253"/>
      <c r="B169" s="245"/>
      <c r="C169" s="245"/>
      <c r="D169" s="78" t="s">
        <v>1192</v>
      </c>
      <c r="E169" s="113"/>
      <c r="F169" s="114" t="s">
        <v>1253</v>
      </c>
      <c r="G169" s="107">
        <v>0.33333333333333331</v>
      </c>
      <c r="H169" s="108">
        <v>0.33333333333333298</v>
      </c>
      <c r="I169" s="109">
        <f t="shared" si="3"/>
        <v>0</v>
      </c>
      <c r="J169" s="109">
        <v>0.9</v>
      </c>
      <c r="K169" s="82" t="s">
        <v>1302</v>
      </c>
      <c r="L169" s="82"/>
    </row>
    <row r="170" spans="1:12" ht="14.4" customHeight="1">
      <c r="A170" s="253"/>
      <c r="B170" s="251">
        <v>45701</v>
      </c>
      <c r="C170" s="248" t="s">
        <v>1198</v>
      </c>
      <c r="D170" s="132" t="s">
        <v>1193</v>
      </c>
      <c r="E170" s="158"/>
      <c r="F170" s="125" t="s">
        <v>1251</v>
      </c>
      <c r="G170" s="126">
        <v>0.33333333333333331</v>
      </c>
      <c r="H170" s="127">
        <v>0.33333333333333298</v>
      </c>
      <c r="I170" s="109">
        <f t="shared" si="3"/>
        <v>0</v>
      </c>
      <c r="J170" s="134">
        <v>0.9</v>
      </c>
      <c r="K170" s="135" t="s">
        <v>1264</v>
      </c>
      <c r="L170" s="137"/>
    </row>
    <row r="171" spans="1:12" ht="14.4" customHeight="1">
      <c r="A171" s="253"/>
      <c r="B171" s="244"/>
      <c r="C171" s="249"/>
      <c r="D171" s="132" t="s">
        <v>1193</v>
      </c>
      <c r="E171" s="158"/>
      <c r="F171" s="129" t="s">
        <v>1252</v>
      </c>
      <c r="G171" s="126">
        <v>0.10972222222222222</v>
      </c>
      <c r="H171" s="127">
        <v>0.33333333333333298</v>
      </c>
      <c r="I171" s="109">
        <f t="shared" si="3"/>
        <v>0.67083333333333295</v>
      </c>
      <c r="J171" s="134">
        <v>0.9</v>
      </c>
      <c r="K171" s="135" t="s">
        <v>1300</v>
      </c>
      <c r="L171" s="136"/>
    </row>
    <row r="172" spans="1:12" ht="14.4" customHeight="1">
      <c r="A172" s="253"/>
      <c r="B172" s="244"/>
      <c r="C172" s="250"/>
      <c r="D172" s="132" t="s">
        <v>1193</v>
      </c>
      <c r="E172" s="133"/>
      <c r="F172" s="128" t="s">
        <v>1253</v>
      </c>
      <c r="G172" s="126">
        <v>0.33333333333333331</v>
      </c>
      <c r="H172" s="127">
        <v>0.33333333333333298</v>
      </c>
      <c r="I172" s="109">
        <f t="shared" si="3"/>
        <v>0</v>
      </c>
      <c r="J172" s="134">
        <v>0.9</v>
      </c>
      <c r="K172" s="133" t="s">
        <v>1302</v>
      </c>
      <c r="L172" s="136"/>
    </row>
    <row r="173" spans="1:12" ht="14.4" customHeight="1">
      <c r="A173" s="253"/>
      <c r="B173" s="244"/>
      <c r="C173" s="243" t="s">
        <v>1196</v>
      </c>
      <c r="D173" s="78" t="s">
        <v>1191</v>
      </c>
      <c r="E173" s="159"/>
      <c r="F173" s="111" t="s">
        <v>1251</v>
      </c>
      <c r="G173" s="107">
        <v>0.33333333333333331</v>
      </c>
      <c r="H173" s="108">
        <v>0.33333333333333298</v>
      </c>
      <c r="I173" s="109">
        <f t="shared" si="3"/>
        <v>0</v>
      </c>
      <c r="J173" s="109">
        <v>0.9</v>
      </c>
      <c r="K173" s="82" t="s">
        <v>1264</v>
      </c>
      <c r="L173" s="112"/>
    </row>
    <row r="174" spans="1:12" ht="14.4" customHeight="1">
      <c r="A174" s="253"/>
      <c r="B174" s="244"/>
      <c r="C174" s="244"/>
      <c r="D174" s="78" t="s">
        <v>1191</v>
      </c>
      <c r="E174" s="159"/>
      <c r="F174" s="106" t="s">
        <v>1252</v>
      </c>
      <c r="G174" s="107"/>
      <c r="H174" s="108">
        <v>0.33333333333333298</v>
      </c>
      <c r="I174" s="109">
        <f t="shared" si="3"/>
        <v>1</v>
      </c>
      <c r="J174" s="109">
        <v>0.9</v>
      </c>
      <c r="K174" s="82"/>
      <c r="L174" s="82"/>
    </row>
    <row r="175" spans="1:12" ht="14.4" customHeight="1">
      <c r="A175" s="253"/>
      <c r="B175" s="244"/>
      <c r="C175" s="245"/>
      <c r="D175" s="78" t="s">
        <v>1191</v>
      </c>
      <c r="E175" s="113"/>
      <c r="F175" s="114" t="s">
        <v>1253</v>
      </c>
      <c r="G175" s="107"/>
      <c r="H175" s="108">
        <v>0.33333333333333298</v>
      </c>
      <c r="I175" s="109">
        <f t="shared" si="3"/>
        <v>1</v>
      </c>
      <c r="J175" s="109">
        <v>0.9</v>
      </c>
      <c r="K175" s="82"/>
      <c r="L175" s="82"/>
    </row>
    <row r="176" spans="1:12" ht="14.4" customHeight="1">
      <c r="A176" s="253"/>
      <c r="B176" s="244"/>
      <c r="C176" s="248" t="s">
        <v>1197</v>
      </c>
      <c r="D176" s="132" t="s">
        <v>1192</v>
      </c>
      <c r="E176" s="158"/>
      <c r="F176" s="125" t="s">
        <v>1251</v>
      </c>
      <c r="G176" s="126">
        <v>0.33333333333333331</v>
      </c>
      <c r="H176" s="127">
        <v>0.33333333333333298</v>
      </c>
      <c r="I176" s="109">
        <f t="shared" si="3"/>
        <v>0</v>
      </c>
      <c r="J176" s="134">
        <v>0.9</v>
      </c>
      <c r="K176" s="133" t="s">
        <v>1264</v>
      </c>
      <c r="L176" s="137"/>
    </row>
    <row r="177" spans="1:12" ht="14.4" customHeight="1">
      <c r="A177" s="253"/>
      <c r="B177" s="244"/>
      <c r="C177" s="249"/>
      <c r="D177" s="132" t="s">
        <v>1192</v>
      </c>
      <c r="E177" s="158"/>
      <c r="F177" s="129" t="s">
        <v>1252</v>
      </c>
      <c r="G177" s="126"/>
      <c r="H177" s="127">
        <v>0.33333333333333298</v>
      </c>
      <c r="I177" s="109">
        <f t="shared" si="3"/>
        <v>1</v>
      </c>
      <c r="J177" s="134">
        <v>0.9</v>
      </c>
      <c r="K177" s="135"/>
      <c r="L177" s="136"/>
    </row>
    <row r="178" spans="1:12" ht="15" customHeight="1" thickBot="1">
      <c r="A178" s="253"/>
      <c r="B178" s="245"/>
      <c r="C178" s="250"/>
      <c r="D178" s="132" t="s">
        <v>1192</v>
      </c>
      <c r="E178" s="133"/>
      <c r="F178" s="128" t="s">
        <v>1253</v>
      </c>
      <c r="G178" s="126"/>
      <c r="H178" s="127">
        <v>0.33333333333333298</v>
      </c>
      <c r="I178" s="109">
        <f t="shared" si="3"/>
        <v>1</v>
      </c>
      <c r="J178" s="134">
        <v>0.9</v>
      </c>
      <c r="K178" s="133"/>
      <c r="L178" s="136"/>
    </row>
    <row r="179" spans="1:12" ht="14.4" customHeight="1">
      <c r="A179" s="253"/>
      <c r="B179" s="251">
        <v>45702</v>
      </c>
      <c r="C179" s="243" t="s">
        <v>1198</v>
      </c>
      <c r="D179" s="78" t="s">
        <v>1194</v>
      </c>
      <c r="E179" s="159"/>
      <c r="F179" s="111" t="s">
        <v>1251</v>
      </c>
      <c r="G179" s="107">
        <v>0.33333333333333331</v>
      </c>
      <c r="H179" s="108">
        <v>0.33333333333333298</v>
      </c>
      <c r="I179" s="109">
        <f t="shared" si="3"/>
        <v>0</v>
      </c>
      <c r="J179" s="109">
        <v>0.9</v>
      </c>
      <c r="K179" s="82" t="s">
        <v>1264</v>
      </c>
      <c r="L179" s="112"/>
    </row>
    <row r="180" spans="1:12" ht="14.4" customHeight="1">
      <c r="A180" s="253"/>
      <c r="B180" s="244"/>
      <c r="C180" s="244"/>
      <c r="D180" s="78" t="s">
        <v>1194</v>
      </c>
      <c r="E180" s="159"/>
      <c r="F180" s="106" t="s">
        <v>1252</v>
      </c>
      <c r="G180" s="107"/>
      <c r="H180" s="108">
        <v>0.33333333333333298</v>
      </c>
      <c r="I180" s="109">
        <f t="shared" si="3"/>
        <v>1</v>
      </c>
      <c r="J180" s="109">
        <v>0.9</v>
      </c>
      <c r="K180" s="82"/>
      <c r="L180" s="82"/>
    </row>
    <row r="181" spans="1:12" ht="14.4" customHeight="1">
      <c r="A181" s="253"/>
      <c r="B181" s="244"/>
      <c r="C181" s="245"/>
      <c r="D181" s="78" t="s">
        <v>1194</v>
      </c>
      <c r="E181" s="113"/>
      <c r="F181" s="114" t="s">
        <v>1253</v>
      </c>
      <c r="G181" s="107"/>
      <c r="H181" s="108">
        <v>0.33333333333333298</v>
      </c>
      <c r="I181" s="109">
        <f t="shared" si="3"/>
        <v>1</v>
      </c>
      <c r="J181" s="109">
        <v>0.9</v>
      </c>
      <c r="K181" s="82"/>
      <c r="L181" s="82"/>
    </row>
    <row r="182" spans="1:12" ht="14.4" customHeight="1">
      <c r="A182" s="253"/>
      <c r="B182" s="244"/>
      <c r="C182" s="248" t="s">
        <v>1196</v>
      </c>
      <c r="D182" s="132" t="s">
        <v>1193</v>
      </c>
      <c r="E182" s="158"/>
      <c r="F182" s="125" t="s">
        <v>1251</v>
      </c>
      <c r="G182" s="126">
        <v>0.33333333333333331</v>
      </c>
      <c r="H182" s="127">
        <v>0.33333333333333298</v>
      </c>
      <c r="I182" s="109">
        <f t="shared" si="3"/>
        <v>0</v>
      </c>
      <c r="J182" s="134">
        <v>0.9</v>
      </c>
      <c r="K182" s="135" t="s">
        <v>1264</v>
      </c>
      <c r="L182" s="137"/>
    </row>
    <row r="183" spans="1:12" ht="14.4" customHeight="1">
      <c r="A183" s="253"/>
      <c r="B183" s="244"/>
      <c r="C183" s="249"/>
      <c r="D183" s="132" t="s">
        <v>1193</v>
      </c>
      <c r="E183" s="158"/>
      <c r="F183" s="129" t="s">
        <v>1252</v>
      </c>
      <c r="G183" s="126"/>
      <c r="H183" s="127">
        <v>0.33333333333333298</v>
      </c>
      <c r="I183" s="109">
        <f t="shared" si="3"/>
        <v>1</v>
      </c>
      <c r="J183" s="134">
        <v>0.9</v>
      </c>
      <c r="K183" s="135"/>
      <c r="L183" s="136"/>
    </row>
    <row r="184" spans="1:12" ht="14.4" customHeight="1">
      <c r="A184" s="253"/>
      <c r="B184" s="244"/>
      <c r="C184" s="250"/>
      <c r="D184" s="132" t="s">
        <v>1193</v>
      </c>
      <c r="E184" s="133"/>
      <c r="F184" s="128" t="s">
        <v>1253</v>
      </c>
      <c r="G184" s="126"/>
      <c r="H184" s="127">
        <v>0.33333333333333298</v>
      </c>
      <c r="I184" s="109">
        <f t="shared" si="3"/>
        <v>1</v>
      </c>
      <c r="J184" s="134">
        <v>0.9</v>
      </c>
      <c r="K184" s="133"/>
      <c r="L184" s="136"/>
    </row>
    <row r="185" spans="1:12" ht="14.4" customHeight="1">
      <c r="A185" s="253"/>
      <c r="B185" s="244"/>
      <c r="C185" s="243" t="s">
        <v>1197</v>
      </c>
      <c r="D185" s="78" t="s">
        <v>1191</v>
      </c>
      <c r="E185" s="159"/>
      <c r="F185" s="111" t="s">
        <v>1251</v>
      </c>
      <c r="G185" s="107">
        <v>0.33333333333333331</v>
      </c>
      <c r="H185" s="108">
        <v>0.33333333333333298</v>
      </c>
      <c r="I185" s="109">
        <f t="shared" si="3"/>
        <v>0</v>
      </c>
      <c r="J185" s="109">
        <v>0.9</v>
      </c>
      <c r="K185" s="82" t="s">
        <v>1264</v>
      </c>
      <c r="L185" s="82"/>
    </row>
    <row r="186" spans="1:12" ht="14.4" customHeight="1">
      <c r="A186" s="253"/>
      <c r="B186" s="244"/>
      <c r="C186" s="244"/>
      <c r="D186" s="78" t="s">
        <v>1191</v>
      </c>
      <c r="E186" s="159"/>
      <c r="F186" s="106" t="s">
        <v>1252</v>
      </c>
      <c r="G186" s="107"/>
      <c r="H186" s="108">
        <v>0.33333333333333298</v>
      </c>
      <c r="I186" s="109">
        <f t="shared" si="3"/>
        <v>1</v>
      </c>
      <c r="J186" s="109">
        <v>0.9</v>
      </c>
      <c r="K186" s="82"/>
      <c r="L186" s="82"/>
    </row>
    <row r="187" spans="1:12" ht="14.4" customHeight="1" thickBot="1">
      <c r="A187" s="253"/>
      <c r="B187" s="245"/>
      <c r="C187" s="245"/>
      <c r="D187" s="78" t="s">
        <v>1191</v>
      </c>
      <c r="E187" s="113"/>
      <c r="F187" s="114" t="s">
        <v>1253</v>
      </c>
      <c r="G187" s="107"/>
      <c r="H187" s="123">
        <v>0.33333333333333298</v>
      </c>
      <c r="I187" s="109">
        <f t="shared" si="3"/>
        <v>1</v>
      </c>
      <c r="J187" s="109">
        <v>0.9</v>
      </c>
      <c r="K187" s="82"/>
      <c r="L187" s="82"/>
    </row>
    <row r="188" spans="1:12" ht="14.4" customHeight="1">
      <c r="A188" s="253"/>
      <c r="B188" s="251">
        <v>45703</v>
      </c>
      <c r="C188" s="243" t="s">
        <v>1198</v>
      </c>
      <c r="D188" s="78" t="s">
        <v>1194</v>
      </c>
      <c r="E188" s="159"/>
      <c r="F188" s="111" t="s">
        <v>1251</v>
      </c>
      <c r="G188" s="107">
        <v>0.33333333333333331</v>
      </c>
      <c r="H188" s="108">
        <v>0.33333333333333298</v>
      </c>
      <c r="I188" s="109">
        <f t="shared" ref="I188:I196" si="4">1-(G188/H188)</f>
        <v>0</v>
      </c>
      <c r="J188" s="109">
        <v>0.9</v>
      </c>
      <c r="K188" s="82" t="s">
        <v>1264</v>
      </c>
      <c r="L188" s="112"/>
    </row>
    <row r="189" spans="1:12" ht="14.4" customHeight="1">
      <c r="A189" s="253"/>
      <c r="B189" s="244"/>
      <c r="C189" s="244"/>
      <c r="D189" s="78" t="s">
        <v>1194</v>
      </c>
      <c r="E189" s="159"/>
      <c r="F189" s="106" t="s">
        <v>1252</v>
      </c>
      <c r="G189" s="107"/>
      <c r="H189" s="108">
        <v>0.33333333333333298</v>
      </c>
      <c r="I189" s="109">
        <f t="shared" si="4"/>
        <v>1</v>
      </c>
      <c r="J189" s="109">
        <v>0.9</v>
      </c>
      <c r="K189" s="82"/>
      <c r="L189" s="82"/>
    </row>
    <row r="190" spans="1:12" ht="14.4" customHeight="1">
      <c r="A190" s="253"/>
      <c r="B190" s="244"/>
      <c r="C190" s="245"/>
      <c r="D190" s="78" t="s">
        <v>1194</v>
      </c>
      <c r="E190" s="113"/>
      <c r="F190" s="114" t="s">
        <v>1253</v>
      </c>
      <c r="G190" s="107"/>
      <c r="H190" s="108">
        <v>0.33333333333333298</v>
      </c>
      <c r="I190" s="109">
        <f t="shared" si="4"/>
        <v>1</v>
      </c>
      <c r="J190" s="109">
        <v>0.9</v>
      </c>
      <c r="K190" s="82"/>
      <c r="L190" s="82"/>
    </row>
    <row r="191" spans="1:12" ht="14.4" customHeight="1">
      <c r="A191" s="253"/>
      <c r="B191" s="244"/>
      <c r="C191" s="248" t="s">
        <v>1196</v>
      </c>
      <c r="D191" s="132" t="s">
        <v>1193</v>
      </c>
      <c r="E191" s="158"/>
      <c r="F191" s="125" t="s">
        <v>1251</v>
      </c>
      <c r="G191" s="126">
        <v>0.33333333333333331</v>
      </c>
      <c r="H191" s="127">
        <v>0.33333333333333298</v>
      </c>
      <c r="I191" s="109">
        <f t="shared" si="4"/>
        <v>0</v>
      </c>
      <c r="J191" s="134">
        <v>0.9</v>
      </c>
      <c r="K191" s="135" t="s">
        <v>1264</v>
      </c>
      <c r="L191" s="137"/>
    </row>
    <row r="192" spans="1:12" ht="14.4" customHeight="1">
      <c r="A192" s="253"/>
      <c r="B192" s="244"/>
      <c r="C192" s="249"/>
      <c r="D192" s="132" t="s">
        <v>1193</v>
      </c>
      <c r="E192" s="158"/>
      <c r="F192" s="129" t="s">
        <v>1252</v>
      </c>
      <c r="G192" s="126"/>
      <c r="H192" s="127">
        <v>0.33333333333333298</v>
      </c>
      <c r="I192" s="109">
        <f t="shared" si="4"/>
        <v>1</v>
      </c>
      <c r="J192" s="134">
        <v>0.9</v>
      </c>
      <c r="K192" s="135"/>
      <c r="L192" s="136"/>
    </row>
    <row r="193" spans="1:12" ht="14.4" customHeight="1">
      <c r="A193" s="253"/>
      <c r="B193" s="244"/>
      <c r="C193" s="250"/>
      <c r="D193" s="132" t="s">
        <v>1193</v>
      </c>
      <c r="E193" s="133"/>
      <c r="F193" s="128" t="s">
        <v>1253</v>
      </c>
      <c r="G193" s="126"/>
      <c r="H193" s="127">
        <v>0.33333333333333298</v>
      </c>
      <c r="I193" s="109">
        <f t="shared" si="4"/>
        <v>1</v>
      </c>
      <c r="J193" s="134">
        <v>0.9</v>
      </c>
      <c r="K193" s="133"/>
      <c r="L193" s="136"/>
    </row>
    <row r="194" spans="1:12" ht="14.4" customHeight="1">
      <c r="A194" s="253"/>
      <c r="B194" s="244"/>
      <c r="C194" s="243" t="s">
        <v>1197</v>
      </c>
      <c r="D194" s="78" t="s">
        <v>1191</v>
      </c>
      <c r="E194" s="159"/>
      <c r="F194" s="111" t="s">
        <v>1251</v>
      </c>
      <c r="G194" s="107">
        <v>0.33333333333333331</v>
      </c>
      <c r="H194" s="108">
        <v>0.33333333333333298</v>
      </c>
      <c r="I194" s="109">
        <f t="shared" si="4"/>
        <v>0</v>
      </c>
      <c r="J194" s="109">
        <v>0.9</v>
      </c>
      <c r="K194" s="82" t="s">
        <v>1264</v>
      </c>
      <c r="L194" s="82"/>
    </row>
    <row r="195" spans="1:12" ht="14.4" customHeight="1">
      <c r="A195" s="253"/>
      <c r="B195" s="244"/>
      <c r="C195" s="244"/>
      <c r="D195" s="78" t="s">
        <v>1191</v>
      </c>
      <c r="E195" s="159"/>
      <c r="F195" s="106" t="s">
        <v>1252</v>
      </c>
      <c r="G195" s="107"/>
      <c r="H195" s="108">
        <v>0.33333333333333298</v>
      </c>
      <c r="I195" s="109">
        <f t="shared" si="4"/>
        <v>1</v>
      </c>
      <c r="J195" s="109">
        <v>0.9</v>
      </c>
      <c r="K195" s="82"/>
      <c r="L195" s="82"/>
    </row>
    <row r="196" spans="1:12" ht="14.4" customHeight="1" thickBot="1">
      <c r="A196" s="253"/>
      <c r="B196" s="245"/>
      <c r="C196" s="245"/>
      <c r="D196" s="78" t="s">
        <v>1191</v>
      </c>
      <c r="E196" s="113"/>
      <c r="F196" s="114" t="s">
        <v>1253</v>
      </c>
      <c r="G196" s="107">
        <v>1.2500000000000001E-2</v>
      </c>
      <c r="H196" s="123">
        <v>0.33333333333333298</v>
      </c>
      <c r="I196" s="109">
        <f t="shared" si="4"/>
        <v>0.96249999999999991</v>
      </c>
      <c r="J196" s="109">
        <v>0.9</v>
      </c>
      <c r="K196" s="82"/>
      <c r="L196" s="82"/>
    </row>
    <row r="197" spans="1:12" ht="14.4" customHeight="1">
      <c r="A197" s="253"/>
      <c r="B197" s="251">
        <v>45704</v>
      </c>
      <c r="C197" s="243" t="s">
        <v>1198</v>
      </c>
      <c r="D197" s="78" t="s">
        <v>1192</v>
      </c>
      <c r="E197" s="159"/>
      <c r="F197" s="111" t="s">
        <v>1251</v>
      </c>
      <c r="G197" s="107">
        <v>0.33333333333333331</v>
      </c>
      <c r="H197" s="108">
        <v>0.33333333333333298</v>
      </c>
      <c r="I197" s="109">
        <f t="shared" ref="I197:I205" si="5">1-(G197/H197)</f>
        <v>0</v>
      </c>
      <c r="J197" s="109">
        <v>0.9</v>
      </c>
      <c r="K197" s="82" t="s">
        <v>1264</v>
      </c>
      <c r="L197" s="112"/>
    </row>
    <row r="198" spans="1:12" ht="14.4" customHeight="1">
      <c r="A198" s="253"/>
      <c r="B198" s="244"/>
      <c r="C198" s="244"/>
      <c r="D198" s="78" t="s">
        <v>1192</v>
      </c>
      <c r="E198" s="159"/>
      <c r="F198" s="106" t="s">
        <v>1252</v>
      </c>
      <c r="G198" s="107">
        <v>3.7499999999999999E-2</v>
      </c>
      <c r="H198" s="108">
        <v>0.33333333333333298</v>
      </c>
      <c r="I198" s="109">
        <f t="shared" si="5"/>
        <v>0.88749999999999984</v>
      </c>
      <c r="J198" s="109">
        <v>0.9</v>
      </c>
      <c r="K198" s="82" t="s">
        <v>1301</v>
      </c>
      <c r="L198" s="82"/>
    </row>
    <row r="199" spans="1:12" ht="14.4" customHeight="1">
      <c r="A199" s="253"/>
      <c r="B199" s="244"/>
      <c r="C199" s="245"/>
      <c r="D199" s="78" t="s">
        <v>1192</v>
      </c>
      <c r="E199" s="113"/>
      <c r="F199" s="114" t="s">
        <v>1253</v>
      </c>
      <c r="G199" s="107">
        <v>7.9166666666666705E-2</v>
      </c>
      <c r="H199" s="108">
        <v>0.33333333333333298</v>
      </c>
      <c r="I199" s="109">
        <f t="shared" si="5"/>
        <v>0.76249999999999962</v>
      </c>
      <c r="J199" s="109">
        <v>0.9</v>
      </c>
      <c r="K199" s="82"/>
      <c r="L199" s="82"/>
    </row>
    <row r="200" spans="1:12" ht="14.4" customHeight="1">
      <c r="A200" s="253"/>
      <c r="B200" s="244"/>
      <c r="C200" s="248" t="s">
        <v>1196</v>
      </c>
      <c r="D200" s="132" t="s">
        <v>1194</v>
      </c>
      <c r="E200" s="158"/>
      <c r="F200" s="125" t="s">
        <v>1251</v>
      </c>
      <c r="G200" s="126">
        <v>0.33333333333333331</v>
      </c>
      <c r="H200" s="127">
        <v>0.33333333333333298</v>
      </c>
      <c r="I200" s="109">
        <f t="shared" si="5"/>
        <v>0</v>
      </c>
      <c r="J200" s="134">
        <v>0.9</v>
      </c>
      <c r="K200" s="135" t="s">
        <v>1264</v>
      </c>
      <c r="L200" s="137"/>
    </row>
    <row r="201" spans="1:12" ht="14.4" customHeight="1">
      <c r="A201" s="253"/>
      <c r="B201" s="244"/>
      <c r="C201" s="249"/>
      <c r="D201" s="132" t="s">
        <v>1194</v>
      </c>
      <c r="E201" s="158"/>
      <c r="F201" s="129" t="s">
        <v>1252</v>
      </c>
      <c r="G201" s="126"/>
      <c r="H201" s="127">
        <v>0.33333333333333298</v>
      </c>
      <c r="I201" s="109">
        <f t="shared" si="5"/>
        <v>1</v>
      </c>
      <c r="J201" s="134">
        <v>0.9</v>
      </c>
      <c r="K201" s="135"/>
      <c r="L201" s="136"/>
    </row>
    <row r="202" spans="1:12" ht="14.4" customHeight="1">
      <c r="A202" s="253"/>
      <c r="B202" s="244"/>
      <c r="C202" s="250"/>
      <c r="D202" s="132" t="s">
        <v>1194</v>
      </c>
      <c r="E202" s="133"/>
      <c r="F202" s="128" t="s">
        <v>1253</v>
      </c>
      <c r="G202" s="126"/>
      <c r="H202" s="127">
        <v>0.33333333333333298</v>
      </c>
      <c r="I202" s="109">
        <f t="shared" si="5"/>
        <v>1</v>
      </c>
      <c r="J202" s="134">
        <v>0.9</v>
      </c>
      <c r="K202" s="133"/>
      <c r="L202" s="136"/>
    </row>
    <row r="203" spans="1:12" ht="14.4" customHeight="1">
      <c r="A203" s="253"/>
      <c r="B203" s="244"/>
      <c r="C203" s="243" t="s">
        <v>1197</v>
      </c>
      <c r="D203" s="78" t="s">
        <v>1193</v>
      </c>
      <c r="E203" s="159"/>
      <c r="F203" s="111" t="s">
        <v>1251</v>
      </c>
      <c r="G203" s="107">
        <v>0.33333333333333331</v>
      </c>
      <c r="H203" s="108">
        <v>0.33333333333333298</v>
      </c>
      <c r="I203" s="109">
        <f t="shared" si="5"/>
        <v>0</v>
      </c>
      <c r="J203" s="109">
        <v>0.9</v>
      </c>
      <c r="K203" s="82" t="s">
        <v>1264</v>
      </c>
      <c r="L203" s="82"/>
    </row>
    <row r="204" spans="1:12" ht="14.4" customHeight="1">
      <c r="A204" s="253"/>
      <c r="B204" s="244"/>
      <c r="C204" s="244"/>
      <c r="D204" s="78" t="s">
        <v>1193</v>
      </c>
      <c r="E204" s="159"/>
      <c r="F204" s="106" t="s">
        <v>1252</v>
      </c>
      <c r="G204" s="107"/>
      <c r="H204" s="108">
        <v>0.33333333333333298</v>
      </c>
      <c r="I204" s="109">
        <f t="shared" si="5"/>
        <v>1</v>
      </c>
      <c r="J204" s="109">
        <v>0.9</v>
      </c>
      <c r="K204" s="82"/>
      <c r="L204" s="82"/>
    </row>
    <row r="205" spans="1:12" ht="14.4" customHeight="1">
      <c r="A205" s="253"/>
      <c r="B205" s="245"/>
      <c r="C205" s="245"/>
      <c r="D205" s="78" t="s">
        <v>1193</v>
      </c>
      <c r="E205" s="113"/>
      <c r="F205" s="114" t="s">
        <v>1253</v>
      </c>
      <c r="G205" s="107"/>
      <c r="H205" s="123">
        <v>0.33333333333333298</v>
      </c>
      <c r="I205" s="109">
        <f t="shared" si="5"/>
        <v>1</v>
      </c>
      <c r="J205" s="109">
        <v>0.9</v>
      </c>
      <c r="K205" s="82"/>
      <c r="L205" s="82"/>
    </row>
    <row r="206" spans="1:12" ht="14.4" customHeight="1">
      <c r="A206" s="253"/>
      <c r="B206" s="117"/>
      <c r="C206" s="117"/>
      <c r="D206" s="118"/>
      <c r="E206" s="118"/>
      <c r="F206" s="119" t="s">
        <v>1251</v>
      </c>
      <c r="G206" s="124"/>
      <c r="H206" s="124"/>
      <c r="I206" s="120">
        <f>AVERAGEIF(F143:F205,F206,I143:I205)</f>
        <v>0</v>
      </c>
      <c r="J206" s="121">
        <v>0.9</v>
      </c>
      <c r="K206" s="118"/>
      <c r="L206" s="116"/>
    </row>
    <row r="207" spans="1:12" ht="14.4" customHeight="1">
      <c r="A207" s="253"/>
      <c r="B207" s="117"/>
      <c r="C207" s="117"/>
      <c r="D207" s="118"/>
      <c r="E207" s="118"/>
      <c r="F207" s="119" t="s">
        <v>1252</v>
      </c>
      <c r="G207" s="124"/>
      <c r="H207" s="124"/>
      <c r="I207" s="120">
        <f>AVERAGEIF(F143:F205,F207,I143:I205)</f>
        <v>0.97896825396825393</v>
      </c>
      <c r="J207" s="121">
        <v>0.9</v>
      </c>
      <c r="K207" s="118"/>
      <c r="L207" s="116"/>
    </row>
    <row r="208" spans="1:12" ht="14.4" customHeight="1" thickBot="1">
      <c r="A208" s="253"/>
      <c r="B208" s="117"/>
      <c r="C208" s="117"/>
      <c r="D208" s="118"/>
      <c r="E208" s="118"/>
      <c r="F208" s="119" t="s">
        <v>1253</v>
      </c>
      <c r="G208" s="124"/>
      <c r="H208" s="124"/>
      <c r="I208" s="120">
        <f>AVERAGEIF(F143:F205,F208,I143:I205)</f>
        <v>0.55833333333333335</v>
      </c>
      <c r="J208" s="121">
        <v>0.9</v>
      </c>
      <c r="K208" s="118"/>
      <c r="L208" s="116"/>
    </row>
    <row r="209" spans="1:12" ht="14.4" customHeight="1">
      <c r="A209" s="252" t="s">
        <v>1309</v>
      </c>
      <c r="B209" s="251">
        <v>45705</v>
      </c>
      <c r="C209" s="243" t="s">
        <v>1198</v>
      </c>
      <c r="D209" s="110" t="s">
        <v>1201</v>
      </c>
      <c r="E209" s="156"/>
      <c r="F209" s="111" t="s">
        <v>1251</v>
      </c>
      <c r="G209" s="107">
        <v>0.33333333333333331</v>
      </c>
      <c r="H209" s="108">
        <v>0.33333333333333331</v>
      </c>
      <c r="I209" s="109">
        <f>1-(G209/H209)</f>
        <v>0</v>
      </c>
      <c r="J209" s="109">
        <v>0.9</v>
      </c>
      <c r="K209" s="82" t="s">
        <v>1264</v>
      </c>
      <c r="L209" s="82"/>
    </row>
    <row r="210" spans="1:12" ht="14.4" customHeight="1">
      <c r="A210" s="253"/>
      <c r="B210" s="244"/>
      <c r="C210" s="244"/>
      <c r="D210" s="110" t="s">
        <v>1201</v>
      </c>
      <c r="E210" s="156"/>
      <c r="F210" s="111" t="s">
        <v>1252</v>
      </c>
      <c r="G210" s="107"/>
      <c r="H210" s="108">
        <v>0.33333333333333331</v>
      </c>
      <c r="I210" s="109">
        <f>1-(G210/H210)</f>
        <v>1</v>
      </c>
      <c r="J210" s="109">
        <v>0.9</v>
      </c>
      <c r="K210" s="82"/>
      <c r="L210" s="82"/>
    </row>
    <row r="211" spans="1:12" ht="14.4" customHeight="1">
      <c r="A211" s="253"/>
      <c r="B211" s="244"/>
      <c r="C211" s="245"/>
      <c r="D211" s="110" t="s">
        <v>1201</v>
      </c>
      <c r="E211" s="157"/>
      <c r="F211" s="114" t="s">
        <v>1253</v>
      </c>
      <c r="G211" s="107"/>
      <c r="H211" s="108">
        <v>0.33333333333333298</v>
      </c>
      <c r="I211" s="109">
        <f t="shared" ref="I211:I244" si="6">1-(G211/H211)</f>
        <v>1</v>
      </c>
      <c r="J211" s="109">
        <v>0.9</v>
      </c>
      <c r="K211" s="82"/>
      <c r="L211" s="82"/>
    </row>
    <row r="212" spans="1:12" ht="14.4" customHeight="1">
      <c r="A212" s="253"/>
      <c r="B212" s="244"/>
      <c r="C212" s="248" t="s">
        <v>1196</v>
      </c>
      <c r="D212" s="132" t="s">
        <v>1194</v>
      </c>
      <c r="E212" s="158"/>
      <c r="F212" s="125" t="s">
        <v>1251</v>
      </c>
      <c r="G212" s="126">
        <v>0.33333333333333331</v>
      </c>
      <c r="H212" s="127">
        <v>0.33333333333333331</v>
      </c>
      <c r="I212" s="109">
        <f t="shared" si="6"/>
        <v>0</v>
      </c>
      <c r="J212" s="134">
        <v>0.9</v>
      </c>
      <c r="K212" s="135" t="s">
        <v>1264</v>
      </c>
      <c r="L212" s="136"/>
    </row>
    <row r="213" spans="1:12" ht="14.4" customHeight="1">
      <c r="A213" s="253"/>
      <c r="B213" s="244"/>
      <c r="C213" s="249"/>
      <c r="D213" s="132" t="s">
        <v>1194</v>
      </c>
      <c r="E213" s="158"/>
      <c r="F213" s="125" t="s">
        <v>1252</v>
      </c>
      <c r="G213" s="126"/>
      <c r="H213" s="127">
        <v>0.33333333333333298</v>
      </c>
      <c r="I213" s="109">
        <f t="shared" si="6"/>
        <v>1</v>
      </c>
      <c r="J213" s="134">
        <v>0.9</v>
      </c>
      <c r="K213" s="135"/>
      <c r="L213" s="136"/>
    </row>
    <row r="214" spans="1:12" ht="14.4" customHeight="1">
      <c r="A214" s="253"/>
      <c r="B214" s="244"/>
      <c r="C214" s="250"/>
      <c r="D214" s="132" t="s">
        <v>1194</v>
      </c>
      <c r="E214" s="133"/>
      <c r="F214" s="128" t="s">
        <v>1253</v>
      </c>
      <c r="G214" s="126"/>
      <c r="H214" s="127">
        <v>0.33333333333333298</v>
      </c>
      <c r="I214" s="109">
        <f t="shared" si="6"/>
        <v>1</v>
      </c>
      <c r="J214" s="134">
        <v>0.9</v>
      </c>
      <c r="K214" s="133"/>
      <c r="L214" s="136"/>
    </row>
    <row r="215" spans="1:12" ht="14.4" customHeight="1">
      <c r="A215" s="253"/>
      <c r="B215" s="244"/>
      <c r="C215" s="243" t="s">
        <v>1197</v>
      </c>
      <c r="D215" s="78" t="s">
        <v>1193</v>
      </c>
      <c r="E215" s="159"/>
      <c r="F215" s="111" t="s">
        <v>1251</v>
      </c>
      <c r="G215" s="107">
        <v>0.33333333333333331</v>
      </c>
      <c r="H215" s="108">
        <v>0.33333333333333298</v>
      </c>
      <c r="I215" s="109">
        <f t="shared" si="6"/>
        <v>0</v>
      </c>
      <c r="J215" s="109">
        <v>0.9</v>
      </c>
      <c r="K215" s="82" t="s">
        <v>1264</v>
      </c>
      <c r="L215" s="112"/>
    </row>
    <row r="216" spans="1:12" ht="14.4" customHeight="1">
      <c r="A216" s="253"/>
      <c r="B216" s="244"/>
      <c r="C216" s="244"/>
      <c r="D216" s="78" t="s">
        <v>1193</v>
      </c>
      <c r="E216" s="159"/>
      <c r="F216" s="111" t="s">
        <v>1252</v>
      </c>
      <c r="G216" s="107"/>
      <c r="H216" s="108">
        <v>0.33333333333333298</v>
      </c>
      <c r="I216" s="109">
        <f t="shared" si="6"/>
        <v>1</v>
      </c>
      <c r="J216" s="109">
        <v>0.9</v>
      </c>
      <c r="K216" s="82"/>
      <c r="L216" s="82"/>
    </row>
    <row r="217" spans="1:12" ht="15" customHeight="1" thickBot="1">
      <c r="A217" s="253"/>
      <c r="B217" s="245"/>
      <c r="C217" s="245"/>
      <c r="D217" s="78" t="s">
        <v>1193</v>
      </c>
      <c r="E217" s="113"/>
      <c r="F217" s="114" t="s">
        <v>1253</v>
      </c>
      <c r="G217" s="107"/>
      <c r="H217" s="108">
        <v>0.33333333333333298</v>
      </c>
      <c r="I217" s="109">
        <f t="shared" si="6"/>
        <v>1</v>
      </c>
      <c r="J217" s="109">
        <v>0.9</v>
      </c>
      <c r="K217" s="82"/>
      <c r="L217" s="82"/>
    </row>
    <row r="218" spans="1:12" ht="14.4" customHeight="1">
      <c r="A218" s="253"/>
      <c r="B218" s="251">
        <v>45706</v>
      </c>
      <c r="C218" s="248" t="s">
        <v>1198</v>
      </c>
      <c r="D218" s="132" t="s">
        <v>1191</v>
      </c>
      <c r="E218" s="158"/>
      <c r="F218" s="125" t="s">
        <v>1251</v>
      </c>
      <c r="G218" s="126">
        <v>0.33333333333333331</v>
      </c>
      <c r="H218" s="127">
        <v>0.33333333333333298</v>
      </c>
      <c r="I218" s="109">
        <f t="shared" si="6"/>
        <v>0</v>
      </c>
      <c r="J218" s="134">
        <v>0.9</v>
      </c>
      <c r="K218" s="135" t="s">
        <v>1264</v>
      </c>
      <c r="L218" s="137"/>
    </row>
    <row r="219" spans="1:12" ht="14.4" customHeight="1">
      <c r="A219" s="253"/>
      <c r="B219" s="244"/>
      <c r="C219" s="249"/>
      <c r="D219" s="132" t="s">
        <v>1191</v>
      </c>
      <c r="E219" s="158"/>
      <c r="F219" s="125" t="s">
        <v>1252</v>
      </c>
      <c r="G219" s="126"/>
      <c r="H219" s="127">
        <v>0.33333333333333298</v>
      </c>
      <c r="I219" s="109">
        <f t="shared" si="6"/>
        <v>1</v>
      </c>
      <c r="J219" s="134">
        <v>0.9</v>
      </c>
      <c r="K219" s="135"/>
      <c r="L219" s="136"/>
    </row>
    <row r="220" spans="1:12" ht="14.4" customHeight="1">
      <c r="A220" s="253"/>
      <c r="B220" s="244"/>
      <c r="C220" s="250"/>
      <c r="D220" s="132" t="s">
        <v>1191</v>
      </c>
      <c r="E220" s="133"/>
      <c r="F220" s="128" t="s">
        <v>1253</v>
      </c>
      <c r="G220" s="126"/>
      <c r="H220" s="127">
        <v>0.33333333333333298</v>
      </c>
      <c r="I220" s="109">
        <f t="shared" si="6"/>
        <v>1</v>
      </c>
      <c r="J220" s="134">
        <v>0.9</v>
      </c>
      <c r="K220" s="133"/>
      <c r="L220" s="136"/>
    </row>
    <row r="221" spans="1:12" ht="14.4" customHeight="1">
      <c r="A221" s="253"/>
      <c r="B221" s="244"/>
      <c r="C221" s="243" t="s">
        <v>1196</v>
      </c>
      <c r="D221" s="78" t="s">
        <v>1192</v>
      </c>
      <c r="E221" s="159"/>
      <c r="F221" s="111" t="s">
        <v>1251</v>
      </c>
      <c r="G221" s="107">
        <v>0.33333333333333331</v>
      </c>
      <c r="H221" s="108">
        <v>0.33333333333333298</v>
      </c>
      <c r="I221" s="109">
        <f t="shared" si="6"/>
        <v>0</v>
      </c>
      <c r="J221" s="109">
        <v>0.9</v>
      </c>
      <c r="K221" s="82" t="s">
        <v>1264</v>
      </c>
      <c r="L221" s="112"/>
    </row>
    <row r="222" spans="1:12" ht="14.4" customHeight="1">
      <c r="A222" s="253"/>
      <c r="B222" s="244"/>
      <c r="C222" s="244"/>
      <c r="D222" s="78" t="s">
        <v>1192</v>
      </c>
      <c r="E222" s="159"/>
      <c r="F222" s="111" t="s">
        <v>1252</v>
      </c>
      <c r="G222" s="107"/>
      <c r="H222" s="108">
        <v>0.33333333333333298</v>
      </c>
      <c r="I222" s="109">
        <f t="shared" si="6"/>
        <v>1</v>
      </c>
      <c r="J222" s="109">
        <v>0.9</v>
      </c>
      <c r="K222" s="82"/>
      <c r="L222" s="82"/>
    </row>
    <row r="223" spans="1:12" ht="14.4" customHeight="1">
      <c r="A223" s="253"/>
      <c r="B223" s="244"/>
      <c r="C223" s="245"/>
      <c r="D223" s="78" t="s">
        <v>1192</v>
      </c>
      <c r="E223" s="113"/>
      <c r="F223" s="114" t="s">
        <v>1253</v>
      </c>
      <c r="G223" s="107"/>
      <c r="H223" s="108">
        <v>0.33333333333333298</v>
      </c>
      <c r="I223" s="109">
        <f t="shared" si="6"/>
        <v>1</v>
      </c>
      <c r="J223" s="109">
        <v>0.9</v>
      </c>
      <c r="K223" s="82"/>
      <c r="L223" s="82"/>
    </row>
    <row r="224" spans="1:12" ht="14.4" customHeight="1">
      <c r="A224" s="253"/>
      <c r="B224" s="244"/>
      <c r="C224" s="248" t="s">
        <v>1197</v>
      </c>
      <c r="D224" s="132" t="s">
        <v>1194</v>
      </c>
      <c r="E224" s="158"/>
      <c r="F224" s="125" t="s">
        <v>1251</v>
      </c>
      <c r="G224" s="126">
        <v>0.33333333333333331</v>
      </c>
      <c r="H224" s="127">
        <v>0.33333333333333298</v>
      </c>
      <c r="I224" s="109">
        <f t="shared" si="6"/>
        <v>0</v>
      </c>
      <c r="J224" s="134">
        <v>0.9</v>
      </c>
      <c r="K224" s="135" t="s">
        <v>1264</v>
      </c>
      <c r="L224" s="137"/>
    </row>
    <row r="225" spans="1:12" ht="14.4" customHeight="1">
      <c r="A225" s="253"/>
      <c r="B225" s="244"/>
      <c r="C225" s="249"/>
      <c r="D225" s="132" t="s">
        <v>1194</v>
      </c>
      <c r="E225" s="158"/>
      <c r="F225" s="129" t="s">
        <v>1252</v>
      </c>
      <c r="G225" s="126"/>
      <c r="H225" s="127">
        <v>0.33333333333333298</v>
      </c>
      <c r="I225" s="109">
        <f t="shared" si="6"/>
        <v>1</v>
      </c>
      <c r="J225" s="134">
        <v>0.9</v>
      </c>
      <c r="K225" s="135"/>
      <c r="L225" s="136"/>
    </row>
    <row r="226" spans="1:12" ht="15" customHeight="1" thickBot="1">
      <c r="A226" s="253"/>
      <c r="B226" s="245"/>
      <c r="C226" s="250"/>
      <c r="D226" s="132" t="s">
        <v>1194</v>
      </c>
      <c r="E226" s="133"/>
      <c r="F226" s="128" t="s">
        <v>1253</v>
      </c>
      <c r="G226" s="126"/>
      <c r="H226" s="131">
        <v>0.33333333333333298</v>
      </c>
      <c r="I226" s="115">
        <f t="shared" si="6"/>
        <v>1</v>
      </c>
      <c r="J226" s="134">
        <v>0.9</v>
      </c>
      <c r="K226" s="133"/>
      <c r="L226" s="136"/>
    </row>
    <row r="227" spans="1:12" ht="14.4" customHeight="1">
      <c r="A227" s="253"/>
      <c r="B227" s="251">
        <v>45707</v>
      </c>
      <c r="C227" s="243" t="s">
        <v>1198</v>
      </c>
      <c r="D227" s="78" t="s">
        <v>1191</v>
      </c>
      <c r="E227" s="159"/>
      <c r="F227" s="111" t="s">
        <v>1251</v>
      </c>
      <c r="G227" s="107">
        <v>0.33333333333333331</v>
      </c>
      <c r="H227" s="108">
        <v>0.33333333333333298</v>
      </c>
      <c r="I227" s="109">
        <f t="shared" si="6"/>
        <v>0</v>
      </c>
      <c r="J227" s="109">
        <v>0.9</v>
      </c>
      <c r="K227" s="82" t="s">
        <v>1264</v>
      </c>
      <c r="L227" s="112"/>
    </row>
    <row r="228" spans="1:12" ht="14.4" customHeight="1">
      <c r="A228" s="253"/>
      <c r="B228" s="244"/>
      <c r="C228" s="244"/>
      <c r="D228" s="78" t="s">
        <v>1191</v>
      </c>
      <c r="E228" s="159"/>
      <c r="F228" s="106" t="s">
        <v>1252</v>
      </c>
      <c r="G228" s="107"/>
      <c r="H228" s="108">
        <v>0.33333333333333298</v>
      </c>
      <c r="I228" s="109">
        <f t="shared" si="6"/>
        <v>1</v>
      </c>
      <c r="J228" s="109">
        <v>0.9</v>
      </c>
      <c r="K228" s="82"/>
      <c r="L228" s="82"/>
    </row>
    <row r="229" spans="1:12" ht="14.4" customHeight="1">
      <c r="A229" s="253"/>
      <c r="B229" s="244"/>
      <c r="C229" s="245"/>
      <c r="D229" s="78" t="s">
        <v>1191</v>
      </c>
      <c r="E229" s="113"/>
      <c r="F229" s="114" t="s">
        <v>1253</v>
      </c>
      <c r="G229" s="107"/>
      <c r="H229" s="108">
        <v>0.33333333333333298</v>
      </c>
      <c r="I229" s="109">
        <f t="shared" si="6"/>
        <v>1</v>
      </c>
      <c r="J229" s="109">
        <v>0.9</v>
      </c>
      <c r="K229" s="82"/>
      <c r="L229" s="82"/>
    </row>
    <row r="230" spans="1:12" ht="14.4" customHeight="1">
      <c r="A230" s="253"/>
      <c r="B230" s="244"/>
      <c r="C230" s="248" t="s">
        <v>1196</v>
      </c>
      <c r="D230" s="132" t="s">
        <v>1192</v>
      </c>
      <c r="E230" s="158"/>
      <c r="F230" s="125" t="s">
        <v>1251</v>
      </c>
      <c r="G230" s="126">
        <v>0.33333333333333331</v>
      </c>
      <c r="H230" s="127">
        <v>0.33333333333333298</v>
      </c>
      <c r="I230" s="109">
        <f t="shared" si="6"/>
        <v>0</v>
      </c>
      <c r="J230" s="134">
        <v>0.9</v>
      </c>
      <c r="K230" s="135" t="s">
        <v>1264</v>
      </c>
      <c r="L230" s="137"/>
    </row>
    <row r="231" spans="1:12" ht="14.4" customHeight="1">
      <c r="A231" s="253"/>
      <c r="B231" s="244"/>
      <c r="C231" s="249"/>
      <c r="D231" s="132" t="s">
        <v>1192</v>
      </c>
      <c r="E231" s="158"/>
      <c r="F231" s="129" t="s">
        <v>1252</v>
      </c>
      <c r="G231" s="126"/>
      <c r="H231" s="127">
        <v>0.33333333333333298</v>
      </c>
      <c r="I231" s="109">
        <f t="shared" si="6"/>
        <v>1</v>
      </c>
      <c r="J231" s="134">
        <v>0.9</v>
      </c>
      <c r="K231" s="135"/>
      <c r="L231" s="136"/>
    </row>
    <row r="232" spans="1:12" ht="14.4" customHeight="1">
      <c r="A232" s="253"/>
      <c r="B232" s="244"/>
      <c r="C232" s="250"/>
      <c r="D232" s="132" t="s">
        <v>1192</v>
      </c>
      <c r="E232" s="133"/>
      <c r="F232" s="128" t="s">
        <v>1253</v>
      </c>
      <c r="G232" s="126"/>
      <c r="H232" s="127">
        <v>0.33333333333333298</v>
      </c>
      <c r="I232" s="109">
        <f t="shared" si="6"/>
        <v>1</v>
      </c>
      <c r="J232" s="134">
        <v>0.9</v>
      </c>
      <c r="K232" s="133"/>
      <c r="L232" s="136"/>
    </row>
    <row r="233" spans="1:12" ht="14.4" customHeight="1">
      <c r="A233" s="253"/>
      <c r="B233" s="244"/>
      <c r="C233" s="243" t="s">
        <v>1197</v>
      </c>
      <c r="D233" s="78" t="s">
        <v>1194</v>
      </c>
      <c r="E233" s="159"/>
      <c r="F233" s="111" t="s">
        <v>1251</v>
      </c>
      <c r="G233" s="107">
        <v>0.33333333333333331</v>
      </c>
      <c r="H233" s="108">
        <v>0.33333333333333298</v>
      </c>
      <c r="I233" s="109">
        <f t="shared" si="6"/>
        <v>0</v>
      </c>
      <c r="J233" s="109">
        <v>0.9</v>
      </c>
      <c r="K233" s="82" t="s">
        <v>1264</v>
      </c>
      <c r="L233" s="112"/>
    </row>
    <row r="234" spans="1:12" ht="14.4" customHeight="1">
      <c r="A234" s="253"/>
      <c r="B234" s="244"/>
      <c r="C234" s="244"/>
      <c r="D234" s="78" t="s">
        <v>1194</v>
      </c>
      <c r="E234" s="159"/>
      <c r="F234" s="106" t="s">
        <v>1252</v>
      </c>
      <c r="G234" s="107">
        <v>0.33333333333333331</v>
      </c>
      <c r="H234" s="108">
        <v>0.33333333333333298</v>
      </c>
      <c r="I234" s="109">
        <f t="shared" si="6"/>
        <v>0</v>
      </c>
      <c r="J234" s="109">
        <v>0.9</v>
      </c>
      <c r="K234" s="82" t="s">
        <v>1303</v>
      </c>
      <c r="L234" s="82"/>
    </row>
    <row r="235" spans="1:12" ht="15" customHeight="1" thickBot="1">
      <c r="A235" s="253"/>
      <c r="B235" s="245"/>
      <c r="C235" s="245"/>
      <c r="D235" s="78" t="s">
        <v>1194</v>
      </c>
      <c r="E235" s="113"/>
      <c r="F235" s="114" t="s">
        <v>1253</v>
      </c>
      <c r="G235" s="107">
        <v>0.33333333333333331</v>
      </c>
      <c r="H235" s="108">
        <v>0.33333333333333298</v>
      </c>
      <c r="I235" s="109">
        <f t="shared" si="6"/>
        <v>0</v>
      </c>
      <c r="J235" s="109">
        <v>0.9</v>
      </c>
      <c r="K235" s="82"/>
      <c r="L235" s="82"/>
    </row>
    <row r="236" spans="1:12" ht="14.4" customHeight="1">
      <c r="A236" s="253"/>
      <c r="B236" s="251">
        <v>45708</v>
      </c>
      <c r="C236" s="248" t="s">
        <v>1198</v>
      </c>
      <c r="D236" s="132" t="s">
        <v>1193</v>
      </c>
      <c r="E236" s="158"/>
      <c r="F236" s="125" t="s">
        <v>1251</v>
      </c>
      <c r="G236" s="126">
        <v>0.33333333333333331</v>
      </c>
      <c r="H236" s="127">
        <v>0.33333333333333298</v>
      </c>
      <c r="I236" s="109">
        <f t="shared" si="6"/>
        <v>0</v>
      </c>
      <c r="J236" s="134">
        <v>0.9</v>
      </c>
      <c r="K236" s="135" t="s">
        <v>1264</v>
      </c>
      <c r="L236" s="137"/>
    </row>
    <row r="237" spans="1:12" ht="14.4" customHeight="1">
      <c r="A237" s="253"/>
      <c r="B237" s="244"/>
      <c r="C237" s="249"/>
      <c r="D237" s="132" t="s">
        <v>1193</v>
      </c>
      <c r="E237" s="158"/>
      <c r="F237" s="129" t="s">
        <v>1252</v>
      </c>
      <c r="G237" s="126">
        <v>5.5555555555555552E-2</v>
      </c>
      <c r="H237" s="127">
        <v>0.33333333333333298</v>
      </c>
      <c r="I237" s="109">
        <f t="shared" si="6"/>
        <v>0.83333333333333315</v>
      </c>
      <c r="J237" s="134">
        <v>0.9</v>
      </c>
      <c r="K237" s="135"/>
      <c r="L237" s="136"/>
    </row>
    <row r="238" spans="1:12" ht="14.4" customHeight="1">
      <c r="A238" s="253"/>
      <c r="B238" s="244"/>
      <c r="C238" s="250"/>
      <c r="D238" s="132" t="s">
        <v>1193</v>
      </c>
      <c r="E238" s="133"/>
      <c r="F238" s="128" t="s">
        <v>1253</v>
      </c>
      <c r="G238" s="126">
        <v>5.5555555555555552E-2</v>
      </c>
      <c r="H238" s="127">
        <v>0.33333333333333298</v>
      </c>
      <c r="I238" s="109">
        <f t="shared" si="6"/>
        <v>0.83333333333333315</v>
      </c>
      <c r="J238" s="134">
        <v>0.9</v>
      </c>
      <c r="K238" s="133"/>
      <c r="L238" s="136"/>
    </row>
    <row r="239" spans="1:12" ht="14.4" customHeight="1">
      <c r="A239" s="253"/>
      <c r="B239" s="244"/>
      <c r="C239" s="243" t="s">
        <v>1196</v>
      </c>
      <c r="D239" s="78" t="s">
        <v>1191</v>
      </c>
      <c r="E239" s="159"/>
      <c r="F239" s="111" t="s">
        <v>1251</v>
      </c>
      <c r="G239" s="107">
        <v>0.33333333333333331</v>
      </c>
      <c r="H239" s="108">
        <v>0.33333333333333298</v>
      </c>
      <c r="I239" s="109">
        <f t="shared" si="6"/>
        <v>0</v>
      </c>
      <c r="J239" s="109">
        <v>0.9</v>
      </c>
      <c r="K239" s="82" t="s">
        <v>1264</v>
      </c>
      <c r="L239" s="112"/>
    </row>
    <row r="240" spans="1:12" ht="14.4" customHeight="1">
      <c r="A240" s="253"/>
      <c r="B240" s="244"/>
      <c r="C240" s="244"/>
      <c r="D240" s="78" t="s">
        <v>1191</v>
      </c>
      <c r="E240" s="159"/>
      <c r="F240" s="106" t="s">
        <v>1252</v>
      </c>
      <c r="G240" s="107">
        <v>0.15972222222222221</v>
      </c>
      <c r="H240" s="108">
        <v>0.33333333333333298</v>
      </c>
      <c r="I240" s="109">
        <f t="shared" si="6"/>
        <v>0.52083333333333282</v>
      </c>
      <c r="J240" s="109">
        <v>0.9</v>
      </c>
      <c r="K240" s="82" t="s">
        <v>1305</v>
      </c>
      <c r="L240" s="82"/>
    </row>
    <row r="241" spans="1:12" ht="14.4" customHeight="1">
      <c r="A241" s="253"/>
      <c r="B241" s="244"/>
      <c r="C241" s="245"/>
      <c r="D241" s="78" t="s">
        <v>1191</v>
      </c>
      <c r="E241" s="113"/>
      <c r="F241" s="114" t="s">
        <v>1253</v>
      </c>
      <c r="G241" s="107">
        <v>0.27083333333333331</v>
      </c>
      <c r="H241" s="108">
        <v>0.33333333333333298</v>
      </c>
      <c r="I241" s="109">
        <f t="shared" si="6"/>
        <v>0.18749999999999922</v>
      </c>
      <c r="J241" s="109">
        <v>0.9</v>
      </c>
      <c r="K241" s="82" t="s">
        <v>1304</v>
      </c>
      <c r="L241" s="82"/>
    </row>
    <row r="242" spans="1:12" ht="14.4" customHeight="1">
      <c r="A242" s="253"/>
      <c r="B242" s="244"/>
      <c r="C242" s="248" t="s">
        <v>1197</v>
      </c>
      <c r="D242" s="132" t="s">
        <v>1192</v>
      </c>
      <c r="E242" s="158"/>
      <c r="F242" s="125" t="s">
        <v>1251</v>
      </c>
      <c r="G242" s="126">
        <v>0.33333333333333331</v>
      </c>
      <c r="H242" s="127">
        <v>0.33333333333333298</v>
      </c>
      <c r="I242" s="109">
        <f t="shared" si="6"/>
        <v>0</v>
      </c>
      <c r="J242" s="134">
        <v>0.9</v>
      </c>
      <c r="K242" s="133" t="s">
        <v>1264</v>
      </c>
      <c r="L242" s="137"/>
    </row>
    <row r="243" spans="1:12" ht="14.4" customHeight="1">
      <c r="A243" s="253"/>
      <c r="B243" s="244"/>
      <c r="C243" s="249"/>
      <c r="D243" s="132" t="s">
        <v>1192</v>
      </c>
      <c r="E243" s="158"/>
      <c r="F243" s="129" t="s">
        <v>1252</v>
      </c>
      <c r="G243" s="126"/>
      <c r="H243" s="127">
        <v>0.33333333333333298</v>
      </c>
      <c r="I243" s="109">
        <f t="shared" si="6"/>
        <v>1</v>
      </c>
      <c r="J243" s="134">
        <v>0.9</v>
      </c>
      <c r="K243" s="135"/>
      <c r="L243" s="136"/>
    </row>
    <row r="244" spans="1:12" ht="15" customHeight="1" thickBot="1">
      <c r="A244" s="253"/>
      <c r="B244" s="245"/>
      <c r="C244" s="250"/>
      <c r="D244" s="132" t="s">
        <v>1192</v>
      </c>
      <c r="E244" s="133"/>
      <c r="F244" s="128" t="s">
        <v>1253</v>
      </c>
      <c r="G244" s="126"/>
      <c r="H244" s="127">
        <v>0.33333333333333298</v>
      </c>
      <c r="I244" s="109">
        <f t="shared" si="6"/>
        <v>1</v>
      </c>
      <c r="J244" s="134">
        <v>0.9</v>
      </c>
      <c r="K244" s="133"/>
      <c r="L244" s="136"/>
    </row>
    <row r="245" spans="1:12" ht="14.4" customHeight="1">
      <c r="A245" s="253"/>
      <c r="B245" s="251">
        <v>45709</v>
      </c>
      <c r="C245" s="248" t="s">
        <v>1198</v>
      </c>
      <c r="D245" s="132" t="s">
        <v>1193</v>
      </c>
      <c r="E245" s="158"/>
      <c r="F245" s="125" t="s">
        <v>1251</v>
      </c>
      <c r="G245" s="126">
        <v>0.33333333333333331</v>
      </c>
      <c r="H245" s="127">
        <v>0.33333333333333298</v>
      </c>
      <c r="I245" s="109">
        <f t="shared" ref="I245:I271" si="7">1-(G245/H245)</f>
        <v>0</v>
      </c>
      <c r="J245" s="134">
        <v>0.9</v>
      </c>
      <c r="K245" s="135" t="s">
        <v>1264</v>
      </c>
      <c r="L245" s="137"/>
    </row>
    <row r="246" spans="1:12" ht="14.4" customHeight="1">
      <c r="A246" s="253"/>
      <c r="B246" s="244"/>
      <c r="C246" s="249"/>
      <c r="D246" s="132" t="s">
        <v>1193</v>
      </c>
      <c r="E246" s="158"/>
      <c r="F246" s="129" t="s">
        <v>1252</v>
      </c>
      <c r="G246" s="126"/>
      <c r="H246" s="127">
        <v>0.33333333333333298</v>
      </c>
      <c r="I246" s="109">
        <f t="shared" si="7"/>
        <v>1</v>
      </c>
      <c r="J246" s="134">
        <v>0.9</v>
      </c>
      <c r="K246" s="135"/>
      <c r="L246" s="136"/>
    </row>
    <row r="247" spans="1:12" ht="14.4" customHeight="1">
      <c r="A247" s="253"/>
      <c r="B247" s="244"/>
      <c r="C247" s="250"/>
      <c r="D247" s="132" t="s">
        <v>1193</v>
      </c>
      <c r="E247" s="133"/>
      <c r="F247" s="128" t="s">
        <v>1253</v>
      </c>
      <c r="G247" s="126"/>
      <c r="H247" s="127">
        <v>0.33333333333333298</v>
      </c>
      <c r="I247" s="109">
        <f t="shared" si="7"/>
        <v>1</v>
      </c>
      <c r="J247" s="134">
        <v>0.9</v>
      </c>
      <c r="K247" s="133"/>
      <c r="L247" s="136"/>
    </row>
    <row r="248" spans="1:12" ht="14.4" customHeight="1">
      <c r="A248" s="253"/>
      <c r="B248" s="244"/>
      <c r="C248" s="243" t="s">
        <v>1196</v>
      </c>
      <c r="D248" s="78" t="s">
        <v>1191</v>
      </c>
      <c r="E248" s="159"/>
      <c r="F248" s="111" t="s">
        <v>1251</v>
      </c>
      <c r="G248" s="107">
        <v>0.33333333333333331</v>
      </c>
      <c r="H248" s="108">
        <v>0.33333333333333298</v>
      </c>
      <c r="I248" s="109">
        <f t="shared" si="7"/>
        <v>0</v>
      </c>
      <c r="J248" s="109">
        <v>0.9</v>
      </c>
      <c r="K248" s="82" t="s">
        <v>1264</v>
      </c>
      <c r="L248" s="112"/>
    </row>
    <row r="249" spans="1:12" ht="14.4" customHeight="1">
      <c r="A249" s="253"/>
      <c r="B249" s="244"/>
      <c r="C249" s="244"/>
      <c r="D249" s="78" t="s">
        <v>1191</v>
      </c>
      <c r="E249" s="159"/>
      <c r="F249" s="106" t="s">
        <v>1252</v>
      </c>
      <c r="G249" s="107"/>
      <c r="H249" s="108">
        <v>0.33333333333333298</v>
      </c>
      <c r="I249" s="109">
        <f t="shared" si="7"/>
        <v>1</v>
      </c>
      <c r="J249" s="109">
        <v>0.9</v>
      </c>
      <c r="K249" s="82"/>
      <c r="L249" s="82"/>
    </row>
    <row r="250" spans="1:12" ht="14.4" customHeight="1">
      <c r="A250" s="253"/>
      <c r="B250" s="244"/>
      <c r="C250" s="245"/>
      <c r="D250" s="78" t="s">
        <v>1191</v>
      </c>
      <c r="E250" s="113"/>
      <c r="F250" s="114" t="s">
        <v>1253</v>
      </c>
      <c r="G250" s="107"/>
      <c r="H250" s="108">
        <v>0.33333333333333298</v>
      </c>
      <c r="I250" s="109">
        <f t="shared" si="7"/>
        <v>1</v>
      </c>
      <c r="J250" s="109">
        <v>0.9</v>
      </c>
      <c r="K250" s="82"/>
      <c r="L250" s="82"/>
    </row>
    <row r="251" spans="1:12" ht="14.4" customHeight="1">
      <c r="A251" s="253"/>
      <c r="B251" s="244"/>
      <c r="C251" s="248" t="s">
        <v>1197</v>
      </c>
      <c r="D251" s="132" t="s">
        <v>1192</v>
      </c>
      <c r="E251" s="158"/>
      <c r="F251" s="125" t="s">
        <v>1251</v>
      </c>
      <c r="G251" s="126">
        <v>0.33333333333333331</v>
      </c>
      <c r="H251" s="127">
        <v>0.33333333333333298</v>
      </c>
      <c r="I251" s="109">
        <f t="shared" si="7"/>
        <v>0</v>
      </c>
      <c r="J251" s="134">
        <v>0.9</v>
      </c>
      <c r="K251" s="133" t="s">
        <v>1264</v>
      </c>
      <c r="L251" s="137"/>
    </row>
    <row r="252" spans="1:12" ht="14.4" customHeight="1">
      <c r="A252" s="253"/>
      <c r="B252" s="244"/>
      <c r="C252" s="249"/>
      <c r="D252" s="132" t="s">
        <v>1192</v>
      </c>
      <c r="E252" s="158"/>
      <c r="F252" s="129" t="s">
        <v>1252</v>
      </c>
      <c r="G252" s="126">
        <v>2.7777777777777776E-2</v>
      </c>
      <c r="H252" s="127">
        <v>0.33333333333333298</v>
      </c>
      <c r="I252" s="109">
        <f t="shared" si="7"/>
        <v>0.91666666666666663</v>
      </c>
      <c r="J252" s="134">
        <v>0.9</v>
      </c>
      <c r="K252" s="135" t="s">
        <v>1297</v>
      </c>
      <c r="L252" s="136"/>
    </row>
    <row r="253" spans="1:12" ht="15" customHeight="1" thickBot="1">
      <c r="A253" s="253"/>
      <c r="B253" s="245"/>
      <c r="C253" s="250"/>
      <c r="D253" s="132" t="s">
        <v>1192</v>
      </c>
      <c r="E253" s="133"/>
      <c r="F253" s="128" t="s">
        <v>1253</v>
      </c>
      <c r="G253" s="126"/>
      <c r="H253" s="127">
        <v>0.33333333333333298</v>
      </c>
      <c r="I253" s="109">
        <f t="shared" si="7"/>
        <v>1</v>
      </c>
      <c r="J253" s="134">
        <v>0.9</v>
      </c>
      <c r="K253" s="133"/>
      <c r="L253" s="136"/>
    </row>
    <row r="254" spans="1:12" ht="14.4" customHeight="1">
      <c r="A254" s="253"/>
      <c r="B254" s="251">
        <v>45710</v>
      </c>
      <c r="C254" s="248" t="s">
        <v>1198</v>
      </c>
      <c r="D254" s="132" t="s">
        <v>1194</v>
      </c>
      <c r="E254" s="158"/>
      <c r="F254" s="125" t="s">
        <v>1251</v>
      </c>
      <c r="G254" s="126">
        <v>0.33333333333333331</v>
      </c>
      <c r="H254" s="127">
        <v>0.33333333333333298</v>
      </c>
      <c r="I254" s="109">
        <f t="shared" si="7"/>
        <v>0</v>
      </c>
      <c r="J254" s="134">
        <v>0.9</v>
      </c>
      <c r="K254" s="135" t="s">
        <v>1264</v>
      </c>
      <c r="L254" s="137"/>
    </row>
    <row r="255" spans="1:12" ht="14.4" customHeight="1">
      <c r="A255" s="253"/>
      <c r="B255" s="244"/>
      <c r="C255" s="249"/>
      <c r="D255" s="132" t="s">
        <v>1194</v>
      </c>
      <c r="E255" s="158"/>
      <c r="F255" s="129" t="s">
        <v>1252</v>
      </c>
      <c r="G255" s="126">
        <v>2.7777777777777776E-2</v>
      </c>
      <c r="H255" s="127">
        <v>0.33333333333333298</v>
      </c>
      <c r="I255" s="109">
        <f t="shared" si="7"/>
        <v>0.91666666666666663</v>
      </c>
      <c r="J255" s="134">
        <v>0.9</v>
      </c>
      <c r="K255" s="135" t="s">
        <v>1306</v>
      </c>
      <c r="L255" s="136"/>
    </row>
    <row r="256" spans="1:12" ht="14.4" customHeight="1">
      <c r="A256" s="253"/>
      <c r="B256" s="244"/>
      <c r="C256" s="250"/>
      <c r="D256" s="132" t="s">
        <v>1194</v>
      </c>
      <c r="E256" s="133"/>
      <c r="F256" s="128" t="s">
        <v>1253</v>
      </c>
      <c r="G256" s="126">
        <v>2.7777777777777776E-2</v>
      </c>
      <c r="H256" s="127">
        <v>0.33333333333333298</v>
      </c>
      <c r="I256" s="109">
        <f t="shared" si="7"/>
        <v>0.91666666666666663</v>
      </c>
      <c r="J256" s="134">
        <v>0.9</v>
      </c>
      <c r="K256" s="135" t="s">
        <v>1306</v>
      </c>
      <c r="L256" s="136"/>
    </row>
    <row r="257" spans="1:12" ht="14.4" customHeight="1">
      <c r="A257" s="253"/>
      <c r="B257" s="244"/>
      <c r="C257" s="243" t="s">
        <v>1196</v>
      </c>
      <c r="D257" s="78" t="s">
        <v>1193</v>
      </c>
      <c r="E257" s="159"/>
      <c r="F257" s="111" t="s">
        <v>1251</v>
      </c>
      <c r="G257" s="107">
        <v>0.33333333333333331</v>
      </c>
      <c r="H257" s="108">
        <v>0.33333333333333298</v>
      </c>
      <c r="I257" s="109">
        <f t="shared" si="7"/>
        <v>0</v>
      </c>
      <c r="J257" s="109">
        <v>0.9</v>
      </c>
      <c r="K257" s="82" t="s">
        <v>1264</v>
      </c>
      <c r="L257" s="112"/>
    </row>
    <row r="258" spans="1:12" ht="14.4" customHeight="1">
      <c r="A258" s="253"/>
      <c r="B258" s="244"/>
      <c r="C258" s="244"/>
      <c r="D258" s="78" t="s">
        <v>1193</v>
      </c>
      <c r="E258" s="159"/>
      <c r="F258" s="106" t="s">
        <v>1252</v>
      </c>
      <c r="G258" s="107">
        <v>2.7777777777777776E-2</v>
      </c>
      <c r="H258" s="108">
        <v>0.33333333333333298</v>
      </c>
      <c r="I258" s="109">
        <f t="shared" si="7"/>
        <v>0.91666666666666663</v>
      </c>
      <c r="J258" s="109">
        <v>0.9</v>
      </c>
      <c r="K258" s="82" t="s">
        <v>1307</v>
      </c>
      <c r="L258" s="82"/>
    </row>
    <row r="259" spans="1:12" ht="14.4" customHeight="1">
      <c r="A259" s="253"/>
      <c r="B259" s="244"/>
      <c r="C259" s="245"/>
      <c r="D259" s="78" t="s">
        <v>1193</v>
      </c>
      <c r="E259" s="113"/>
      <c r="F259" s="114" t="s">
        <v>1253</v>
      </c>
      <c r="G259" s="107"/>
      <c r="H259" s="108">
        <v>0.33333333333333298</v>
      </c>
      <c r="I259" s="109">
        <f t="shared" si="7"/>
        <v>1</v>
      </c>
      <c r="J259" s="109">
        <v>0.9</v>
      </c>
      <c r="K259" s="82"/>
      <c r="L259" s="82"/>
    </row>
    <row r="260" spans="1:12" ht="14.4" customHeight="1">
      <c r="A260" s="253"/>
      <c r="B260" s="244"/>
      <c r="C260" s="248" t="s">
        <v>1197</v>
      </c>
      <c r="D260" s="132" t="s">
        <v>1191</v>
      </c>
      <c r="E260" s="158"/>
      <c r="F260" s="125" t="s">
        <v>1251</v>
      </c>
      <c r="G260" s="126">
        <v>0.33333333333333331</v>
      </c>
      <c r="H260" s="127">
        <v>0.33333333333333298</v>
      </c>
      <c r="I260" s="109">
        <f t="shared" si="7"/>
        <v>0</v>
      </c>
      <c r="J260" s="134">
        <v>0.9</v>
      </c>
      <c r="K260" s="133" t="s">
        <v>1264</v>
      </c>
      <c r="L260" s="137"/>
    </row>
    <row r="261" spans="1:12" ht="14.4" customHeight="1">
      <c r="A261" s="253"/>
      <c r="B261" s="244"/>
      <c r="C261" s="249"/>
      <c r="D261" s="132" t="s">
        <v>1191</v>
      </c>
      <c r="E261" s="158"/>
      <c r="F261" s="129" t="s">
        <v>1252</v>
      </c>
      <c r="G261" s="126"/>
      <c r="H261" s="127">
        <v>0.33333333333333298</v>
      </c>
      <c r="I261" s="109">
        <f t="shared" si="7"/>
        <v>1</v>
      </c>
      <c r="J261" s="134">
        <v>0.9</v>
      </c>
      <c r="K261" s="135"/>
      <c r="L261" s="136"/>
    </row>
    <row r="262" spans="1:12" ht="15" customHeight="1" thickBot="1">
      <c r="A262" s="253"/>
      <c r="B262" s="245"/>
      <c r="C262" s="250"/>
      <c r="D262" s="132" t="s">
        <v>1191</v>
      </c>
      <c r="E262" s="133"/>
      <c r="F262" s="128" t="s">
        <v>1253</v>
      </c>
      <c r="G262" s="126"/>
      <c r="H262" s="127">
        <v>0.33333333333333298</v>
      </c>
      <c r="I262" s="109">
        <f t="shared" si="7"/>
        <v>1</v>
      </c>
      <c r="J262" s="134">
        <v>0.9</v>
      </c>
      <c r="K262" s="133"/>
      <c r="L262" s="136"/>
    </row>
    <row r="263" spans="1:12" ht="14.4" customHeight="1">
      <c r="A263" s="253"/>
      <c r="B263" s="251">
        <v>45711</v>
      </c>
      <c r="C263" s="248" t="s">
        <v>1198</v>
      </c>
      <c r="D263" s="132" t="s">
        <v>1194</v>
      </c>
      <c r="E263" s="158"/>
      <c r="F263" s="125" t="s">
        <v>1251</v>
      </c>
      <c r="G263" s="126">
        <v>0.33333333333333331</v>
      </c>
      <c r="H263" s="127">
        <v>0.33333333333333298</v>
      </c>
      <c r="I263" s="109">
        <f t="shared" si="7"/>
        <v>0</v>
      </c>
      <c r="J263" s="134">
        <v>0.9</v>
      </c>
      <c r="K263" s="135" t="s">
        <v>1264</v>
      </c>
      <c r="L263" s="137"/>
    </row>
    <row r="264" spans="1:12" ht="14.4" customHeight="1">
      <c r="A264" s="253"/>
      <c r="B264" s="244"/>
      <c r="C264" s="249"/>
      <c r="D264" s="132" t="s">
        <v>1194</v>
      </c>
      <c r="E264" s="158"/>
      <c r="F264" s="129" t="s">
        <v>1252</v>
      </c>
      <c r="G264" s="126"/>
      <c r="H264" s="127">
        <v>0.33333333333333298</v>
      </c>
      <c r="I264" s="109">
        <f t="shared" si="7"/>
        <v>1</v>
      </c>
      <c r="J264" s="134">
        <v>0.9</v>
      </c>
      <c r="K264" s="135"/>
      <c r="L264" s="136"/>
    </row>
    <row r="265" spans="1:12" ht="14.4" customHeight="1">
      <c r="A265" s="253"/>
      <c r="B265" s="244"/>
      <c r="C265" s="250"/>
      <c r="D265" s="132" t="s">
        <v>1194</v>
      </c>
      <c r="E265" s="133"/>
      <c r="F265" s="128" t="s">
        <v>1253</v>
      </c>
      <c r="G265" s="126"/>
      <c r="H265" s="127">
        <v>0.33333333333333298</v>
      </c>
      <c r="I265" s="109">
        <f t="shared" si="7"/>
        <v>1</v>
      </c>
      <c r="J265" s="134">
        <v>0.9</v>
      </c>
      <c r="K265" s="133"/>
      <c r="L265" s="136"/>
    </row>
    <row r="266" spans="1:12" ht="14.4" customHeight="1">
      <c r="A266" s="253"/>
      <c r="B266" s="244"/>
      <c r="C266" s="243" t="s">
        <v>1196</v>
      </c>
      <c r="D266" s="78" t="s">
        <v>1193</v>
      </c>
      <c r="E266" s="159"/>
      <c r="F266" s="111" t="s">
        <v>1251</v>
      </c>
      <c r="G266" s="107">
        <v>0.33333333333333331</v>
      </c>
      <c r="H266" s="108">
        <v>0.33333333333333298</v>
      </c>
      <c r="I266" s="109">
        <f t="shared" si="7"/>
        <v>0</v>
      </c>
      <c r="J266" s="109">
        <v>0.9</v>
      </c>
      <c r="K266" s="82" t="s">
        <v>1264</v>
      </c>
      <c r="L266" s="112"/>
    </row>
    <row r="267" spans="1:12" ht="14.4" customHeight="1">
      <c r="A267" s="253"/>
      <c r="B267" s="244"/>
      <c r="C267" s="244"/>
      <c r="D267" s="78" t="s">
        <v>1193</v>
      </c>
      <c r="E267" s="159"/>
      <c r="F267" s="106" t="s">
        <v>1252</v>
      </c>
      <c r="G267" s="107"/>
      <c r="H267" s="108">
        <v>0.33333333333333298</v>
      </c>
      <c r="I267" s="109">
        <f t="shared" si="7"/>
        <v>1</v>
      </c>
      <c r="J267" s="109">
        <v>0.9</v>
      </c>
      <c r="K267" s="82"/>
      <c r="L267" s="82"/>
    </row>
    <row r="268" spans="1:12" ht="14.4" customHeight="1">
      <c r="A268" s="253"/>
      <c r="B268" s="244"/>
      <c r="C268" s="245"/>
      <c r="D268" s="78" t="s">
        <v>1193</v>
      </c>
      <c r="E268" s="113"/>
      <c r="F268" s="114" t="s">
        <v>1253</v>
      </c>
      <c r="G268" s="107"/>
      <c r="H268" s="108">
        <v>0.33333333333333298</v>
      </c>
      <c r="I268" s="109">
        <f t="shared" si="7"/>
        <v>1</v>
      </c>
      <c r="J268" s="109">
        <v>0.9</v>
      </c>
      <c r="K268" s="82"/>
      <c r="L268" s="82"/>
    </row>
    <row r="269" spans="1:12" ht="14.4" customHeight="1">
      <c r="A269" s="253"/>
      <c r="B269" s="244"/>
      <c r="C269" s="248" t="s">
        <v>1197</v>
      </c>
      <c r="D269" s="132"/>
      <c r="E269" s="158"/>
      <c r="F269" s="125" t="s">
        <v>1251</v>
      </c>
      <c r="G269" s="126">
        <v>0.33333333333333331</v>
      </c>
      <c r="H269" s="127">
        <v>0.33333333333333298</v>
      </c>
      <c r="I269" s="109">
        <f t="shared" si="7"/>
        <v>0</v>
      </c>
      <c r="J269" s="134">
        <v>0.9</v>
      </c>
      <c r="K269" s="133" t="s">
        <v>1264</v>
      </c>
      <c r="L269" s="137"/>
    </row>
    <row r="270" spans="1:12" ht="14.4" customHeight="1">
      <c r="A270" s="253"/>
      <c r="B270" s="244"/>
      <c r="C270" s="249"/>
      <c r="D270" s="132"/>
      <c r="E270" s="158"/>
      <c r="F270" s="129" t="s">
        <v>1252</v>
      </c>
      <c r="G270" s="126"/>
      <c r="H270" s="127">
        <v>0.33333333333333298</v>
      </c>
      <c r="I270" s="109">
        <f t="shared" si="7"/>
        <v>1</v>
      </c>
      <c r="J270" s="134">
        <v>0.9</v>
      </c>
      <c r="K270" s="135"/>
      <c r="L270" s="136"/>
    </row>
    <row r="271" spans="1:12" ht="14.4" customHeight="1">
      <c r="A271" s="253"/>
      <c r="B271" s="245"/>
      <c r="C271" s="250"/>
      <c r="D271" s="132"/>
      <c r="E271" s="133"/>
      <c r="F271" s="128" t="s">
        <v>1253</v>
      </c>
      <c r="G271" s="126"/>
      <c r="H271" s="127">
        <v>0.33333333333333298</v>
      </c>
      <c r="I271" s="109">
        <f t="shared" si="7"/>
        <v>1</v>
      </c>
      <c r="J271" s="134">
        <v>0.9</v>
      </c>
      <c r="K271" s="133"/>
      <c r="L271" s="136"/>
    </row>
    <row r="272" spans="1:12" ht="14.4" customHeight="1">
      <c r="A272" s="253"/>
      <c r="B272" s="117"/>
      <c r="C272" s="117"/>
      <c r="D272" s="118"/>
      <c r="E272" s="118"/>
      <c r="F272" s="119" t="s">
        <v>1251</v>
      </c>
      <c r="G272" s="124"/>
      <c r="H272" s="124"/>
      <c r="I272" s="120">
        <f>AVERAGEIF(F209:F271,F272,I209:I271)</f>
        <v>0</v>
      </c>
      <c r="J272" s="121">
        <v>0.9</v>
      </c>
      <c r="K272" s="118"/>
      <c r="L272" s="116"/>
    </row>
    <row r="273" spans="1:12" ht="14.4" customHeight="1">
      <c r="A273" s="253"/>
      <c r="B273" s="117"/>
      <c r="C273" s="117"/>
      <c r="D273" s="118"/>
      <c r="E273" s="118"/>
      <c r="F273" s="119" t="s">
        <v>1252</v>
      </c>
      <c r="G273" s="124"/>
      <c r="H273" s="124"/>
      <c r="I273" s="120">
        <f>AVERAGEIF(F209:F271,F273,I209:I271)</f>
        <v>0.9097222222222221</v>
      </c>
      <c r="J273" s="121">
        <v>0.9</v>
      </c>
      <c r="K273" s="118"/>
      <c r="L273" s="116"/>
    </row>
    <row r="274" spans="1:12" ht="15" customHeight="1" thickBot="1">
      <c r="A274" s="253"/>
      <c r="B274" s="117"/>
      <c r="C274" s="117"/>
      <c r="D274" s="118"/>
      <c r="E274" s="118"/>
      <c r="F274" s="119" t="s">
        <v>1253</v>
      </c>
      <c r="G274" s="124"/>
      <c r="H274" s="124"/>
      <c r="I274" s="120">
        <f>AVERAGEIF(F209:F271,F274,I209:I271)</f>
        <v>0.9017857142857143</v>
      </c>
      <c r="J274" s="121">
        <v>0.9</v>
      </c>
      <c r="K274" s="118"/>
      <c r="L274" s="116"/>
    </row>
    <row r="275" spans="1:12" ht="14.4" customHeight="1">
      <c r="A275" s="262" t="s">
        <v>1310</v>
      </c>
      <c r="B275" s="251">
        <v>45712</v>
      </c>
      <c r="C275" s="243" t="s">
        <v>1198</v>
      </c>
      <c r="D275" s="110" t="s">
        <v>1201</v>
      </c>
      <c r="E275" s="156"/>
      <c r="F275" s="111" t="s">
        <v>1251</v>
      </c>
      <c r="G275" s="107">
        <v>0.33333333333333331</v>
      </c>
      <c r="H275" s="108">
        <v>0.33333333333333331</v>
      </c>
      <c r="I275" s="109">
        <f>1-(G275/H275)</f>
        <v>0</v>
      </c>
      <c r="J275" s="109">
        <v>0.9</v>
      </c>
      <c r="K275" s="82"/>
      <c r="L275" s="82"/>
    </row>
    <row r="276" spans="1:12" ht="14.4" customHeight="1">
      <c r="A276" s="262"/>
      <c r="B276" s="244"/>
      <c r="C276" s="244"/>
      <c r="D276" s="110" t="s">
        <v>1201</v>
      </c>
      <c r="E276" s="156"/>
      <c r="F276" s="111" t="s">
        <v>1252</v>
      </c>
      <c r="G276" s="107"/>
      <c r="H276" s="108">
        <v>0.33333333333333331</v>
      </c>
      <c r="I276" s="109">
        <f>1-(G276/H276)</f>
        <v>1</v>
      </c>
      <c r="J276" s="109">
        <v>0.9</v>
      </c>
      <c r="K276" s="82"/>
      <c r="L276" s="82"/>
    </row>
    <row r="277" spans="1:12" ht="14.4" customHeight="1">
      <c r="A277" s="262"/>
      <c r="B277" s="244"/>
      <c r="C277" s="245"/>
      <c r="D277" s="110" t="s">
        <v>1201</v>
      </c>
      <c r="E277" s="157"/>
      <c r="F277" s="114" t="s">
        <v>1253</v>
      </c>
      <c r="G277" s="107"/>
      <c r="H277" s="108">
        <v>0.33333333333333298</v>
      </c>
      <c r="I277" s="109">
        <f t="shared" ref="I277:I319" si="8">1-(G277/H277)</f>
        <v>1</v>
      </c>
      <c r="J277" s="109">
        <v>0.9</v>
      </c>
      <c r="K277" s="82"/>
      <c r="L277" s="82"/>
    </row>
    <row r="278" spans="1:12" ht="14.4" customHeight="1">
      <c r="A278" s="262"/>
      <c r="B278" s="244"/>
      <c r="C278" s="248" t="s">
        <v>1196</v>
      </c>
      <c r="D278" s="132" t="s">
        <v>1194</v>
      </c>
      <c r="E278" s="158"/>
      <c r="F278" s="125" t="s">
        <v>1251</v>
      </c>
      <c r="G278" s="126">
        <v>0.33333333333333331</v>
      </c>
      <c r="H278" s="127">
        <v>0.33333333333333298</v>
      </c>
      <c r="I278" s="109">
        <f t="shared" si="8"/>
        <v>0</v>
      </c>
      <c r="J278" s="134">
        <v>0.9</v>
      </c>
      <c r="K278" s="135"/>
      <c r="L278" s="136"/>
    </row>
    <row r="279" spans="1:12" ht="14.4" customHeight="1">
      <c r="A279" s="262"/>
      <c r="B279" s="244"/>
      <c r="C279" s="249"/>
      <c r="D279" s="132" t="s">
        <v>1194</v>
      </c>
      <c r="E279" s="158"/>
      <c r="F279" s="125" t="s">
        <v>1252</v>
      </c>
      <c r="G279" s="126">
        <v>6.25E-2</v>
      </c>
      <c r="H279" s="127">
        <v>0.33333333333333298</v>
      </c>
      <c r="I279" s="109">
        <f t="shared" si="8"/>
        <v>0.81249999999999978</v>
      </c>
      <c r="J279" s="134">
        <v>0.9</v>
      </c>
      <c r="K279" s="135"/>
      <c r="L279" s="136"/>
    </row>
    <row r="280" spans="1:12" ht="14.4" customHeight="1">
      <c r="A280" s="262"/>
      <c r="B280" s="244"/>
      <c r="C280" s="250"/>
      <c r="D280" s="132" t="s">
        <v>1194</v>
      </c>
      <c r="E280" s="133"/>
      <c r="F280" s="128" t="s">
        <v>1253</v>
      </c>
      <c r="G280" s="126">
        <v>6.25E-2</v>
      </c>
      <c r="H280" s="127">
        <v>0.33333333333333298</v>
      </c>
      <c r="I280" s="109">
        <f t="shared" si="8"/>
        <v>0.81249999999999978</v>
      </c>
      <c r="J280" s="134">
        <v>0.9</v>
      </c>
      <c r="K280" s="133"/>
      <c r="L280" s="136"/>
    </row>
    <row r="281" spans="1:12" ht="14.4" customHeight="1">
      <c r="A281" s="262"/>
      <c r="B281" s="244"/>
      <c r="C281" s="243" t="s">
        <v>1197</v>
      </c>
      <c r="D281" s="78" t="s">
        <v>1193</v>
      </c>
      <c r="E281" s="159"/>
      <c r="F281" s="111" t="s">
        <v>1251</v>
      </c>
      <c r="G281" s="107">
        <v>0.33333333333333331</v>
      </c>
      <c r="H281" s="108">
        <v>0.33333333333333298</v>
      </c>
      <c r="I281" s="109">
        <f t="shared" si="8"/>
        <v>0</v>
      </c>
      <c r="J281" s="109">
        <v>0.9</v>
      </c>
      <c r="K281" s="82"/>
      <c r="L281" s="112"/>
    </row>
    <row r="282" spans="1:12" ht="14.4" customHeight="1">
      <c r="A282" s="262"/>
      <c r="B282" s="244"/>
      <c r="C282" s="244"/>
      <c r="D282" s="78" t="s">
        <v>1193</v>
      </c>
      <c r="E282" s="159"/>
      <c r="F282" s="111" t="s">
        <v>1252</v>
      </c>
      <c r="G282" s="107">
        <v>6.25E-2</v>
      </c>
      <c r="H282" s="108">
        <v>0.33333333333333298</v>
      </c>
      <c r="I282" s="109">
        <f t="shared" si="8"/>
        <v>0.81249999999999978</v>
      </c>
      <c r="J282" s="109">
        <v>0.9</v>
      </c>
      <c r="K282" s="82"/>
      <c r="L282" s="82"/>
    </row>
    <row r="283" spans="1:12" ht="15" customHeight="1" thickBot="1">
      <c r="A283" s="262"/>
      <c r="B283" s="245"/>
      <c r="C283" s="245"/>
      <c r="D283" s="78" t="s">
        <v>1193</v>
      </c>
      <c r="E283" s="113"/>
      <c r="F283" s="114" t="s">
        <v>1253</v>
      </c>
      <c r="G283" s="107">
        <v>6.25E-2</v>
      </c>
      <c r="H283" s="108">
        <v>0.33333333333333298</v>
      </c>
      <c r="I283" s="109">
        <f t="shared" si="8"/>
        <v>0.81249999999999978</v>
      </c>
      <c r="J283" s="109">
        <v>0.9</v>
      </c>
      <c r="K283" s="82"/>
      <c r="L283" s="82"/>
    </row>
    <row r="284" spans="1:12" ht="14.4" customHeight="1">
      <c r="A284" s="262"/>
      <c r="B284" s="251">
        <v>45713</v>
      </c>
      <c r="C284" s="248" t="s">
        <v>1198</v>
      </c>
      <c r="D284" s="132" t="s">
        <v>1192</v>
      </c>
      <c r="E284" s="158"/>
      <c r="F284" s="125" t="s">
        <v>1251</v>
      </c>
      <c r="G284" s="126">
        <v>0.33333333333333331</v>
      </c>
      <c r="H284" s="127">
        <v>0.33333333333333298</v>
      </c>
      <c r="I284" s="109">
        <f t="shared" si="8"/>
        <v>0</v>
      </c>
      <c r="J284" s="134">
        <v>0.9</v>
      </c>
      <c r="K284" s="135"/>
      <c r="L284" s="137"/>
    </row>
    <row r="285" spans="1:12" ht="14.4" customHeight="1">
      <c r="A285" s="262"/>
      <c r="B285" s="244"/>
      <c r="C285" s="249"/>
      <c r="D285" s="132" t="s">
        <v>1192</v>
      </c>
      <c r="E285" s="158"/>
      <c r="F285" s="125" t="s">
        <v>1252</v>
      </c>
      <c r="G285" s="126"/>
      <c r="H285" s="127">
        <v>0.33333333333333298</v>
      </c>
      <c r="I285" s="109">
        <f t="shared" si="8"/>
        <v>1</v>
      </c>
      <c r="J285" s="134">
        <v>0.9</v>
      </c>
      <c r="K285" s="135"/>
      <c r="L285" s="136"/>
    </row>
    <row r="286" spans="1:12" ht="14.4" customHeight="1">
      <c r="A286" s="262"/>
      <c r="B286" s="244"/>
      <c r="C286" s="250"/>
      <c r="D286" s="132" t="s">
        <v>1192</v>
      </c>
      <c r="E286" s="133"/>
      <c r="F286" s="128" t="s">
        <v>1253</v>
      </c>
      <c r="G286" s="126"/>
      <c r="H286" s="127">
        <v>0.33333333333333298</v>
      </c>
      <c r="I286" s="109">
        <f t="shared" si="8"/>
        <v>1</v>
      </c>
      <c r="J286" s="134">
        <v>0.9</v>
      </c>
      <c r="K286" s="133"/>
      <c r="L286" s="136"/>
    </row>
    <row r="287" spans="1:12" ht="14.4" customHeight="1">
      <c r="A287" s="262"/>
      <c r="B287" s="244"/>
      <c r="C287" s="243" t="s">
        <v>1196</v>
      </c>
      <c r="D287" s="78" t="s">
        <v>1194</v>
      </c>
      <c r="E287" s="159"/>
      <c r="F287" s="111" t="s">
        <v>1251</v>
      </c>
      <c r="G287" s="107">
        <v>0.33333333333333331</v>
      </c>
      <c r="H287" s="108">
        <v>0.33333333333333298</v>
      </c>
      <c r="I287" s="109">
        <f t="shared" si="8"/>
        <v>0</v>
      </c>
      <c r="J287" s="109">
        <v>0.9</v>
      </c>
      <c r="K287" s="82"/>
      <c r="L287" s="112"/>
    </row>
    <row r="288" spans="1:12" ht="14.4" customHeight="1">
      <c r="A288" s="262"/>
      <c r="B288" s="244"/>
      <c r="C288" s="244"/>
      <c r="D288" s="78" t="s">
        <v>1194</v>
      </c>
      <c r="E288" s="159"/>
      <c r="F288" s="111" t="s">
        <v>1252</v>
      </c>
      <c r="G288" s="107">
        <v>6.25E-2</v>
      </c>
      <c r="H288" s="108">
        <v>0.33333333333333298</v>
      </c>
      <c r="I288" s="109">
        <f t="shared" si="8"/>
        <v>0.81249999999999978</v>
      </c>
      <c r="J288" s="109">
        <v>0.9</v>
      </c>
      <c r="K288" s="82"/>
      <c r="L288" s="82"/>
    </row>
    <row r="289" spans="1:12" ht="14.4" customHeight="1">
      <c r="A289" s="262"/>
      <c r="B289" s="244"/>
      <c r="C289" s="245"/>
      <c r="D289" s="78" t="s">
        <v>1194</v>
      </c>
      <c r="E289" s="113"/>
      <c r="F289" s="114" t="s">
        <v>1253</v>
      </c>
      <c r="G289" s="107">
        <v>6.25E-2</v>
      </c>
      <c r="H289" s="108">
        <v>0.33333333333333298</v>
      </c>
      <c r="I289" s="109">
        <f t="shared" si="8"/>
        <v>0.81249999999999978</v>
      </c>
      <c r="J289" s="109">
        <v>0.9</v>
      </c>
      <c r="K289" s="82"/>
      <c r="L289" s="82"/>
    </row>
    <row r="290" spans="1:12" ht="14.4" customHeight="1">
      <c r="A290" s="262"/>
      <c r="B290" s="244"/>
      <c r="C290" s="248" t="s">
        <v>1197</v>
      </c>
      <c r="D290" s="132" t="s">
        <v>1193</v>
      </c>
      <c r="E290" s="158"/>
      <c r="F290" s="125" t="s">
        <v>1251</v>
      </c>
      <c r="G290" s="126">
        <v>0.33333333333333331</v>
      </c>
      <c r="H290" s="127">
        <v>0.33333333333333298</v>
      </c>
      <c r="I290" s="109">
        <f t="shared" si="8"/>
        <v>0</v>
      </c>
      <c r="J290" s="134">
        <v>0.9</v>
      </c>
      <c r="K290" s="135"/>
      <c r="L290" s="137"/>
    </row>
    <row r="291" spans="1:12" ht="14.4" customHeight="1">
      <c r="A291" s="262"/>
      <c r="B291" s="244"/>
      <c r="C291" s="249"/>
      <c r="D291" s="132" t="s">
        <v>1193</v>
      </c>
      <c r="E291" s="158"/>
      <c r="F291" s="129" t="s">
        <v>1252</v>
      </c>
      <c r="G291" s="126">
        <v>0.13055555555555556</v>
      </c>
      <c r="H291" s="127">
        <v>0.33333333333333298</v>
      </c>
      <c r="I291" s="109">
        <f t="shared" si="8"/>
        <v>0.60833333333333295</v>
      </c>
      <c r="J291" s="134">
        <v>0.9</v>
      </c>
      <c r="K291" s="135"/>
      <c r="L291" s="136"/>
    </row>
    <row r="292" spans="1:12" ht="15" customHeight="1" thickBot="1">
      <c r="A292" s="262"/>
      <c r="B292" s="245"/>
      <c r="C292" s="250"/>
      <c r="D292" s="132" t="s">
        <v>1193</v>
      </c>
      <c r="E292" s="133"/>
      <c r="F292" s="128" t="s">
        <v>1253</v>
      </c>
      <c r="G292" s="126">
        <v>0.13055555555555556</v>
      </c>
      <c r="H292" s="131">
        <v>0.33333333333333298</v>
      </c>
      <c r="I292" s="115">
        <f t="shared" si="8"/>
        <v>0.60833333333333295</v>
      </c>
      <c r="J292" s="134">
        <v>0.9</v>
      </c>
      <c r="K292" s="133"/>
      <c r="L292" s="136"/>
    </row>
    <row r="293" spans="1:12" ht="14.4" customHeight="1">
      <c r="A293" s="262"/>
      <c r="B293" s="251">
        <v>45714</v>
      </c>
      <c r="C293" s="243" t="s">
        <v>1198</v>
      </c>
      <c r="D293" s="78" t="s">
        <v>1191</v>
      </c>
      <c r="E293" s="159"/>
      <c r="F293" s="111" t="s">
        <v>1251</v>
      </c>
      <c r="G293" s="107">
        <v>0.33333333333333331</v>
      </c>
      <c r="H293" s="108">
        <v>0.33333333333333298</v>
      </c>
      <c r="I293" s="109">
        <f t="shared" si="8"/>
        <v>0</v>
      </c>
      <c r="J293" s="109">
        <v>0.9</v>
      </c>
      <c r="K293" s="82"/>
      <c r="L293" s="112"/>
    </row>
    <row r="294" spans="1:12" ht="14.4" customHeight="1">
      <c r="A294" s="262"/>
      <c r="B294" s="244"/>
      <c r="C294" s="244"/>
      <c r="D294" s="78" t="s">
        <v>1191</v>
      </c>
      <c r="E294" s="159"/>
      <c r="F294" s="106" t="s">
        <v>1252</v>
      </c>
      <c r="G294" s="107"/>
      <c r="H294" s="108">
        <v>0.33333333333333298</v>
      </c>
      <c r="I294" s="109">
        <f t="shared" si="8"/>
        <v>1</v>
      </c>
      <c r="J294" s="109">
        <v>0.9</v>
      </c>
      <c r="K294" s="82"/>
      <c r="L294" s="82"/>
    </row>
    <row r="295" spans="1:12" ht="14.4" customHeight="1">
      <c r="A295" s="262"/>
      <c r="B295" s="244"/>
      <c r="C295" s="245"/>
      <c r="D295" s="78" t="s">
        <v>1191</v>
      </c>
      <c r="E295" s="113"/>
      <c r="F295" s="114" t="s">
        <v>1253</v>
      </c>
      <c r="G295" s="107">
        <v>0.2326388888888889</v>
      </c>
      <c r="H295" s="108">
        <v>0.33333333333333298</v>
      </c>
      <c r="I295" s="109">
        <f t="shared" si="8"/>
        <v>0.30208333333333259</v>
      </c>
      <c r="J295" s="109">
        <v>0.9</v>
      </c>
      <c r="K295" s="82"/>
      <c r="L295" s="82"/>
    </row>
    <row r="296" spans="1:12" ht="14.4" customHeight="1">
      <c r="A296" s="262"/>
      <c r="B296" s="244"/>
      <c r="C296" s="248" t="s">
        <v>1196</v>
      </c>
      <c r="D296" s="132" t="s">
        <v>1192</v>
      </c>
      <c r="E296" s="158"/>
      <c r="F296" s="125" t="s">
        <v>1251</v>
      </c>
      <c r="G296" s="126">
        <v>0.33333333333333331</v>
      </c>
      <c r="H296" s="127">
        <v>0.33333333333333298</v>
      </c>
      <c r="I296" s="109">
        <f t="shared" si="8"/>
        <v>0</v>
      </c>
      <c r="J296" s="134">
        <v>0.9</v>
      </c>
      <c r="K296" s="135"/>
      <c r="L296" s="137"/>
    </row>
    <row r="297" spans="1:12" ht="14.4" customHeight="1">
      <c r="A297" s="262"/>
      <c r="B297" s="244"/>
      <c r="C297" s="249"/>
      <c r="D297" s="132" t="s">
        <v>1192</v>
      </c>
      <c r="E297" s="158"/>
      <c r="F297" s="129" t="s">
        <v>1252</v>
      </c>
      <c r="G297" s="126"/>
      <c r="H297" s="127">
        <v>0.33333333333333298</v>
      </c>
      <c r="I297" s="109">
        <f t="shared" si="8"/>
        <v>1</v>
      </c>
      <c r="J297" s="134">
        <v>0.9</v>
      </c>
      <c r="K297" s="135"/>
      <c r="L297" s="136"/>
    </row>
    <row r="298" spans="1:12" ht="14.4" customHeight="1">
      <c r="A298" s="262"/>
      <c r="B298" s="244"/>
      <c r="C298" s="250"/>
      <c r="D298" s="132" t="s">
        <v>1192</v>
      </c>
      <c r="E298" s="133"/>
      <c r="F298" s="128" t="s">
        <v>1253</v>
      </c>
      <c r="G298" s="126">
        <v>2.7777777777777776E-2</v>
      </c>
      <c r="H298" s="127">
        <v>0.33333333333333298</v>
      </c>
      <c r="I298" s="109">
        <f t="shared" si="8"/>
        <v>0.91666666666666663</v>
      </c>
      <c r="J298" s="134">
        <v>0.9</v>
      </c>
      <c r="K298" s="133"/>
      <c r="L298" s="136"/>
    </row>
    <row r="299" spans="1:12" ht="14.4" customHeight="1">
      <c r="A299" s="262"/>
      <c r="B299" s="244"/>
      <c r="C299" s="243" t="s">
        <v>1197</v>
      </c>
      <c r="D299" s="78" t="s">
        <v>1194</v>
      </c>
      <c r="E299" s="159"/>
      <c r="F299" s="111" t="s">
        <v>1251</v>
      </c>
      <c r="G299" s="107">
        <v>0.33333333333333331</v>
      </c>
      <c r="H299" s="108">
        <v>0.33333333333333298</v>
      </c>
      <c r="I299" s="109">
        <f t="shared" si="8"/>
        <v>0</v>
      </c>
      <c r="J299" s="109">
        <v>0.9</v>
      </c>
      <c r="K299" s="82"/>
      <c r="L299" s="112"/>
    </row>
    <row r="300" spans="1:12" ht="14.4" customHeight="1">
      <c r="A300" s="262"/>
      <c r="B300" s="244"/>
      <c r="C300" s="244"/>
      <c r="D300" s="78" t="s">
        <v>1194</v>
      </c>
      <c r="E300" s="159"/>
      <c r="F300" s="106" t="s">
        <v>1252</v>
      </c>
      <c r="G300" s="107"/>
      <c r="H300" s="108">
        <v>0.33333333333333298</v>
      </c>
      <c r="I300" s="109">
        <f t="shared" si="8"/>
        <v>1</v>
      </c>
      <c r="J300" s="109">
        <v>0.9</v>
      </c>
      <c r="K300" s="82"/>
      <c r="L300" s="82"/>
    </row>
    <row r="301" spans="1:12" ht="15" customHeight="1" thickBot="1">
      <c r="A301" s="262"/>
      <c r="B301" s="245"/>
      <c r="C301" s="245"/>
      <c r="D301" s="78" t="s">
        <v>1194</v>
      </c>
      <c r="E301" s="113"/>
      <c r="F301" s="114" t="s">
        <v>1253</v>
      </c>
      <c r="G301" s="107"/>
      <c r="H301" s="108">
        <v>0.33333333333333298</v>
      </c>
      <c r="I301" s="109">
        <f t="shared" si="8"/>
        <v>1</v>
      </c>
      <c r="J301" s="109">
        <v>0.9</v>
      </c>
      <c r="K301" s="82"/>
      <c r="L301" s="82"/>
    </row>
    <row r="302" spans="1:12" ht="14.4" customHeight="1">
      <c r="A302" s="262"/>
      <c r="B302" s="251">
        <v>45715</v>
      </c>
      <c r="C302" s="248" t="s">
        <v>1198</v>
      </c>
      <c r="D302" s="132" t="s">
        <v>1191</v>
      </c>
      <c r="E302" s="158"/>
      <c r="F302" s="125" t="s">
        <v>1251</v>
      </c>
      <c r="G302" s="126">
        <v>0.33333333333333331</v>
      </c>
      <c r="H302" s="127">
        <v>0.33333333333333298</v>
      </c>
      <c r="I302" s="109">
        <f t="shared" si="8"/>
        <v>0</v>
      </c>
      <c r="J302" s="134">
        <v>0.9</v>
      </c>
      <c r="K302" s="135"/>
      <c r="L302" s="137"/>
    </row>
    <row r="303" spans="1:12" ht="14.4" customHeight="1">
      <c r="A303" s="262"/>
      <c r="B303" s="244"/>
      <c r="C303" s="249"/>
      <c r="D303" s="132" t="s">
        <v>1191</v>
      </c>
      <c r="E303" s="158"/>
      <c r="F303" s="129" t="s">
        <v>1252</v>
      </c>
      <c r="G303" s="126"/>
      <c r="H303" s="127">
        <v>0.33333333333333298</v>
      </c>
      <c r="I303" s="109">
        <f t="shared" si="8"/>
        <v>1</v>
      </c>
      <c r="J303" s="134">
        <v>0.9</v>
      </c>
      <c r="K303" s="135"/>
      <c r="L303" s="136"/>
    </row>
    <row r="304" spans="1:12" ht="14.4" customHeight="1">
      <c r="A304" s="262"/>
      <c r="B304" s="244"/>
      <c r="C304" s="250"/>
      <c r="D304" s="132" t="s">
        <v>1191</v>
      </c>
      <c r="E304" s="133"/>
      <c r="F304" s="128" t="s">
        <v>1253</v>
      </c>
      <c r="G304" s="126"/>
      <c r="H304" s="127">
        <v>0.33333333333333298</v>
      </c>
      <c r="I304" s="109">
        <f t="shared" si="8"/>
        <v>1</v>
      </c>
      <c r="J304" s="134">
        <v>0.9</v>
      </c>
      <c r="K304" s="133"/>
      <c r="L304" s="136"/>
    </row>
    <row r="305" spans="1:12" ht="14.4" customHeight="1">
      <c r="A305" s="262"/>
      <c r="B305" s="244"/>
      <c r="C305" s="243" t="s">
        <v>1196</v>
      </c>
      <c r="D305" s="78" t="s">
        <v>1192</v>
      </c>
      <c r="E305" s="159"/>
      <c r="F305" s="111" t="s">
        <v>1251</v>
      </c>
      <c r="G305" s="107">
        <v>0.33333333333333331</v>
      </c>
      <c r="H305" s="108">
        <v>0.33333333333333298</v>
      </c>
      <c r="I305" s="109">
        <f t="shared" si="8"/>
        <v>0</v>
      </c>
      <c r="J305" s="109">
        <v>0.9</v>
      </c>
      <c r="K305" s="82"/>
      <c r="L305" s="112"/>
    </row>
    <row r="306" spans="1:12" ht="14.4" customHeight="1">
      <c r="A306" s="262"/>
      <c r="B306" s="244"/>
      <c r="C306" s="244"/>
      <c r="D306" s="78" t="s">
        <v>1192</v>
      </c>
      <c r="E306" s="159"/>
      <c r="F306" s="106" t="s">
        <v>1252</v>
      </c>
      <c r="G306" s="107">
        <v>2.8472222222222222E-2</v>
      </c>
      <c r="H306" s="108">
        <v>0.33333333333333298</v>
      </c>
      <c r="I306" s="109">
        <f t="shared" si="8"/>
        <v>0.9145833333333333</v>
      </c>
      <c r="J306" s="109">
        <v>0.9</v>
      </c>
      <c r="K306" s="82"/>
      <c r="L306" s="82"/>
    </row>
    <row r="307" spans="1:12" ht="14.4" customHeight="1">
      <c r="A307" s="262"/>
      <c r="B307" s="244"/>
      <c r="C307" s="245"/>
      <c r="D307" s="78" t="s">
        <v>1192</v>
      </c>
      <c r="E307" s="113"/>
      <c r="F307" s="114" t="s">
        <v>1253</v>
      </c>
      <c r="G307" s="107"/>
      <c r="H307" s="108">
        <v>0.33333333333333298</v>
      </c>
      <c r="I307" s="109">
        <f t="shared" si="8"/>
        <v>1</v>
      </c>
      <c r="J307" s="109">
        <v>0.9</v>
      </c>
      <c r="K307" s="82"/>
      <c r="L307" s="82"/>
    </row>
    <row r="308" spans="1:12" ht="14.4" customHeight="1">
      <c r="A308" s="262"/>
      <c r="B308" s="244"/>
      <c r="C308" s="248" t="s">
        <v>1197</v>
      </c>
      <c r="D308" s="132" t="s">
        <v>1194</v>
      </c>
      <c r="E308" s="158"/>
      <c r="F308" s="125" t="s">
        <v>1251</v>
      </c>
      <c r="G308" s="126">
        <v>0.33333333333333331</v>
      </c>
      <c r="H308" s="127">
        <v>0.33333333333333298</v>
      </c>
      <c r="I308" s="109">
        <f t="shared" si="8"/>
        <v>0</v>
      </c>
      <c r="J308" s="134">
        <v>0.9</v>
      </c>
      <c r="K308" s="133"/>
      <c r="L308" s="137"/>
    </row>
    <row r="309" spans="1:12" ht="14.4" customHeight="1">
      <c r="A309" s="262"/>
      <c r="B309" s="244"/>
      <c r="C309" s="249"/>
      <c r="D309" s="132" t="s">
        <v>1194</v>
      </c>
      <c r="E309" s="158"/>
      <c r="F309" s="129" t="s">
        <v>1252</v>
      </c>
      <c r="G309" s="126"/>
      <c r="H309" s="127">
        <v>0.33333333333333298</v>
      </c>
      <c r="I309" s="109">
        <f t="shared" si="8"/>
        <v>1</v>
      </c>
      <c r="J309" s="134">
        <v>0.9</v>
      </c>
      <c r="K309" s="135"/>
      <c r="L309" s="136"/>
    </row>
    <row r="310" spans="1:12" ht="15" customHeight="1" thickBot="1">
      <c r="A310" s="262"/>
      <c r="B310" s="245"/>
      <c r="C310" s="250"/>
      <c r="D310" s="132" t="s">
        <v>1194</v>
      </c>
      <c r="E310" s="133"/>
      <c r="F310" s="128" t="s">
        <v>1253</v>
      </c>
      <c r="G310" s="126"/>
      <c r="H310" s="127">
        <v>0.33333333333333298</v>
      </c>
      <c r="I310" s="109">
        <f t="shared" si="8"/>
        <v>1</v>
      </c>
      <c r="J310" s="134">
        <v>0.9</v>
      </c>
      <c r="K310" s="133"/>
      <c r="L310" s="136"/>
    </row>
    <row r="311" spans="1:12" ht="14.4" customHeight="1">
      <c r="A311" s="262"/>
      <c r="B311" s="251">
        <v>45716</v>
      </c>
      <c r="C311" s="243" t="s">
        <v>1198</v>
      </c>
      <c r="D311" s="78" t="s">
        <v>1193</v>
      </c>
      <c r="E311" s="159"/>
      <c r="F311" s="111" t="s">
        <v>1251</v>
      </c>
      <c r="G311" s="107">
        <v>0.33333333333333331</v>
      </c>
      <c r="H311" s="108">
        <v>0.33333333333333298</v>
      </c>
      <c r="I311" s="109">
        <f t="shared" si="8"/>
        <v>0</v>
      </c>
      <c r="J311" s="109">
        <v>0.9</v>
      </c>
      <c r="K311" s="82"/>
      <c r="L311" s="112"/>
    </row>
    <row r="312" spans="1:12" ht="14.4" customHeight="1">
      <c r="A312" s="262"/>
      <c r="B312" s="244"/>
      <c r="C312" s="244"/>
      <c r="D312" s="78" t="s">
        <v>1193</v>
      </c>
      <c r="E312" s="159"/>
      <c r="F312" s="106" t="s">
        <v>1252</v>
      </c>
      <c r="G312" s="107"/>
      <c r="H312" s="108">
        <v>0.33333333333333298</v>
      </c>
      <c r="I312" s="109">
        <f t="shared" si="8"/>
        <v>1</v>
      </c>
      <c r="J312" s="109">
        <v>0.9</v>
      </c>
      <c r="K312" s="82"/>
      <c r="L312" s="82"/>
    </row>
    <row r="313" spans="1:12" ht="14.4" customHeight="1">
      <c r="A313" s="262"/>
      <c r="B313" s="244"/>
      <c r="C313" s="245"/>
      <c r="D313" s="78" t="s">
        <v>1193</v>
      </c>
      <c r="E313" s="113"/>
      <c r="F313" s="114" t="s">
        <v>1253</v>
      </c>
      <c r="G313" s="107"/>
      <c r="H313" s="108">
        <v>0.33333333333333298</v>
      </c>
      <c r="I313" s="109">
        <f t="shared" si="8"/>
        <v>1</v>
      </c>
      <c r="J313" s="109">
        <v>0.9</v>
      </c>
      <c r="K313" s="82"/>
      <c r="L313" s="82"/>
    </row>
    <row r="314" spans="1:12" ht="14.4" customHeight="1">
      <c r="A314" s="262"/>
      <c r="B314" s="244"/>
      <c r="C314" s="248" t="s">
        <v>1196</v>
      </c>
      <c r="D314" s="132" t="s">
        <v>1192</v>
      </c>
      <c r="E314" s="158"/>
      <c r="F314" s="125" t="s">
        <v>1251</v>
      </c>
      <c r="G314" s="126">
        <v>0.33333333333333331</v>
      </c>
      <c r="H314" s="127">
        <v>0.33333333333333298</v>
      </c>
      <c r="I314" s="109">
        <f t="shared" si="8"/>
        <v>0</v>
      </c>
      <c r="J314" s="134">
        <v>0.9</v>
      </c>
      <c r="K314" s="135"/>
      <c r="L314" s="137"/>
    </row>
    <row r="315" spans="1:12" ht="14.4" customHeight="1">
      <c r="A315" s="262"/>
      <c r="B315" s="244"/>
      <c r="C315" s="249"/>
      <c r="D315" s="132" t="s">
        <v>1192</v>
      </c>
      <c r="E315" s="158"/>
      <c r="F315" s="129" t="s">
        <v>1252</v>
      </c>
      <c r="G315" s="126"/>
      <c r="H315" s="127">
        <v>0.33333333333333298</v>
      </c>
      <c r="I315" s="109">
        <f t="shared" si="8"/>
        <v>1</v>
      </c>
      <c r="J315" s="134">
        <v>0.9</v>
      </c>
      <c r="K315" s="135"/>
      <c r="L315" s="136"/>
    </row>
    <row r="316" spans="1:12" ht="14.4" customHeight="1">
      <c r="A316" s="262"/>
      <c r="B316" s="244"/>
      <c r="C316" s="250"/>
      <c r="D316" s="132" t="s">
        <v>1192</v>
      </c>
      <c r="E316" s="133"/>
      <c r="F316" s="128" t="s">
        <v>1253</v>
      </c>
      <c r="G316" s="126"/>
      <c r="H316" s="127">
        <v>0.33333333333333298</v>
      </c>
      <c r="I316" s="109">
        <f t="shared" si="8"/>
        <v>1</v>
      </c>
      <c r="J316" s="134">
        <v>0.9</v>
      </c>
      <c r="K316" s="133"/>
      <c r="L316" s="136"/>
    </row>
    <row r="317" spans="1:12" ht="14.4" customHeight="1">
      <c r="A317" s="262"/>
      <c r="B317" s="244"/>
      <c r="C317" s="243" t="s">
        <v>1197</v>
      </c>
      <c r="D317" s="78" t="s">
        <v>1191</v>
      </c>
      <c r="E317" s="159"/>
      <c r="F317" s="111" t="s">
        <v>1251</v>
      </c>
      <c r="G317" s="107">
        <v>0.33333333333333331</v>
      </c>
      <c r="H317" s="108">
        <v>0.33333333333333298</v>
      </c>
      <c r="I317" s="109">
        <f t="shared" si="8"/>
        <v>0</v>
      </c>
      <c r="J317" s="109">
        <v>0.9</v>
      </c>
      <c r="K317" s="82"/>
      <c r="L317" s="82"/>
    </row>
    <row r="318" spans="1:12" ht="14.4" customHeight="1">
      <c r="A318" s="262"/>
      <c r="B318" s="244"/>
      <c r="C318" s="244"/>
      <c r="D318" s="78" t="s">
        <v>1191</v>
      </c>
      <c r="E318" s="159"/>
      <c r="F318" s="106" t="s">
        <v>1252</v>
      </c>
      <c r="G318" s="107"/>
      <c r="H318" s="108">
        <v>0.33333333333333298</v>
      </c>
      <c r="I318" s="109">
        <f t="shared" si="8"/>
        <v>1</v>
      </c>
      <c r="J318" s="109">
        <v>0.9</v>
      </c>
      <c r="K318" s="82"/>
      <c r="L318" s="82"/>
    </row>
    <row r="319" spans="1:12" ht="15" customHeight="1">
      <c r="A319" s="262"/>
      <c r="B319" s="245"/>
      <c r="C319" s="245"/>
      <c r="D319" s="78" t="s">
        <v>1191</v>
      </c>
      <c r="E319" s="113"/>
      <c r="F319" s="114" t="s">
        <v>1253</v>
      </c>
      <c r="G319" s="107"/>
      <c r="H319" s="123">
        <v>0.33333333333333298</v>
      </c>
      <c r="I319" s="109">
        <f t="shared" si="8"/>
        <v>1</v>
      </c>
      <c r="J319" s="109">
        <v>0.9</v>
      </c>
      <c r="K319" s="82"/>
      <c r="L319" s="82"/>
    </row>
    <row r="320" spans="1:12" ht="15" customHeight="1">
      <c r="A320" s="262"/>
      <c r="B320" s="117"/>
      <c r="C320" s="117"/>
      <c r="D320" s="118"/>
      <c r="E320" s="118"/>
      <c r="F320" s="119" t="s">
        <v>1251</v>
      </c>
      <c r="G320" s="124"/>
      <c r="H320" s="124"/>
      <c r="I320" s="120">
        <f>AVERAGEIF(F275:F319,F320,I275:I319)</f>
        <v>0</v>
      </c>
      <c r="J320" s="121">
        <v>0.9</v>
      </c>
      <c r="K320" s="118"/>
      <c r="L320" s="116"/>
    </row>
    <row r="321" spans="1:12" ht="15" customHeight="1">
      <c r="A321" s="262"/>
      <c r="B321" s="117"/>
      <c r="C321" s="117"/>
      <c r="D321" s="118"/>
      <c r="E321" s="118"/>
      <c r="F321" s="119" t="s">
        <v>1252</v>
      </c>
      <c r="G321" s="124"/>
      <c r="H321" s="124"/>
      <c r="I321" s="120">
        <f>AVERAGEIF(F275:F319,F321,I275:I319)</f>
        <v>0.93069444444444438</v>
      </c>
      <c r="J321" s="121">
        <v>0.9</v>
      </c>
      <c r="K321" s="118"/>
      <c r="L321" s="116"/>
    </row>
    <row r="322" spans="1:12" ht="15" customHeight="1">
      <c r="A322" s="262"/>
      <c r="B322" s="117"/>
      <c r="C322" s="117"/>
      <c r="D322" s="118"/>
      <c r="E322" s="118"/>
      <c r="F322" s="119" t="s">
        <v>1253</v>
      </c>
      <c r="G322" s="124"/>
      <c r="H322" s="124"/>
      <c r="I322" s="120">
        <f>AVERAGEIF(F275:F319,F322,I275:I319)</f>
        <v>0.88430555555555534</v>
      </c>
      <c r="J322" s="121">
        <v>0.9</v>
      </c>
      <c r="K322" s="118"/>
      <c r="L322" s="116"/>
    </row>
  </sheetData>
  <mergeCells count="178">
    <mergeCell ref="N12:O12"/>
    <mergeCell ref="B197:B205"/>
    <mergeCell ref="C197:C199"/>
    <mergeCell ref="B56:B64"/>
    <mergeCell ref="C56:C58"/>
    <mergeCell ref="C59:C61"/>
    <mergeCell ref="C62:C64"/>
    <mergeCell ref="B65:B73"/>
    <mergeCell ref="C65:C67"/>
    <mergeCell ref="C161:C163"/>
    <mergeCell ref="C164:C166"/>
    <mergeCell ref="C167:C169"/>
    <mergeCell ref="B104:B112"/>
    <mergeCell ref="C104:C106"/>
    <mergeCell ref="C107:C109"/>
    <mergeCell ref="C110:C112"/>
    <mergeCell ref="B113:B121"/>
    <mergeCell ref="C89:C91"/>
    <mergeCell ref="C92:C94"/>
    <mergeCell ref="C101:C103"/>
    <mergeCell ref="C68:C70"/>
    <mergeCell ref="C71:C73"/>
    <mergeCell ref="N22:N23"/>
    <mergeCell ref="O22:O23"/>
    <mergeCell ref="A143:A208"/>
    <mergeCell ref="B143:B151"/>
    <mergeCell ref="C143:C145"/>
    <mergeCell ref="C146:C148"/>
    <mergeCell ref="C149:C151"/>
    <mergeCell ref="B152:B160"/>
    <mergeCell ref="C152:C154"/>
    <mergeCell ref="C155:C157"/>
    <mergeCell ref="C158:C160"/>
    <mergeCell ref="B161:B169"/>
    <mergeCell ref="B179:B187"/>
    <mergeCell ref="C179:C181"/>
    <mergeCell ref="C182:C184"/>
    <mergeCell ref="C185:C187"/>
    <mergeCell ref="B170:B178"/>
    <mergeCell ref="C170:C172"/>
    <mergeCell ref="C200:C202"/>
    <mergeCell ref="C203:C205"/>
    <mergeCell ref="C173:C175"/>
    <mergeCell ref="C176:C178"/>
    <mergeCell ref="B188:B196"/>
    <mergeCell ref="C188:C190"/>
    <mergeCell ref="C191:C193"/>
    <mergeCell ref="C194:C196"/>
    <mergeCell ref="P38:P41"/>
    <mergeCell ref="Q38:Q41"/>
    <mergeCell ref="C41:C43"/>
    <mergeCell ref="C29:C31"/>
    <mergeCell ref="N29:N30"/>
    <mergeCell ref="O29:O30"/>
    <mergeCell ref="P29:P30"/>
    <mergeCell ref="Q29:Q30"/>
    <mergeCell ref="P31:P34"/>
    <mergeCell ref="Q31:Q34"/>
    <mergeCell ref="C32:C34"/>
    <mergeCell ref="N43:N44"/>
    <mergeCell ref="O43:O44"/>
    <mergeCell ref="P43:P44"/>
    <mergeCell ref="Q43:Q44"/>
    <mergeCell ref="C44:C46"/>
    <mergeCell ref="P45:P48"/>
    <mergeCell ref="Q45:Q48"/>
    <mergeCell ref="C35:C37"/>
    <mergeCell ref="N36:N37"/>
    <mergeCell ref="O36:O37"/>
    <mergeCell ref="P36:P37"/>
    <mergeCell ref="Q36:Q37"/>
    <mergeCell ref="C47:C49"/>
    <mergeCell ref="P22:P23"/>
    <mergeCell ref="Q22:Q23"/>
    <mergeCell ref="C23:C25"/>
    <mergeCell ref="P24:P27"/>
    <mergeCell ref="Q24:Q27"/>
    <mergeCell ref="C26:C28"/>
    <mergeCell ref="N15:N16"/>
    <mergeCell ref="O15:O16"/>
    <mergeCell ref="P15:P16"/>
    <mergeCell ref="Q15:Q16"/>
    <mergeCell ref="C17:C19"/>
    <mergeCell ref="P17:P19"/>
    <mergeCell ref="Q17:Q19"/>
    <mergeCell ref="G1:J1"/>
    <mergeCell ref="K1:L1"/>
    <mergeCell ref="A2:L2"/>
    <mergeCell ref="A3:F3"/>
    <mergeCell ref="G3:J3"/>
    <mergeCell ref="K3:L3"/>
    <mergeCell ref="B122:B130"/>
    <mergeCell ref="C122:C124"/>
    <mergeCell ref="C125:C127"/>
    <mergeCell ref="C128:C130"/>
    <mergeCell ref="A4:F4"/>
    <mergeCell ref="G4:J4"/>
    <mergeCell ref="K4:L4"/>
    <mergeCell ref="A11:A76"/>
    <mergeCell ref="B11:B19"/>
    <mergeCell ref="C11:C13"/>
    <mergeCell ref="C14:C16"/>
    <mergeCell ref="B20:B28"/>
    <mergeCell ref="C20:C22"/>
    <mergeCell ref="B29:B37"/>
    <mergeCell ref="B38:B46"/>
    <mergeCell ref="C38:C40"/>
    <mergeCell ref="B47:B55"/>
    <mergeCell ref="C50:C52"/>
    <mergeCell ref="C236:C238"/>
    <mergeCell ref="C239:C241"/>
    <mergeCell ref="C242:C244"/>
    <mergeCell ref="C245:C247"/>
    <mergeCell ref="C248:C250"/>
    <mergeCell ref="A1:F1"/>
    <mergeCell ref="C53:C55"/>
    <mergeCell ref="A77:A142"/>
    <mergeCell ref="B77:B85"/>
    <mergeCell ref="C77:C79"/>
    <mergeCell ref="C80:C82"/>
    <mergeCell ref="C83:C85"/>
    <mergeCell ref="B86:B94"/>
    <mergeCell ref="B131:B139"/>
    <mergeCell ref="C131:C133"/>
    <mergeCell ref="C134:C136"/>
    <mergeCell ref="C137:C139"/>
    <mergeCell ref="C113:C115"/>
    <mergeCell ref="C116:C118"/>
    <mergeCell ref="C119:C121"/>
    <mergeCell ref="C86:C88"/>
    <mergeCell ref="B95:B103"/>
    <mergeCell ref="C95:C97"/>
    <mergeCell ref="C98:C100"/>
    <mergeCell ref="A275:A322"/>
    <mergeCell ref="B275:B283"/>
    <mergeCell ref="C275:C277"/>
    <mergeCell ref="C278:C280"/>
    <mergeCell ref="C281:C283"/>
    <mergeCell ref="B284:B292"/>
    <mergeCell ref="C284:C286"/>
    <mergeCell ref="C287:C289"/>
    <mergeCell ref="C290:C292"/>
    <mergeCell ref="B293:B301"/>
    <mergeCell ref="C293:C295"/>
    <mergeCell ref="C296:C298"/>
    <mergeCell ref="C299:C301"/>
    <mergeCell ref="B302:B310"/>
    <mergeCell ref="C302:C304"/>
    <mergeCell ref="C305:C307"/>
    <mergeCell ref="C308:C310"/>
    <mergeCell ref="B311:B319"/>
    <mergeCell ref="C311:C313"/>
    <mergeCell ref="C314:C316"/>
    <mergeCell ref="C317:C319"/>
    <mergeCell ref="A209:A274"/>
    <mergeCell ref="B245:B253"/>
    <mergeCell ref="C251:C253"/>
    <mergeCell ref="B254:B262"/>
    <mergeCell ref="C254:C256"/>
    <mergeCell ref="C257:C259"/>
    <mergeCell ref="C260:C262"/>
    <mergeCell ref="B263:B271"/>
    <mergeCell ref="C263:C265"/>
    <mergeCell ref="C266:C268"/>
    <mergeCell ref="C269:C271"/>
    <mergeCell ref="B209:B217"/>
    <mergeCell ref="C209:C211"/>
    <mergeCell ref="C212:C214"/>
    <mergeCell ref="C215:C217"/>
    <mergeCell ref="B218:B226"/>
    <mergeCell ref="C218:C220"/>
    <mergeCell ref="C221:C223"/>
    <mergeCell ref="C224:C226"/>
    <mergeCell ref="B227:B235"/>
    <mergeCell ref="C227:C229"/>
    <mergeCell ref="C230:C232"/>
    <mergeCell ref="C233:C235"/>
    <mergeCell ref="B236:B244"/>
  </mergeCells>
  <phoneticPr fontId="13" type="noConversion"/>
  <conditionalFormatting sqref="F11:F73">
    <cfRule type="containsText" dxfId="166" priority="1" operator="containsText" text="P'SUP">
      <formula>NOT(ISERROR(SEARCH("P'SUP",F11)))</formula>
    </cfRule>
    <cfRule type="containsText" dxfId="165" priority="2" operator="containsText" text="P'NUT">
      <formula>NOT(ISERROR(SEARCH("P'NUT",F11)))</formula>
    </cfRule>
  </conditionalFormatting>
  <conditionalFormatting sqref="F11:F322">
    <cfRule type="containsText" dxfId="164" priority="3" operator="containsText" text="P'SUP">
      <formula>NOT(ISERROR(SEARCH("P'SUP",F11)))</formula>
    </cfRule>
  </conditionalFormatting>
  <conditionalFormatting sqref="F74:F322">
    <cfRule type="containsText" dxfId="163" priority="13" operator="containsText" text="P'NUT">
      <formula>NOT(ISERROR(SEARCH("P'NUT",F74)))</formula>
    </cfRule>
    <cfRule type="containsText" dxfId="162" priority="14" operator="containsText" text="P'SUP">
      <formula>NOT(ISERROR(SEARCH("P'SUP",F74)))</formula>
    </cfRule>
  </conditionalFormatting>
  <conditionalFormatting sqref="I11:I322">
    <cfRule type="cellIs" dxfId="161" priority="10" operator="greaterThan">
      <formula>0.85</formula>
    </cfRule>
    <cfRule type="cellIs" dxfId="160" priority="11" operator="lessThan">
      <formula>0.85</formula>
    </cfRule>
  </conditionalFormatting>
  <conditionalFormatting sqref="O25:O27">
    <cfRule type="cellIs" dxfId="159" priority="6" operator="lessThan">
      <formula>0.85</formula>
    </cfRule>
  </conditionalFormatting>
  <conditionalFormatting sqref="O17:P19">
    <cfRule type="cellIs" dxfId="158" priority="9" operator="lessThan">
      <formula>0.85</formula>
    </cfRule>
  </conditionalFormatting>
  <conditionalFormatting sqref="O24:P24">
    <cfRule type="cellIs" dxfId="157" priority="8" operator="lessThan">
      <formula>0.85</formula>
    </cfRule>
  </conditionalFormatting>
  <conditionalFormatting sqref="O31:P31 O32:O34">
    <cfRule type="cellIs" dxfId="156" priority="7" operator="lessThan">
      <formula>0.85</formula>
    </cfRule>
  </conditionalFormatting>
  <conditionalFormatting sqref="O38:P38 O39:O41">
    <cfRule type="cellIs" dxfId="155" priority="5" operator="lessThan">
      <formula>0.85</formula>
    </cfRule>
  </conditionalFormatting>
  <conditionalFormatting sqref="O45:P45 O46:O48">
    <cfRule type="cellIs" dxfId="154" priority="4" operator="lessThan">
      <formula>0.85</formula>
    </cfRule>
  </conditionalFormatting>
  <pageMargins left="0.7" right="0.7" top="0.75" bottom="0.75" header="0.3" footer="0.3"/>
  <pageSetup paperSize="9" scale="44" fitToHeight="0"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1B169643-5190-4F93-8BD2-24884C805616}">
          <x14:formula1>
            <xm:f>n!$A$2:$A$6</xm:f>
          </x14:formula1>
          <xm:sqref>P31 P24 P38 P45</xm:sqref>
        </x14:dataValidation>
        <x14:dataValidation type="list" allowBlank="1" showInputMessage="1" showErrorMessage="1" xr:uid="{682DB8A4-C866-49EB-B12F-CF430EFECFE4}">
          <x14:formula1>
            <xm:f>n!$B$2:$B$4</xm:f>
          </x14:formula1>
          <xm:sqref>C11:C322</xm:sqref>
        </x14:dataValidation>
        <x14:dataValidation type="list" allowBlank="1" showInputMessage="1" showErrorMessage="1" xr:uid="{2FC235B5-87FA-4E76-9DE8-C89CB5193C86}">
          <x14:formula1>
            <xm:f>n!$A$1:$A$6</xm:f>
          </x14:formula1>
          <xm:sqref>D11:E322</xm:sqref>
        </x14:dataValidation>
        <x14:dataValidation type="list" allowBlank="1" showInputMessage="1" showErrorMessage="1" xr:uid="{D0036A4E-CD36-4D4C-BC70-DDB9ECFF31B5}">
          <x14:formula1>
            <xm:f>n!$A$8:$A$10</xm:f>
          </x14:formula1>
          <xm:sqref>F11:F322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7471C-D6C0-4921-9961-26419E92B0B4}">
  <sheetPr>
    <pageSetUpPr fitToPage="1"/>
  </sheetPr>
  <dimension ref="A1:Q295"/>
  <sheetViews>
    <sheetView topLeftCell="A20" zoomScale="80" zoomScaleNormal="80" workbookViewId="0">
      <selection activeCell="N41" sqref="N41"/>
    </sheetView>
  </sheetViews>
  <sheetFormatPr baseColWidth="10" defaultRowHeight="14.4"/>
  <cols>
    <col min="2" max="2" width="13.21875" customWidth="1"/>
    <col min="3" max="3" width="11.88671875" customWidth="1"/>
    <col min="4" max="4" width="13.6640625" customWidth="1"/>
    <col min="5" max="5" width="14.33203125" customWidth="1"/>
    <col min="6" max="6" width="10.44140625" customWidth="1"/>
    <col min="7" max="7" width="12.5546875" customWidth="1"/>
    <col min="9" max="9" width="13.6640625" customWidth="1"/>
    <col min="10" max="10" width="12.88671875" customWidth="1"/>
    <col min="11" max="11" width="27.88671875" customWidth="1"/>
    <col min="12" max="12" width="25.109375" customWidth="1"/>
    <col min="14" max="14" width="13.88671875" customWidth="1"/>
    <col min="15" max="15" width="14.5546875" customWidth="1"/>
    <col min="16" max="16" width="14" customWidth="1"/>
    <col min="17" max="17" width="58.5546875" customWidth="1"/>
  </cols>
  <sheetData>
    <row r="1" spans="1:14" ht="38.4" customHeight="1">
      <c r="A1" s="201"/>
      <c r="B1" s="201"/>
      <c r="C1" s="201"/>
      <c r="D1" s="201"/>
      <c r="E1" s="201"/>
      <c r="F1" s="201"/>
      <c r="G1" s="201"/>
      <c r="H1" s="201"/>
      <c r="I1" s="201"/>
      <c r="J1" s="201"/>
      <c r="K1" s="246" t="s">
        <v>1228</v>
      </c>
      <c r="L1" s="246"/>
    </row>
    <row r="2" spans="1:14" ht="26.4" customHeight="1">
      <c r="A2" s="210" t="s">
        <v>1227</v>
      </c>
      <c r="B2" s="210"/>
      <c r="C2" s="210"/>
      <c r="D2" s="210"/>
      <c r="E2" s="210"/>
      <c r="F2" s="210"/>
      <c r="G2" s="210"/>
      <c r="H2" s="210"/>
      <c r="I2" s="210"/>
      <c r="J2" s="210"/>
      <c r="K2" s="210"/>
      <c r="L2" s="210"/>
    </row>
    <row r="3" spans="1:14" ht="26.4" customHeight="1">
      <c r="A3" s="221" t="s">
        <v>1210</v>
      </c>
      <c r="B3" s="222"/>
      <c r="C3" s="222"/>
      <c r="D3" s="222"/>
      <c r="E3" s="222"/>
      <c r="F3" s="222"/>
      <c r="G3" s="221" t="s">
        <v>1209</v>
      </c>
      <c r="H3" s="222"/>
      <c r="I3" s="222"/>
      <c r="J3" s="222"/>
      <c r="K3" s="247" t="s">
        <v>1230</v>
      </c>
      <c r="L3" s="247"/>
      <c r="N3" s="67"/>
    </row>
    <row r="4" spans="1:14" ht="63" customHeight="1">
      <c r="A4" s="221" t="s">
        <v>1224</v>
      </c>
      <c r="B4" s="222"/>
      <c r="C4" s="222"/>
      <c r="D4" s="222"/>
      <c r="E4" s="222"/>
      <c r="F4" s="222"/>
      <c r="G4" s="221" t="s">
        <v>1225</v>
      </c>
      <c r="H4" s="222"/>
      <c r="I4" s="222"/>
      <c r="J4" s="222"/>
      <c r="K4" s="221" t="s">
        <v>1226</v>
      </c>
      <c r="L4" s="221"/>
    </row>
    <row r="5" spans="1:14" ht="14.4" customHeight="1"/>
    <row r="6" spans="1:14" hidden="1"/>
    <row r="7" spans="1:14" hidden="1"/>
    <row r="8" spans="1:14" hidden="1"/>
    <row r="9" spans="1:14" ht="24.6" customHeight="1" thickBot="1"/>
    <row r="10" spans="1:14" ht="36.6" customHeight="1" thickTop="1" thickBot="1">
      <c r="A10" s="139" t="s">
        <v>1190</v>
      </c>
      <c r="B10" s="140" t="s">
        <v>1258</v>
      </c>
      <c r="C10" s="141" t="s">
        <v>1257</v>
      </c>
      <c r="D10" s="164" t="s">
        <v>1250</v>
      </c>
      <c r="E10" s="164" t="s">
        <v>1285</v>
      </c>
      <c r="F10" s="164" t="s">
        <v>1246</v>
      </c>
      <c r="G10" s="143" t="s">
        <v>1259</v>
      </c>
      <c r="H10" s="143" t="s">
        <v>1248</v>
      </c>
      <c r="I10" s="143" t="s">
        <v>1249</v>
      </c>
      <c r="J10" s="143" t="s">
        <v>1254</v>
      </c>
      <c r="K10" s="144" t="s">
        <v>1247</v>
      </c>
      <c r="L10" s="163" t="s">
        <v>1255</v>
      </c>
    </row>
    <row r="11" spans="1:14" ht="14.4" customHeight="1">
      <c r="A11" s="252" t="s">
        <v>1369</v>
      </c>
      <c r="B11" s="251">
        <v>45717</v>
      </c>
      <c r="C11" s="243" t="s">
        <v>1198</v>
      </c>
      <c r="D11" s="78" t="s">
        <v>1193</v>
      </c>
      <c r="E11" s="159"/>
      <c r="F11" s="111" t="s">
        <v>1251</v>
      </c>
      <c r="G11" s="107">
        <v>0.33333333333333331</v>
      </c>
      <c r="H11" s="108">
        <v>0.33333333333333298</v>
      </c>
      <c r="I11" s="109">
        <f t="shared" ref="I11:I28" si="0">1-(G11/H11)</f>
        <v>0</v>
      </c>
      <c r="J11" s="109">
        <v>0.9</v>
      </c>
      <c r="K11" s="82"/>
      <c r="L11" s="112"/>
    </row>
    <row r="12" spans="1:14" ht="14.4" customHeight="1">
      <c r="A12" s="253"/>
      <c r="B12" s="244"/>
      <c r="C12" s="244"/>
      <c r="D12" s="78" t="s">
        <v>1193</v>
      </c>
      <c r="E12" s="159"/>
      <c r="F12" s="106" t="s">
        <v>1252</v>
      </c>
      <c r="G12" s="107"/>
      <c r="H12" s="108">
        <v>0.33333333333333298</v>
      </c>
      <c r="I12" s="109">
        <f t="shared" si="0"/>
        <v>1</v>
      </c>
      <c r="J12" s="109">
        <v>0.9</v>
      </c>
      <c r="K12" s="82"/>
      <c r="L12" s="82"/>
    </row>
    <row r="13" spans="1:14" ht="14.4" customHeight="1">
      <c r="A13" s="253"/>
      <c r="B13" s="244"/>
      <c r="C13" s="245"/>
      <c r="D13" s="78" t="s">
        <v>1193</v>
      </c>
      <c r="E13" s="113"/>
      <c r="F13" s="114" t="s">
        <v>1253</v>
      </c>
      <c r="G13" s="107"/>
      <c r="H13" s="108">
        <v>0.33333333333333298</v>
      </c>
      <c r="I13" s="109">
        <f t="shared" si="0"/>
        <v>1</v>
      </c>
      <c r="J13" s="109">
        <v>0.9</v>
      </c>
      <c r="K13" s="82"/>
      <c r="L13" s="82"/>
    </row>
    <row r="14" spans="1:14" ht="14.4" customHeight="1">
      <c r="A14" s="253"/>
      <c r="B14" s="244"/>
      <c r="C14" s="248" t="s">
        <v>1196</v>
      </c>
      <c r="D14" s="132" t="s">
        <v>1191</v>
      </c>
      <c r="E14" s="158"/>
      <c r="F14" s="125" t="s">
        <v>1251</v>
      </c>
      <c r="G14" s="126">
        <v>0.33333333333333331</v>
      </c>
      <c r="H14" s="127">
        <v>0.33333333333333298</v>
      </c>
      <c r="I14" s="109">
        <f t="shared" si="0"/>
        <v>0</v>
      </c>
      <c r="J14" s="134">
        <v>0.9</v>
      </c>
      <c r="K14" s="135"/>
      <c r="L14" s="137"/>
    </row>
    <row r="15" spans="1:14" ht="14.4" customHeight="1">
      <c r="A15" s="253"/>
      <c r="B15" s="244"/>
      <c r="C15" s="249"/>
      <c r="D15" s="132" t="s">
        <v>1191</v>
      </c>
      <c r="E15" s="158"/>
      <c r="F15" s="129" t="s">
        <v>1252</v>
      </c>
      <c r="G15" s="126"/>
      <c r="H15" s="127">
        <v>0.33333333333333298</v>
      </c>
      <c r="I15" s="109">
        <f t="shared" si="0"/>
        <v>1</v>
      </c>
      <c r="J15" s="134">
        <v>0.9</v>
      </c>
      <c r="K15" s="135"/>
      <c r="L15" s="136"/>
    </row>
    <row r="16" spans="1:14" ht="14.4" customHeight="1">
      <c r="A16" s="253"/>
      <c r="B16" s="244"/>
      <c r="C16" s="250"/>
      <c r="D16" s="132" t="s">
        <v>1191</v>
      </c>
      <c r="E16" s="133"/>
      <c r="F16" s="128" t="s">
        <v>1253</v>
      </c>
      <c r="G16" s="126">
        <v>7.4999999999999997E-2</v>
      </c>
      <c r="H16" s="127">
        <v>0.33333333333333298</v>
      </c>
      <c r="I16" s="109">
        <f t="shared" si="0"/>
        <v>0.7749999999999998</v>
      </c>
      <c r="J16" s="134">
        <v>0.9</v>
      </c>
      <c r="K16" s="133"/>
      <c r="L16" s="136"/>
    </row>
    <row r="17" spans="1:12" ht="14.4" customHeight="1">
      <c r="A17" s="253"/>
      <c r="B17" s="244"/>
      <c r="C17" s="243" t="s">
        <v>1197</v>
      </c>
      <c r="D17" s="78" t="s">
        <v>1192</v>
      </c>
      <c r="E17" s="159"/>
      <c r="F17" s="111" t="s">
        <v>1251</v>
      </c>
      <c r="G17" s="107">
        <v>0.33333333333333331</v>
      </c>
      <c r="H17" s="108">
        <v>0.33333333333333298</v>
      </c>
      <c r="I17" s="109">
        <f t="shared" si="0"/>
        <v>0</v>
      </c>
      <c r="J17" s="109">
        <v>0.9</v>
      </c>
      <c r="K17" s="82"/>
      <c r="L17" s="82"/>
    </row>
    <row r="18" spans="1:12" ht="14.4" customHeight="1">
      <c r="A18" s="253"/>
      <c r="B18" s="244"/>
      <c r="C18" s="244"/>
      <c r="D18" s="78" t="s">
        <v>1192</v>
      </c>
      <c r="E18" s="159"/>
      <c r="F18" s="106" t="s">
        <v>1252</v>
      </c>
      <c r="G18" s="107"/>
      <c r="H18" s="108">
        <v>0.33333333333333298</v>
      </c>
      <c r="I18" s="109">
        <f t="shared" si="0"/>
        <v>1</v>
      </c>
      <c r="J18" s="109">
        <v>0.9</v>
      </c>
      <c r="K18" s="82"/>
      <c r="L18" s="82"/>
    </row>
    <row r="19" spans="1:12" ht="14.4" customHeight="1" thickBot="1">
      <c r="A19" s="253"/>
      <c r="B19" s="245"/>
      <c r="C19" s="245"/>
      <c r="D19" s="78" t="s">
        <v>1192</v>
      </c>
      <c r="E19" s="113"/>
      <c r="F19" s="114" t="s">
        <v>1253</v>
      </c>
      <c r="G19" s="107"/>
      <c r="H19" s="123">
        <v>0.33333333333333298</v>
      </c>
      <c r="I19" s="109">
        <f t="shared" si="0"/>
        <v>1</v>
      </c>
      <c r="J19" s="109">
        <v>0.9</v>
      </c>
      <c r="K19" s="82"/>
      <c r="L19" s="82"/>
    </row>
    <row r="20" spans="1:12" ht="14.4" customHeight="1">
      <c r="A20" s="253"/>
      <c r="B20" s="251">
        <v>45718</v>
      </c>
      <c r="C20" s="243" t="s">
        <v>1198</v>
      </c>
      <c r="D20" s="78" t="s">
        <v>1194</v>
      </c>
      <c r="E20" s="159"/>
      <c r="F20" s="111" t="s">
        <v>1251</v>
      </c>
      <c r="G20" s="107">
        <v>0.33333333333333331</v>
      </c>
      <c r="H20" s="108">
        <v>0.33333333333333298</v>
      </c>
      <c r="I20" s="109">
        <f t="shared" si="0"/>
        <v>0</v>
      </c>
      <c r="J20" s="109">
        <v>0.9</v>
      </c>
      <c r="K20" s="82"/>
      <c r="L20" s="112"/>
    </row>
    <row r="21" spans="1:12" ht="14.4" customHeight="1">
      <c r="A21" s="253"/>
      <c r="B21" s="244"/>
      <c r="C21" s="244"/>
      <c r="D21" s="78" t="s">
        <v>1194</v>
      </c>
      <c r="E21" s="159"/>
      <c r="F21" s="106" t="s">
        <v>1252</v>
      </c>
      <c r="G21" s="107"/>
      <c r="H21" s="108">
        <v>0.33333333333333298</v>
      </c>
      <c r="I21" s="109">
        <f t="shared" si="0"/>
        <v>1</v>
      </c>
      <c r="J21" s="109">
        <v>0.9</v>
      </c>
      <c r="K21" s="82"/>
      <c r="L21" s="82"/>
    </row>
    <row r="22" spans="1:12" ht="14.4" customHeight="1">
      <c r="A22" s="253"/>
      <c r="B22" s="244"/>
      <c r="C22" s="245"/>
      <c r="D22" s="78" t="s">
        <v>1194</v>
      </c>
      <c r="E22" s="113"/>
      <c r="F22" s="114" t="s">
        <v>1253</v>
      </c>
      <c r="G22" s="107"/>
      <c r="H22" s="108">
        <v>0.33333333333333298</v>
      </c>
      <c r="I22" s="109">
        <f t="shared" si="0"/>
        <v>1</v>
      </c>
      <c r="J22" s="109">
        <v>0.9</v>
      </c>
      <c r="K22" s="82"/>
      <c r="L22" s="82"/>
    </row>
    <row r="23" spans="1:12" ht="14.4" customHeight="1">
      <c r="A23" s="253"/>
      <c r="B23" s="244"/>
      <c r="C23" s="248" t="s">
        <v>1196</v>
      </c>
      <c r="D23" s="132" t="s">
        <v>1193</v>
      </c>
      <c r="E23" s="158"/>
      <c r="F23" s="125" t="s">
        <v>1251</v>
      </c>
      <c r="G23" s="126">
        <v>0.33333333333333331</v>
      </c>
      <c r="H23" s="127">
        <v>0.33333333333333298</v>
      </c>
      <c r="I23" s="109">
        <f t="shared" si="0"/>
        <v>0</v>
      </c>
      <c r="J23" s="134">
        <v>0.9</v>
      </c>
      <c r="K23" s="135"/>
      <c r="L23" s="137"/>
    </row>
    <row r="24" spans="1:12" ht="14.4" customHeight="1">
      <c r="A24" s="253"/>
      <c r="B24" s="244"/>
      <c r="C24" s="249"/>
      <c r="D24" s="132" t="s">
        <v>1193</v>
      </c>
      <c r="E24" s="158"/>
      <c r="F24" s="129" t="s">
        <v>1252</v>
      </c>
      <c r="G24" s="126"/>
      <c r="H24" s="127">
        <v>0.33333333333333298</v>
      </c>
      <c r="I24" s="109">
        <f t="shared" si="0"/>
        <v>1</v>
      </c>
      <c r="J24" s="134">
        <v>0.9</v>
      </c>
      <c r="K24" s="135"/>
      <c r="L24" s="136"/>
    </row>
    <row r="25" spans="1:12" ht="14.4" customHeight="1">
      <c r="A25" s="253"/>
      <c r="B25" s="244"/>
      <c r="C25" s="250"/>
      <c r="D25" s="132" t="s">
        <v>1193</v>
      </c>
      <c r="E25" s="133"/>
      <c r="F25" s="128" t="s">
        <v>1253</v>
      </c>
      <c r="G25" s="126"/>
      <c r="H25" s="127">
        <v>0.33333333333333298</v>
      </c>
      <c r="I25" s="109">
        <f t="shared" si="0"/>
        <v>1</v>
      </c>
      <c r="J25" s="134">
        <v>0.9</v>
      </c>
      <c r="K25" s="133"/>
      <c r="L25" s="136"/>
    </row>
    <row r="26" spans="1:12" ht="14.4" customHeight="1">
      <c r="A26" s="253"/>
      <c r="B26" s="244"/>
      <c r="C26" s="243" t="s">
        <v>1197</v>
      </c>
      <c r="D26" s="78" t="s">
        <v>1191</v>
      </c>
      <c r="E26" s="159"/>
      <c r="F26" s="111" t="s">
        <v>1251</v>
      </c>
      <c r="G26" s="107">
        <v>0.33333333333333331</v>
      </c>
      <c r="H26" s="108">
        <v>0.33333333333333298</v>
      </c>
      <c r="I26" s="109">
        <f t="shared" si="0"/>
        <v>0</v>
      </c>
      <c r="J26" s="109">
        <v>0.9</v>
      </c>
      <c r="K26" s="82"/>
      <c r="L26" s="82"/>
    </row>
    <row r="27" spans="1:12" ht="14.4" customHeight="1">
      <c r="A27" s="253"/>
      <c r="B27" s="244"/>
      <c r="C27" s="244"/>
      <c r="D27" s="78" t="s">
        <v>1191</v>
      </c>
      <c r="E27" s="159"/>
      <c r="F27" s="106" t="s">
        <v>1252</v>
      </c>
      <c r="G27" s="107"/>
      <c r="H27" s="108">
        <v>0.33333333333333298</v>
      </c>
      <c r="I27" s="109">
        <f t="shared" si="0"/>
        <v>1</v>
      </c>
      <c r="J27" s="109">
        <v>0.9</v>
      </c>
      <c r="K27" s="82"/>
      <c r="L27" s="82"/>
    </row>
    <row r="28" spans="1:12" ht="14.4" customHeight="1">
      <c r="A28" s="253"/>
      <c r="B28" s="245"/>
      <c r="C28" s="245"/>
      <c r="D28" s="78" t="s">
        <v>1191</v>
      </c>
      <c r="E28" s="113"/>
      <c r="F28" s="114" t="s">
        <v>1253</v>
      </c>
      <c r="G28" s="107">
        <v>2.0833333333333332E-2</v>
      </c>
      <c r="H28" s="123">
        <v>0.33333333333333298</v>
      </c>
      <c r="I28" s="109">
        <f t="shared" si="0"/>
        <v>0.93749999999999989</v>
      </c>
      <c r="J28" s="109">
        <v>0.9</v>
      </c>
      <c r="K28" s="82"/>
      <c r="L28" s="82"/>
    </row>
    <row r="29" spans="1:12" ht="14.4" customHeight="1">
      <c r="A29" s="253"/>
      <c r="B29" s="117"/>
      <c r="C29" s="117"/>
      <c r="D29" s="118"/>
      <c r="E29" s="118"/>
      <c r="F29" s="119" t="s">
        <v>1251</v>
      </c>
      <c r="G29" s="124"/>
      <c r="H29" s="124"/>
      <c r="I29" s="120">
        <f>AVERAGEIF(F11:F28,F29,I11:I28)</f>
        <v>0</v>
      </c>
      <c r="J29" s="121">
        <v>0.9</v>
      </c>
      <c r="K29" s="118"/>
      <c r="L29" s="116"/>
    </row>
    <row r="30" spans="1:12" ht="14.4" customHeight="1">
      <c r="A30" s="253"/>
      <c r="B30" s="117"/>
      <c r="C30" s="117"/>
      <c r="D30" s="118"/>
      <c r="E30" s="118"/>
      <c r="F30" s="119" t="s">
        <v>1252</v>
      </c>
      <c r="G30" s="124"/>
      <c r="H30" s="124"/>
      <c r="I30" s="120">
        <f>AVERAGEIF(F11:F28,F30,I11:I28)</f>
        <v>1</v>
      </c>
      <c r="J30" s="121">
        <v>0.9</v>
      </c>
      <c r="K30" s="118"/>
      <c r="L30" s="116"/>
    </row>
    <row r="31" spans="1:12" ht="15.6" customHeight="1">
      <c r="A31" s="253"/>
      <c r="B31" s="117"/>
      <c r="C31" s="117"/>
      <c r="D31" s="118"/>
      <c r="E31" s="118"/>
      <c r="F31" s="119" t="s">
        <v>1253</v>
      </c>
      <c r="G31" s="124"/>
      <c r="H31" s="124"/>
      <c r="I31" s="120">
        <f>AVERAGEIF(F11:F28,F31,I11:I28)</f>
        <v>0.95208333333333339</v>
      </c>
      <c r="J31" s="121">
        <v>0.9</v>
      </c>
      <c r="K31" s="118"/>
      <c r="L31" s="116"/>
    </row>
    <row r="32" spans="1:12" ht="14.4" customHeight="1">
      <c r="A32" s="253"/>
      <c r="B32" s="243">
        <v>45719</v>
      </c>
      <c r="C32" s="243" t="s">
        <v>1198</v>
      </c>
      <c r="D32" s="110" t="s">
        <v>1201</v>
      </c>
      <c r="E32" s="156"/>
      <c r="F32" s="111" t="s">
        <v>1251</v>
      </c>
      <c r="G32" s="107">
        <v>0.33333333333333331</v>
      </c>
      <c r="H32" s="108">
        <v>0.33333333333333331</v>
      </c>
      <c r="I32" s="109">
        <f>1-(G32/H32)</f>
        <v>0</v>
      </c>
      <c r="J32" s="109">
        <v>0.9</v>
      </c>
      <c r="K32" s="82"/>
      <c r="L32" s="82"/>
    </row>
    <row r="33" spans="1:17" ht="14.4" customHeight="1">
      <c r="A33" s="253"/>
      <c r="B33" s="244"/>
      <c r="C33" s="244"/>
      <c r="D33" s="110" t="s">
        <v>1201</v>
      </c>
      <c r="E33" s="156"/>
      <c r="F33" s="111" t="s">
        <v>1252</v>
      </c>
      <c r="G33" s="107"/>
      <c r="H33" s="108">
        <v>0.33333333333333331</v>
      </c>
      <c r="I33" s="109">
        <f>1-(G33/H33)</f>
        <v>1</v>
      </c>
      <c r="J33" s="109">
        <v>0.9</v>
      </c>
      <c r="K33" s="82"/>
      <c r="L33" s="82"/>
    </row>
    <row r="34" spans="1:17" ht="14.4" customHeight="1">
      <c r="A34" s="253"/>
      <c r="B34" s="244"/>
      <c r="C34" s="245"/>
      <c r="D34" s="110" t="s">
        <v>1201</v>
      </c>
      <c r="E34" s="157"/>
      <c r="F34" s="114" t="s">
        <v>1253</v>
      </c>
      <c r="G34" s="107"/>
      <c r="H34" s="108">
        <v>0.33333333333333298</v>
      </c>
      <c r="I34" s="109">
        <f t="shared" ref="I34:I94" si="1">1-(G34/H34)</f>
        <v>1</v>
      </c>
      <c r="J34" s="109">
        <v>0.9</v>
      </c>
      <c r="K34" s="82"/>
      <c r="L34" s="82"/>
      <c r="N34" s="258" t="s">
        <v>1357</v>
      </c>
      <c r="O34" s="258"/>
    </row>
    <row r="35" spans="1:17" ht="14.4" customHeight="1">
      <c r="A35" s="253"/>
      <c r="B35" s="244"/>
      <c r="C35" s="248" t="s">
        <v>1196</v>
      </c>
      <c r="D35" s="132" t="s">
        <v>1193</v>
      </c>
      <c r="E35" s="158"/>
      <c r="F35" s="125" t="s">
        <v>1251</v>
      </c>
      <c r="G35" s="126">
        <v>0.33333333333333331</v>
      </c>
      <c r="H35" s="127">
        <v>0.33333333333333298</v>
      </c>
      <c r="I35" s="134">
        <f t="shared" si="1"/>
        <v>0</v>
      </c>
      <c r="J35" s="134">
        <v>0.9</v>
      </c>
      <c r="K35" s="135"/>
      <c r="L35" s="136"/>
    </row>
    <row r="36" spans="1:17" ht="14.4" customHeight="1">
      <c r="A36" s="253"/>
      <c r="B36" s="244"/>
      <c r="C36" s="249"/>
      <c r="D36" s="132" t="s">
        <v>1193</v>
      </c>
      <c r="E36" s="158"/>
      <c r="F36" s="125" t="s">
        <v>1252</v>
      </c>
      <c r="G36" s="126"/>
      <c r="H36" s="127">
        <v>0.33333333333333298</v>
      </c>
      <c r="I36" s="134">
        <f t="shared" si="1"/>
        <v>1</v>
      </c>
      <c r="J36" s="134">
        <v>0.9</v>
      </c>
      <c r="K36" s="135"/>
      <c r="L36" s="136"/>
      <c r="N36" s="255" t="s">
        <v>1287</v>
      </c>
      <c r="O36" s="255" t="s">
        <v>1288</v>
      </c>
      <c r="P36" s="255" t="s">
        <v>1289</v>
      </c>
      <c r="Q36" s="255" t="s">
        <v>1290</v>
      </c>
    </row>
    <row r="37" spans="1:17" ht="14.4" customHeight="1">
      <c r="A37" s="253"/>
      <c r="B37" s="244"/>
      <c r="C37" s="250"/>
      <c r="D37" s="132" t="s">
        <v>1193</v>
      </c>
      <c r="E37" s="133"/>
      <c r="F37" s="128" t="s">
        <v>1253</v>
      </c>
      <c r="G37" s="126"/>
      <c r="H37" s="127">
        <v>0.33333333333333298</v>
      </c>
      <c r="I37" s="134">
        <f t="shared" si="1"/>
        <v>1</v>
      </c>
      <c r="J37" s="134">
        <v>0.9</v>
      </c>
      <c r="K37" s="133"/>
      <c r="L37" s="136"/>
      <c r="N37" s="255"/>
      <c r="O37" s="255"/>
      <c r="P37" s="255"/>
      <c r="Q37" s="255"/>
    </row>
    <row r="38" spans="1:17" ht="14.4" customHeight="1">
      <c r="A38" s="253"/>
      <c r="B38" s="244"/>
      <c r="C38" s="243" t="s">
        <v>1197</v>
      </c>
      <c r="D38" s="78" t="s">
        <v>1191</v>
      </c>
      <c r="E38" s="159"/>
      <c r="F38" s="111" t="s">
        <v>1251</v>
      </c>
      <c r="G38" s="107">
        <v>0.33333333333333331</v>
      </c>
      <c r="H38" s="108">
        <v>0.33333333333333298</v>
      </c>
      <c r="I38" s="109">
        <f t="shared" si="1"/>
        <v>0</v>
      </c>
      <c r="J38" s="109">
        <v>0.9</v>
      </c>
      <c r="K38" s="82"/>
      <c r="L38" s="112"/>
      <c r="N38" s="161" t="s">
        <v>1251</v>
      </c>
      <c r="O38" s="162">
        <f>(I29+I95+I161+I227+I293)/5</f>
        <v>0.44549603174603175</v>
      </c>
      <c r="P38" s="254">
        <f>(O38+O39+O40)/3</f>
        <v>0.73255952380952383</v>
      </c>
      <c r="Q38" s="264" t="s">
        <v>1353</v>
      </c>
    </row>
    <row r="39" spans="1:17" ht="14.4" customHeight="1">
      <c r="A39" s="253"/>
      <c r="B39" s="244"/>
      <c r="C39" s="244"/>
      <c r="D39" s="78" t="s">
        <v>1191</v>
      </c>
      <c r="E39" s="159"/>
      <c r="F39" s="111" t="s">
        <v>1252</v>
      </c>
      <c r="G39" s="107"/>
      <c r="H39" s="108">
        <v>0.33333333333333298</v>
      </c>
      <c r="I39" s="109">
        <f t="shared" si="1"/>
        <v>1</v>
      </c>
      <c r="J39" s="109">
        <v>0.9</v>
      </c>
      <c r="K39" s="82"/>
      <c r="L39" s="82"/>
      <c r="N39" s="161" t="s">
        <v>1252</v>
      </c>
      <c r="O39" s="162">
        <f>(I30+I96+I162+I228+I294)/5</f>
        <v>0.91170634920634919</v>
      </c>
      <c r="P39" s="254"/>
      <c r="Q39" s="264"/>
    </row>
    <row r="40" spans="1:17" ht="15" customHeight="1" thickBot="1">
      <c r="A40" s="253"/>
      <c r="B40" s="263"/>
      <c r="C40" s="245"/>
      <c r="D40" s="78" t="s">
        <v>1191</v>
      </c>
      <c r="E40" s="113"/>
      <c r="F40" s="114" t="s">
        <v>1253</v>
      </c>
      <c r="G40" s="107"/>
      <c r="H40" s="108">
        <v>0.33333333333333298</v>
      </c>
      <c r="I40" s="109">
        <f t="shared" si="1"/>
        <v>1</v>
      </c>
      <c r="J40" s="109">
        <v>0.9</v>
      </c>
      <c r="K40" s="82"/>
      <c r="L40" s="82"/>
      <c r="N40" s="161" t="s">
        <v>1253</v>
      </c>
      <c r="O40" s="162">
        <f>(I31+I97+I163+I229+I295)/5</f>
        <v>0.84047619047619038</v>
      </c>
      <c r="P40" s="254"/>
      <c r="Q40" s="264"/>
    </row>
    <row r="41" spans="1:17" ht="14.4" customHeight="1">
      <c r="A41" s="253"/>
      <c r="B41" s="243">
        <v>45720</v>
      </c>
      <c r="C41" s="248" t="s">
        <v>1198</v>
      </c>
      <c r="D41" s="132" t="s">
        <v>1192</v>
      </c>
      <c r="E41" s="158"/>
      <c r="F41" s="125" t="s">
        <v>1251</v>
      </c>
      <c r="G41" s="126">
        <v>0.33333333333333331</v>
      </c>
      <c r="H41" s="127">
        <v>0.33333333333333298</v>
      </c>
      <c r="I41" s="134">
        <f t="shared" si="1"/>
        <v>0</v>
      </c>
      <c r="J41" s="134">
        <v>0.9</v>
      </c>
      <c r="K41" s="135"/>
      <c r="L41" s="137"/>
    </row>
    <row r="42" spans="1:17" ht="14.4" customHeight="1">
      <c r="A42" s="253"/>
      <c r="B42" s="244"/>
      <c r="C42" s="249"/>
      <c r="D42" s="132" t="s">
        <v>1192</v>
      </c>
      <c r="E42" s="158"/>
      <c r="F42" s="125" t="s">
        <v>1252</v>
      </c>
      <c r="G42" s="126"/>
      <c r="H42" s="127">
        <v>0.33333333333333298</v>
      </c>
      <c r="I42" s="134">
        <f t="shared" si="1"/>
        <v>1</v>
      </c>
      <c r="J42" s="134">
        <v>0.9</v>
      </c>
      <c r="K42" s="135"/>
      <c r="L42" s="136"/>
    </row>
    <row r="43" spans="1:17" ht="14.4" customHeight="1">
      <c r="A43" s="253"/>
      <c r="B43" s="244"/>
      <c r="C43" s="250"/>
      <c r="D43" s="132" t="s">
        <v>1192</v>
      </c>
      <c r="E43" s="133"/>
      <c r="F43" s="128" t="s">
        <v>1253</v>
      </c>
      <c r="G43" s="126"/>
      <c r="H43" s="127">
        <v>0.33333333333333298</v>
      </c>
      <c r="I43" s="134">
        <f t="shared" si="1"/>
        <v>1</v>
      </c>
      <c r="J43" s="134">
        <v>0.9</v>
      </c>
      <c r="K43" s="133"/>
      <c r="L43" s="136"/>
      <c r="N43" s="255" t="s">
        <v>1287</v>
      </c>
      <c r="O43" s="255" t="s">
        <v>1288</v>
      </c>
      <c r="P43" s="255" t="s">
        <v>1292</v>
      </c>
      <c r="Q43" s="255" t="s">
        <v>1290</v>
      </c>
    </row>
    <row r="44" spans="1:17" ht="14.4" customHeight="1">
      <c r="A44" s="253"/>
      <c r="B44" s="244"/>
      <c r="C44" s="243" t="s">
        <v>1196</v>
      </c>
      <c r="D44" s="78" t="s">
        <v>1194</v>
      </c>
      <c r="E44" s="159"/>
      <c r="F44" s="111" t="s">
        <v>1251</v>
      </c>
      <c r="G44" s="107">
        <v>0.33333333333333331</v>
      </c>
      <c r="H44" s="108">
        <v>0.33333333333333298</v>
      </c>
      <c r="I44" s="109">
        <f t="shared" si="1"/>
        <v>0</v>
      </c>
      <c r="J44" s="109">
        <v>0.9</v>
      </c>
      <c r="K44" s="82"/>
      <c r="L44" s="112"/>
      <c r="N44" s="255"/>
      <c r="O44" s="255"/>
      <c r="P44" s="255"/>
      <c r="Q44" s="255"/>
    </row>
    <row r="45" spans="1:17" ht="14.4" customHeight="1">
      <c r="A45" s="253"/>
      <c r="B45" s="244"/>
      <c r="C45" s="244"/>
      <c r="D45" s="78" t="s">
        <v>1194</v>
      </c>
      <c r="E45" s="159"/>
      <c r="F45" s="111" t="s">
        <v>1252</v>
      </c>
      <c r="G45" s="107"/>
      <c r="H45" s="108">
        <v>0.33333333333333298</v>
      </c>
      <c r="I45" s="109">
        <f t="shared" si="1"/>
        <v>1</v>
      </c>
      <c r="J45" s="109">
        <v>0.9</v>
      </c>
      <c r="K45" s="82"/>
      <c r="L45" s="82"/>
      <c r="N45" s="161" t="s">
        <v>1251</v>
      </c>
      <c r="O45" s="162">
        <f>(AVERAGEIFS(I11:I28,D11:D28,P45,F11:F28,N38)+AVERAGEIFS(I32:I94,D32:D94,P45,F32:F94,N38)+AVERAGEIFS(I98:I160,D98:D160,P45,F98:F160,N38)+AVERAGEIFS(I164:I226,D164:D226,P45,F164:F226,N38)+AVERAGEIFS(I230:I292,D230:D292,P45,F230:F292,N38))/5</f>
        <v>0.37172916666666656</v>
      </c>
      <c r="P45" s="260" t="s">
        <v>1191</v>
      </c>
      <c r="Q45" s="259"/>
    </row>
    <row r="46" spans="1:17" ht="14.4" customHeight="1">
      <c r="A46" s="253"/>
      <c r="B46" s="244"/>
      <c r="C46" s="245"/>
      <c r="D46" s="78" t="s">
        <v>1194</v>
      </c>
      <c r="E46" s="113"/>
      <c r="F46" s="114" t="s">
        <v>1253</v>
      </c>
      <c r="G46" s="107"/>
      <c r="H46" s="108">
        <v>0.33333333333333298</v>
      </c>
      <c r="I46" s="109">
        <f t="shared" si="1"/>
        <v>1</v>
      </c>
      <c r="J46" s="109">
        <v>0.9</v>
      </c>
      <c r="K46" s="82"/>
      <c r="L46" s="82"/>
      <c r="N46" s="161" t="s">
        <v>1252</v>
      </c>
      <c r="O46" s="162">
        <f>(AVERAGEIFS(I11:I28,D11:D28,P45,F11:F28,N46)+AVERAGEIFS(I32:I94,D32:D94,P45,F32:F94,N46)+AVERAGEIFS(I98:I160,D98:D160,P45,F98:F160,N46)+AVERAGEIFS(I164:I226,D164:D226,P45,F164:F226,N46)+AVERAGEIFS(I230:I292,D230:D292,P45,F230:F292,N46))/5</f>
        <v>0.83791666666666664</v>
      </c>
      <c r="P46" s="261"/>
      <c r="Q46" s="259"/>
    </row>
    <row r="47" spans="1:17" ht="14.4" customHeight="1">
      <c r="A47" s="253"/>
      <c r="B47" s="244"/>
      <c r="C47" s="248" t="s">
        <v>1197</v>
      </c>
      <c r="D47" s="132" t="s">
        <v>1193</v>
      </c>
      <c r="E47" s="158"/>
      <c r="F47" s="125" t="s">
        <v>1251</v>
      </c>
      <c r="G47" s="126">
        <v>0.33333333333333331</v>
      </c>
      <c r="H47" s="127">
        <v>0.33333333333333298</v>
      </c>
      <c r="I47" s="134">
        <f t="shared" si="1"/>
        <v>0</v>
      </c>
      <c r="J47" s="134">
        <v>0.9</v>
      </c>
      <c r="K47" s="135"/>
      <c r="L47" s="137"/>
      <c r="N47" s="161" t="s">
        <v>1253</v>
      </c>
      <c r="O47" s="162">
        <f>(AVERAGEIFS(I11:I28,D11:D28,P45,F11:F28,N47)+AVERAGEIFS(I32:I94,D32:D94,P45,F32:F94,N47)+AVERAGEIFS(I98:I160,D98:D160,P45,F98:F160,N47)+AVERAGEIFS(I164:I226,D164:D226,P45,F164:F226,N47)+AVERAGEIFS(I230:I292,D230:D292,P45,F230:F292,N47))/5</f>
        <v>0.78770833333333323</v>
      </c>
      <c r="P47" s="261"/>
      <c r="Q47" s="259"/>
    </row>
    <row r="48" spans="1:17" ht="14.4" customHeight="1">
      <c r="A48" s="253"/>
      <c r="B48" s="244"/>
      <c r="C48" s="249"/>
      <c r="D48" s="132" t="s">
        <v>1193</v>
      </c>
      <c r="E48" s="158"/>
      <c r="F48" s="129" t="s">
        <v>1252</v>
      </c>
      <c r="G48" s="126"/>
      <c r="H48" s="127">
        <v>0.33333333333333298</v>
      </c>
      <c r="I48" s="134">
        <f t="shared" si="1"/>
        <v>1</v>
      </c>
      <c r="J48" s="134">
        <v>0.9</v>
      </c>
      <c r="K48" s="135"/>
      <c r="L48" s="136"/>
      <c r="N48" s="161" t="s">
        <v>1293</v>
      </c>
      <c r="O48" s="162">
        <f>(O45+O46+O47)/3</f>
        <v>0.66578472222222207</v>
      </c>
      <c r="P48" s="261"/>
      <c r="Q48" s="259"/>
    </row>
    <row r="49" spans="1:17" ht="14.4" customHeight="1" thickBot="1">
      <c r="A49" s="253"/>
      <c r="B49" s="263"/>
      <c r="C49" s="250"/>
      <c r="D49" s="132" t="s">
        <v>1193</v>
      </c>
      <c r="E49" s="133"/>
      <c r="F49" s="128" t="s">
        <v>1253</v>
      </c>
      <c r="G49" s="126"/>
      <c r="H49" s="131">
        <v>0.33333333333333298</v>
      </c>
      <c r="I49" s="138">
        <f t="shared" si="1"/>
        <v>1</v>
      </c>
      <c r="J49" s="134">
        <v>0.9</v>
      </c>
      <c r="K49" s="133"/>
      <c r="L49" s="136"/>
    </row>
    <row r="50" spans="1:17" ht="15" customHeight="1">
      <c r="A50" s="253"/>
      <c r="B50" s="243">
        <v>45721</v>
      </c>
      <c r="C50" s="243" t="s">
        <v>1198</v>
      </c>
      <c r="D50" s="78" t="s">
        <v>1192</v>
      </c>
      <c r="E50" s="159"/>
      <c r="F50" s="111" t="s">
        <v>1251</v>
      </c>
      <c r="G50" s="107">
        <v>0.33333333333333331</v>
      </c>
      <c r="H50" s="108">
        <v>0.33333333333333298</v>
      </c>
      <c r="I50" s="109">
        <f t="shared" si="1"/>
        <v>0</v>
      </c>
      <c r="J50" s="109">
        <v>0.9</v>
      </c>
      <c r="K50" s="82"/>
      <c r="L50" s="112"/>
      <c r="N50" s="255" t="s">
        <v>1287</v>
      </c>
      <c r="O50" s="255" t="s">
        <v>1288</v>
      </c>
      <c r="P50" s="255" t="s">
        <v>1292</v>
      </c>
      <c r="Q50" s="255" t="s">
        <v>1290</v>
      </c>
    </row>
    <row r="51" spans="1:17" ht="15" customHeight="1">
      <c r="A51" s="253"/>
      <c r="B51" s="244"/>
      <c r="C51" s="244"/>
      <c r="D51" s="78" t="s">
        <v>1192</v>
      </c>
      <c r="E51" s="159"/>
      <c r="F51" s="106" t="s">
        <v>1252</v>
      </c>
      <c r="G51" s="107"/>
      <c r="H51" s="108">
        <v>0.33333333333333298</v>
      </c>
      <c r="I51" s="109">
        <f t="shared" si="1"/>
        <v>1</v>
      </c>
      <c r="J51" s="109">
        <v>0.9</v>
      </c>
      <c r="K51" s="82"/>
      <c r="L51" s="82"/>
      <c r="N51" s="255"/>
      <c r="O51" s="255"/>
      <c r="P51" s="255"/>
      <c r="Q51" s="255"/>
    </row>
    <row r="52" spans="1:17" ht="15" customHeight="1">
      <c r="A52" s="253"/>
      <c r="B52" s="244"/>
      <c r="C52" s="245"/>
      <c r="D52" s="78" t="s">
        <v>1192</v>
      </c>
      <c r="E52" s="113"/>
      <c r="F52" s="114" t="s">
        <v>1253</v>
      </c>
      <c r="G52" s="107"/>
      <c r="H52" s="108">
        <v>0.33333333333333298</v>
      </c>
      <c r="I52" s="109">
        <f t="shared" si="1"/>
        <v>1</v>
      </c>
      <c r="J52" s="109">
        <v>0.9</v>
      </c>
      <c r="K52" s="82"/>
      <c r="L52" s="82"/>
      <c r="N52" s="161" t="s">
        <v>1251</v>
      </c>
      <c r="O52" s="162">
        <f>(AVERAGEIFS(I11:I28,D11:D28,P52,F11:F28,N52)+AVERAGEIFS(I32:I94,D32:D94,P52,F32:F94,N52)+AVERAGEIFS(I98:I160,D98:D160,P52,F98:F160,N52)+AVERAGEIFS(I164:I226,D164:D226,P52,F164:F226,N52)+AVERAGEIFS(I230:I292,D230:D292,P52,F230:F292,N52))/5</f>
        <v>0.40208333333333329</v>
      </c>
      <c r="P52" s="254" t="s">
        <v>1194</v>
      </c>
      <c r="Q52" s="259"/>
    </row>
    <row r="53" spans="1:17" ht="15" customHeight="1">
      <c r="A53" s="253"/>
      <c r="B53" s="244"/>
      <c r="C53" s="248" t="s">
        <v>1196</v>
      </c>
      <c r="D53" s="132" t="s">
        <v>1194</v>
      </c>
      <c r="E53" s="158"/>
      <c r="F53" s="125" t="s">
        <v>1251</v>
      </c>
      <c r="G53" s="126">
        <v>0.33333333333333331</v>
      </c>
      <c r="H53" s="127">
        <v>0.33333333333333298</v>
      </c>
      <c r="I53" s="134">
        <f t="shared" si="1"/>
        <v>0</v>
      </c>
      <c r="J53" s="134">
        <v>0.9</v>
      </c>
      <c r="K53" s="135"/>
      <c r="L53" s="137"/>
      <c r="N53" s="161" t="s">
        <v>1252</v>
      </c>
      <c r="O53" s="162">
        <f>(AVERAGEIFS(I11:I28,D11:D28,P52,F11:F28,N53)+AVERAGEIFS(I32:I94,D32:D94,P52,F32:F94,N53)+AVERAGEIFS(I98:I160,D98:D160,P52,F98:F160,N53)+AVERAGEIFS(I164:I226,D164:D226,P52,F164:F226,N53)+AVERAGEIFS(I230:I292,D230:D292,P52,F230:F292,N53))/5</f>
        <v>0.88958333333333317</v>
      </c>
      <c r="P53" s="254"/>
      <c r="Q53" s="259"/>
    </row>
    <row r="54" spans="1:17" ht="15" customHeight="1">
      <c r="A54" s="253"/>
      <c r="B54" s="244"/>
      <c r="C54" s="249"/>
      <c r="D54" s="132" t="s">
        <v>1194</v>
      </c>
      <c r="E54" s="158"/>
      <c r="F54" s="129" t="s">
        <v>1252</v>
      </c>
      <c r="G54" s="126"/>
      <c r="H54" s="127">
        <v>0.33333333333333298</v>
      </c>
      <c r="I54" s="134">
        <f t="shared" si="1"/>
        <v>1</v>
      </c>
      <c r="J54" s="134">
        <v>0.9</v>
      </c>
      <c r="K54" s="135"/>
      <c r="L54" s="136"/>
      <c r="N54" s="161" t="s">
        <v>1253</v>
      </c>
      <c r="O54" s="162">
        <f>(AVERAGEIFS(I11:I28,D11:D28,P52,F11:F28,N54)+AVERAGEIFS(I32:I94,D32:D94,P52,F32:F94,N54)+AVERAGEIFS(I98:I160,D98:D160,P52,F98:F160,N54)+AVERAGEIFS(I164:I226,D164:D226,P52,F164:F226,N54)+AVERAGEIFS(I230:I292,D230:D292,P52,F230:F292,N54))/5</f>
        <v>0.80972222222222212</v>
      </c>
      <c r="P54" s="254"/>
      <c r="Q54" s="259"/>
    </row>
    <row r="55" spans="1:17" ht="15" customHeight="1">
      <c r="A55" s="253"/>
      <c r="B55" s="244"/>
      <c r="C55" s="250"/>
      <c r="D55" s="132" t="s">
        <v>1194</v>
      </c>
      <c r="E55" s="133"/>
      <c r="F55" s="128" t="s">
        <v>1253</v>
      </c>
      <c r="G55" s="126">
        <v>6.25E-2</v>
      </c>
      <c r="H55" s="127">
        <v>0.33333333333333298</v>
      </c>
      <c r="I55" s="134">
        <f t="shared" si="1"/>
        <v>0.81249999999999978</v>
      </c>
      <c r="J55" s="134">
        <v>0.9</v>
      </c>
      <c r="K55" s="133"/>
      <c r="L55" s="136"/>
      <c r="N55" s="161" t="s">
        <v>1293</v>
      </c>
      <c r="O55" s="162">
        <f>(O52+O53+O54)/3</f>
        <v>0.70046296296296295</v>
      </c>
      <c r="P55" s="254"/>
      <c r="Q55" s="259"/>
    </row>
    <row r="56" spans="1:17" ht="15" customHeight="1">
      <c r="A56" s="253"/>
      <c r="B56" s="244"/>
      <c r="C56" s="243" t="s">
        <v>1197</v>
      </c>
      <c r="D56" s="78" t="s">
        <v>1193</v>
      </c>
      <c r="E56" s="159"/>
      <c r="F56" s="111" t="s">
        <v>1251</v>
      </c>
      <c r="G56" s="107">
        <v>0.33333333333333331</v>
      </c>
      <c r="H56" s="108">
        <v>0.33333333333333298</v>
      </c>
      <c r="I56" s="109">
        <f t="shared" si="1"/>
        <v>0</v>
      </c>
      <c r="J56" s="109">
        <v>0.9</v>
      </c>
      <c r="K56" s="82"/>
      <c r="L56" s="112"/>
    </row>
    <row r="57" spans="1:17" ht="15" customHeight="1">
      <c r="A57" s="253"/>
      <c r="B57" s="244"/>
      <c r="C57" s="244"/>
      <c r="D57" s="78" t="s">
        <v>1193</v>
      </c>
      <c r="E57" s="159"/>
      <c r="F57" s="106" t="s">
        <v>1252</v>
      </c>
      <c r="G57" s="107"/>
      <c r="H57" s="108">
        <v>0.33333333333333298</v>
      </c>
      <c r="I57" s="109">
        <f t="shared" si="1"/>
        <v>1</v>
      </c>
      <c r="J57" s="109">
        <v>0.9</v>
      </c>
      <c r="K57" s="82"/>
      <c r="L57" s="82"/>
      <c r="N57" s="255" t="s">
        <v>1287</v>
      </c>
      <c r="O57" s="255" t="s">
        <v>1288</v>
      </c>
      <c r="P57" s="255" t="s">
        <v>1292</v>
      </c>
      <c r="Q57" s="255" t="s">
        <v>1290</v>
      </c>
    </row>
    <row r="58" spans="1:17" ht="15.6" customHeight="1" thickBot="1">
      <c r="A58" s="253"/>
      <c r="B58" s="263"/>
      <c r="C58" s="245"/>
      <c r="D58" s="78" t="s">
        <v>1193</v>
      </c>
      <c r="E58" s="113"/>
      <c r="F58" s="114" t="s">
        <v>1253</v>
      </c>
      <c r="G58" s="107"/>
      <c r="H58" s="108">
        <v>0.33333333333333298</v>
      </c>
      <c r="I58" s="109">
        <f t="shared" si="1"/>
        <v>1</v>
      </c>
      <c r="J58" s="109">
        <v>0.9</v>
      </c>
      <c r="K58" s="82"/>
      <c r="L58" s="82"/>
      <c r="N58" s="255"/>
      <c r="O58" s="255"/>
      <c r="P58" s="255"/>
      <c r="Q58" s="255"/>
    </row>
    <row r="59" spans="1:17" ht="15" customHeight="1">
      <c r="A59" s="253"/>
      <c r="B59" s="243">
        <v>45722</v>
      </c>
      <c r="C59" s="248" t="s">
        <v>1198</v>
      </c>
      <c r="D59" s="132" t="s">
        <v>1191</v>
      </c>
      <c r="E59" s="158"/>
      <c r="F59" s="125" t="s">
        <v>1251</v>
      </c>
      <c r="G59" s="126">
        <v>0.33333333333333331</v>
      </c>
      <c r="H59" s="127">
        <v>0.33333333333333298</v>
      </c>
      <c r="I59" s="134">
        <f t="shared" si="1"/>
        <v>0</v>
      </c>
      <c r="J59" s="134">
        <v>0.9</v>
      </c>
      <c r="K59" s="135"/>
      <c r="L59" s="137"/>
      <c r="N59" s="161" t="s">
        <v>1251</v>
      </c>
      <c r="O59" s="162">
        <f>(AVERAGEIFS(I11:I28,D11:D28,P59,F11:F28,N59)+AVERAGEIFS(I32:I94,D32:D94,P59,F32:F94,N59)+AVERAGEIFS(I98:I160,D98:D160,P59,F98:F160,N59)+AVERAGEIFS(I230:I292,D230:D292,P59,F230:F292,N59))/5</f>
        <v>0.4</v>
      </c>
      <c r="P59" s="254" t="s">
        <v>1193</v>
      </c>
      <c r="Q59" s="259" t="s">
        <v>1352</v>
      </c>
    </row>
    <row r="60" spans="1:17" ht="15" customHeight="1">
      <c r="A60" s="253"/>
      <c r="B60" s="244"/>
      <c r="C60" s="249"/>
      <c r="D60" s="132" t="s">
        <v>1191</v>
      </c>
      <c r="E60" s="158"/>
      <c r="F60" s="129" t="s">
        <v>1252</v>
      </c>
      <c r="G60" s="126"/>
      <c r="H60" s="127">
        <v>0.33333333333333298</v>
      </c>
      <c r="I60" s="134">
        <f t="shared" si="1"/>
        <v>1</v>
      </c>
      <c r="J60" s="134">
        <v>0.9</v>
      </c>
      <c r="K60" s="135"/>
      <c r="L60" s="136"/>
      <c r="N60" s="161" t="s">
        <v>1252</v>
      </c>
      <c r="O60" s="162">
        <f>(AVERAGEIFS(I11:I28,D11:D28,P59,F11:F28,N60)+AVERAGEIFS(I32:I94,D32:D94,P59,F32:F94,N60)+AVERAGEIFS(I98:I160,D98:D160,P59,F98:F160,N60)+AVERAGEIFS(I230:I292,D230:D292,P59,F230:F292,N60))/5</f>
        <v>0.70749999999999991</v>
      </c>
      <c r="P60" s="254"/>
      <c r="Q60" s="259"/>
    </row>
    <row r="61" spans="1:17" ht="15" customHeight="1">
      <c r="A61" s="253"/>
      <c r="B61" s="244"/>
      <c r="C61" s="250"/>
      <c r="D61" s="132" t="s">
        <v>1191</v>
      </c>
      <c r="E61" s="133"/>
      <c r="F61" s="128" t="s">
        <v>1253</v>
      </c>
      <c r="G61" s="126"/>
      <c r="H61" s="127">
        <v>0.33333333333333298</v>
      </c>
      <c r="I61" s="134">
        <f t="shared" si="1"/>
        <v>1</v>
      </c>
      <c r="J61" s="134">
        <v>0.9</v>
      </c>
      <c r="K61" s="133"/>
      <c r="L61" s="136"/>
      <c r="N61" s="161" t="s">
        <v>1253</v>
      </c>
      <c r="O61" s="162">
        <f>(AVERAGEIFS(I11:I28,D11:D28,P59,F11:F28,N61)+AVERAGEIFS(I32:I94,D32:D94,P59,F32:F94,N61)+AVERAGEIFS(I98:I160,D98:D160,P59,F98:F160,N61)+AVERAGEIFS(I230:I292,D230:D292,P59,F230:F292,N61))/5</f>
        <v>0.78125</v>
      </c>
      <c r="P61" s="254"/>
      <c r="Q61" s="259"/>
    </row>
    <row r="62" spans="1:17" ht="15" customHeight="1">
      <c r="A62" s="253"/>
      <c r="B62" s="244"/>
      <c r="C62" s="243" t="s">
        <v>1196</v>
      </c>
      <c r="D62" s="78" t="s">
        <v>1192</v>
      </c>
      <c r="E62" s="159"/>
      <c r="F62" s="111" t="s">
        <v>1251</v>
      </c>
      <c r="G62" s="107">
        <v>0.33333333333333331</v>
      </c>
      <c r="H62" s="108">
        <v>0.33333333333333298</v>
      </c>
      <c r="I62" s="109">
        <f t="shared" si="1"/>
        <v>0</v>
      </c>
      <c r="J62" s="109">
        <v>0.9</v>
      </c>
      <c r="K62" s="82"/>
      <c r="L62" s="112"/>
      <c r="N62" s="161" t="s">
        <v>1293</v>
      </c>
      <c r="O62" s="162">
        <f>(O59+O60+O61)/3</f>
        <v>0.62958333333333327</v>
      </c>
      <c r="P62" s="254"/>
      <c r="Q62" s="259"/>
    </row>
    <row r="63" spans="1:17" ht="15" customHeight="1">
      <c r="A63" s="253"/>
      <c r="B63" s="244"/>
      <c r="C63" s="244"/>
      <c r="D63" s="78" t="s">
        <v>1192</v>
      </c>
      <c r="E63" s="159"/>
      <c r="F63" s="106" t="s">
        <v>1252</v>
      </c>
      <c r="G63" s="107"/>
      <c r="H63" s="108">
        <v>0.33333333333333298</v>
      </c>
      <c r="I63" s="109">
        <f t="shared" si="1"/>
        <v>1</v>
      </c>
      <c r="J63" s="109">
        <v>0.9</v>
      </c>
      <c r="K63" s="82"/>
      <c r="L63" s="82"/>
    </row>
    <row r="64" spans="1:17" ht="15" customHeight="1">
      <c r="A64" s="253"/>
      <c r="B64" s="244"/>
      <c r="C64" s="245"/>
      <c r="D64" s="78" t="s">
        <v>1192</v>
      </c>
      <c r="E64" s="113"/>
      <c r="F64" s="114" t="s">
        <v>1253</v>
      </c>
      <c r="G64" s="107"/>
      <c r="H64" s="108">
        <v>0.33333333333333298</v>
      </c>
      <c r="I64" s="109">
        <f t="shared" si="1"/>
        <v>1</v>
      </c>
      <c r="J64" s="109">
        <v>0.9</v>
      </c>
      <c r="K64" s="82"/>
      <c r="L64" s="82"/>
      <c r="N64" s="255" t="s">
        <v>1287</v>
      </c>
      <c r="O64" s="255" t="s">
        <v>1288</v>
      </c>
      <c r="P64" s="255" t="s">
        <v>1292</v>
      </c>
      <c r="Q64" s="255" t="s">
        <v>1290</v>
      </c>
    </row>
    <row r="65" spans="1:17" ht="15" customHeight="1">
      <c r="A65" s="253"/>
      <c r="B65" s="244"/>
      <c r="C65" s="248" t="s">
        <v>1197</v>
      </c>
      <c r="D65" s="132" t="s">
        <v>1194</v>
      </c>
      <c r="E65" s="158"/>
      <c r="F65" s="125" t="s">
        <v>1251</v>
      </c>
      <c r="G65" s="126">
        <v>0.33333333333333331</v>
      </c>
      <c r="H65" s="127">
        <v>0.33333333333333298</v>
      </c>
      <c r="I65" s="134">
        <f t="shared" si="1"/>
        <v>0</v>
      </c>
      <c r="J65" s="134">
        <v>0.9</v>
      </c>
      <c r="K65" s="135"/>
      <c r="L65" s="137"/>
      <c r="N65" s="255"/>
      <c r="O65" s="255"/>
      <c r="P65" s="255"/>
      <c r="Q65" s="255"/>
    </row>
    <row r="66" spans="1:17" ht="15" customHeight="1">
      <c r="A66" s="253"/>
      <c r="B66" s="244"/>
      <c r="C66" s="249"/>
      <c r="D66" s="132" t="s">
        <v>1194</v>
      </c>
      <c r="E66" s="158"/>
      <c r="F66" s="129" t="s">
        <v>1252</v>
      </c>
      <c r="G66" s="126"/>
      <c r="H66" s="127">
        <v>0.33333333333333298</v>
      </c>
      <c r="I66" s="134">
        <f t="shared" si="1"/>
        <v>1</v>
      </c>
      <c r="J66" s="134">
        <v>0.9</v>
      </c>
      <c r="K66" s="135"/>
      <c r="L66" s="136"/>
      <c r="N66" s="161" t="s">
        <v>1251</v>
      </c>
      <c r="O66" s="162">
        <f>(AVERAGEIFS(I11:I28,D11:D28,P66,F11:F28,N66)+AVERAGEIFS(I32:I94,D32:D94,P66,F32:F94,N66)+AVERAGEIFS(I98:I160,D98:D160,P66,F98:F160,N66)+AVERAGEIFS(I164:I226,D164:D226,P66,F164:F226,N66)+AVERAGEIFS(I230:I292,D230:D292,P66,F230:F292,N66))/5</f>
        <v>0.41</v>
      </c>
      <c r="P66" s="254" t="s">
        <v>1192</v>
      </c>
      <c r="Q66" s="259"/>
    </row>
    <row r="67" spans="1:17" ht="15.6" customHeight="1" thickBot="1">
      <c r="A67" s="253"/>
      <c r="B67" s="263"/>
      <c r="C67" s="250"/>
      <c r="D67" s="132" t="s">
        <v>1194</v>
      </c>
      <c r="E67" s="133"/>
      <c r="F67" s="128" t="s">
        <v>1253</v>
      </c>
      <c r="G67" s="126"/>
      <c r="H67" s="127">
        <v>0.33333333333333298</v>
      </c>
      <c r="I67" s="134">
        <f t="shared" si="1"/>
        <v>1</v>
      </c>
      <c r="J67" s="134">
        <v>0.9</v>
      </c>
      <c r="K67" s="133"/>
      <c r="L67" s="136"/>
      <c r="N67" s="161" t="s">
        <v>1252</v>
      </c>
      <c r="O67" s="162">
        <f>(AVERAGEIFS(I11:I28,D11:D28,P66,F11:F28,N67)+AVERAGEIFS(I32:I94,D32:D94,P66,F32:F94,N67)+AVERAGEIFS(I98:I160,D98:D160,P66,F98:F160,N67)+AVERAGEIFS(I164:I226,D164:D226,P66,F164:F226,N67)+AVERAGEIFS(I230:I292,D230:D292,P66,F230:F292,N67))/5</f>
        <v>0.88158333333333316</v>
      </c>
      <c r="P67" s="254"/>
      <c r="Q67" s="259"/>
    </row>
    <row r="68" spans="1:17" ht="15" customHeight="1">
      <c r="A68" s="253"/>
      <c r="B68" s="243">
        <v>45723</v>
      </c>
      <c r="C68" s="243" t="s">
        <v>1198</v>
      </c>
      <c r="D68" s="78" t="s">
        <v>1191</v>
      </c>
      <c r="E68" s="159"/>
      <c r="F68" s="111" t="s">
        <v>1251</v>
      </c>
      <c r="G68" s="107">
        <v>0.33333333333333331</v>
      </c>
      <c r="H68" s="108">
        <v>0.33333333333333298</v>
      </c>
      <c r="I68" s="109">
        <f t="shared" si="1"/>
        <v>0</v>
      </c>
      <c r="J68" s="109">
        <v>0.9</v>
      </c>
      <c r="K68" s="82"/>
      <c r="L68" s="112"/>
      <c r="N68" s="161" t="s">
        <v>1253</v>
      </c>
      <c r="O68" s="162">
        <f>(AVERAGEIFS(I11:I28,D11:D28,P66,F11:F28,N68)+AVERAGEIFS(I32:I94,D32:D94,P66,F32:F94,N68)+AVERAGEIFS(I98:I160,D98:D160,P66,F98:F160,N68)+AVERAGEIFS(I164:I226,D164:D226,P66,F164:F226,N68)+AVERAGEIFS(I230:I292,D230:D292,P66,F230:F292,N68))/5</f>
        <v>0.81249999999999978</v>
      </c>
      <c r="P68" s="254"/>
      <c r="Q68" s="259"/>
    </row>
    <row r="69" spans="1:17" ht="15" customHeight="1">
      <c r="A69" s="253"/>
      <c r="B69" s="244"/>
      <c r="C69" s="244"/>
      <c r="D69" s="78" t="s">
        <v>1191</v>
      </c>
      <c r="E69" s="159"/>
      <c r="F69" s="106" t="s">
        <v>1252</v>
      </c>
      <c r="G69" s="107"/>
      <c r="H69" s="108">
        <v>0.33333333333333298</v>
      </c>
      <c r="I69" s="109">
        <f>1-(G69/H69)</f>
        <v>1</v>
      </c>
      <c r="J69" s="109">
        <v>0.9</v>
      </c>
      <c r="K69" s="82"/>
      <c r="L69" s="82"/>
      <c r="N69" s="161" t="s">
        <v>1293</v>
      </c>
      <c r="O69" s="162">
        <f>(O66+O67+O68)/3</f>
        <v>0.70136111111111088</v>
      </c>
      <c r="P69" s="254"/>
      <c r="Q69" s="259"/>
    </row>
    <row r="70" spans="1:17" ht="15" customHeight="1">
      <c r="A70" s="253"/>
      <c r="B70" s="244"/>
      <c r="C70" s="245"/>
      <c r="D70" s="78" t="s">
        <v>1191</v>
      </c>
      <c r="E70" s="113"/>
      <c r="F70" s="114" t="s">
        <v>1253</v>
      </c>
      <c r="G70" s="107">
        <v>0.05</v>
      </c>
      <c r="H70" s="108">
        <v>0.33333333333333298</v>
      </c>
      <c r="I70" s="134">
        <f t="shared" si="1"/>
        <v>0.84999999999999987</v>
      </c>
      <c r="J70" s="109">
        <v>0.9</v>
      </c>
      <c r="K70" s="82"/>
      <c r="L70" s="82"/>
    </row>
    <row r="71" spans="1:17" ht="15" customHeight="1">
      <c r="A71" s="253"/>
      <c r="B71" s="244"/>
      <c r="C71" s="248" t="s">
        <v>1196</v>
      </c>
      <c r="D71" s="132" t="s">
        <v>1192</v>
      </c>
      <c r="E71" s="158"/>
      <c r="F71" s="125" t="s">
        <v>1251</v>
      </c>
      <c r="G71" s="126">
        <v>0.33333333333333331</v>
      </c>
      <c r="H71" s="127">
        <v>0.33333333333333298</v>
      </c>
      <c r="I71" s="134">
        <f t="shared" si="1"/>
        <v>0</v>
      </c>
      <c r="J71" s="134">
        <v>0.9</v>
      </c>
      <c r="K71" s="135"/>
      <c r="L71" s="137"/>
    </row>
    <row r="72" spans="1:17" ht="15" customHeight="1">
      <c r="A72" s="253"/>
      <c r="B72" s="244"/>
      <c r="C72" s="249"/>
      <c r="D72" s="132" t="s">
        <v>1192</v>
      </c>
      <c r="E72" s="158"/>
      <c r="F72" s="129" t="s">
        <v>1252</v>
      </c>
      <c r="G72" s="126"/>
      <c r="H72" s="127">
        <v>0.33333333333333298</v>
      </c>
      <c r="I72" s="134">
        <f t="shared" si="1"/>
        <v>1</v>
      </c>
      <c r="J72" s="134">
        <v>0.9</v>
      </c>
      <c r="K72" s="135"/>
      <c r="L72" s="136"/>
    </row>
    <row r="73" spans="1:17" ht="15" customHeight="1">
      <c r="A73" s="253"/>
      <c r="B73" s="244"/>
      <c r="C73" s="250"/>
      <c r="D73" s="132" t="s">
        <v>1192</v>
      </c>
      <c r="E73" s="133"/>
      <c r="F73" s="128" t="s">
        <v>1253</v>
      </c>
      <c r="G73" s="126"/>
      <c r="H73" s="127">
        <v>0.33333333333333298</v>
      </c>
      <c r="I73" s="134">
        <f t="shared" si="1"/>
        <v>1</v>
      </c>
      <c r="J73" s="134">
        <v>0.9</v>
      </c>
      <c r="K73" s="133"/>
      <c r="L73" s="136"/>
    </row>
    <row r="74" spans="1:17" ht="15" customHeight="1">
      <c r="A74" s="253"/>
      <c r="B74" s="244"/>
      <c r="C74" s="243" t="s">
        <v>1197</v>
      </c>
      <c r="D74" s="78" t="s">
        <v>1194</v>
      </c>
      <c r="E74" s="159"/>
      <c r="F74" s="111" t="s">
        <v>1251</v>
      </c>
      <c r="G74" s="107">
        <v>0.33333333333333331</v>
      </c>
      <c r="H74" s="108">
        <v>0.33333333333333298</v>
      </c>
      <c r="I74" s="109">
        <f t="shared" si="1"/>
        <v>0</v>
      </c>
      <c r="J74" s="109">
        <v>0.9</v>
      </c>
      <c r="K74" s="82"/>
      <c r="L74" s="82"/>
    </row>
    <row r="75" spans="1:17" ht="15" customHeight="1">
      <c r="A75" s="253"/>
      <c r="B75" s="244"/>
      <c r="C75" s="244"/>
      <c r="D75" s="78" t="s">
        <v>1194</v>
      </c>
      <c r="E75" s="159"/>
      <c r="F75" s="106" t="s">
        <v>1252</v>
      </c>
      <c r="G75" s="107"/>
      <c r="H75" s="108">
        <v>0.33333333333333298</v>
      </c>
      <c r="I75" s="109">
        <f t="shared" si="1"/>
        <v>1</v>
      </c>
      <c r="J75" s="109">
        <v>0.9</v>
      </c>
      <c r="K75" s="82"/>
      <c r="L75" s="82"/>
    </row>
    <row r="76" spans="1:17" ht="15.6" customHeight="1" thickBot="1">
      <c r="A76" s="253"/>
      <c r="B76" s="263"/>
      <c r="C76" s="245"/>
      <c r="D76" s="78" t="s">
        <v>1194</v>
      </c>
      <c r="E76" s="113"/>
      <c r="F76" s="114" t="s">
        <v>1253</v>
      </c>
      <c r="G76" s="107">
        <v>0.33333333333333331</v>
      </c>
      <c r="H76" s="123">
        <v>0.33333333333333298</v>
      </c>
      <c r="I76" s="109">
        <f t="shared" si="1"/>
        <v>0</v>
      </c>
      <c r="J76" s="109">
        <v>0.9</v>
      </c>
      <c r="K76" s="82"/>
      <c r="L76" s="82"/>
    </row>
    <row r="77" spans="1:17" ht="15.6" customHeight="1">
      <c r="A77" s="253"/>
      <c r="B77" s="243">
        <v>45724</v>
      </c>
      <c r="C77" s="243" t="s">
        <v>1198</v>
      </c>
      <c r="D77" s="78"/>
      <c r="E77" s="159"/>
      <c r="F77" s="111" t="s">
        <v>1251</v>
      </c>
      <c r="G77" s="107"/>
      <c r="H77" s="108">
        <v>0.33333333333333298</v>
      </c>
      <c r="I77" s="109">
        <f t="shared" si="1"/>
        <v>1</v>
      </c>
      <c r="J77" s="109">
        <v>0.9</v>
      </c>
      <c r="K77" s="82" t="s">
        <v>1351</v>
      </c>
      <c r="L77" s="112"/>
    </row>
    <row r="78" spans="1:17" ht="15.6" customHeight="1">
      <c r="A78" s="253"/>
      <c r="B78" s="244"/>
      <c r="C78" s="244"/>
      <c r="D78" s="78"/>
      <c r="E78" s="159"/>
      <c r="F78" s="106" t="s">
        <v>1252</v>
      </c>
      <c r="G78" s="107"/>
      <c r="H78" s="108">
        <v>0.33333333333333298</v>
      </c>
      <c r="I78" s="109">
        <f t="shared" si="1"/>
        <v>1</v>
      </c>
      <c r="J78" s="109">
        <v>0.9</v>
      </c>
      <c r="K78" s="82"/>
      <c r="L78" s="82"/>
    </row>
    <row r="79" spans="1:17" ht="15.6" customHeight="1">
      <c r="A79" s="253"/>
      <c r="B79" s="244"/>
      <c r="C79" s="245"/>
      <c r="D79" s="78"/>
      <c r="E79" s="113"/>
      <c r="F79" s="114" t="s">
        <v>1253</v>
      </c>
      <c r="G79" s="107"/>
      <c r="H79" s="123">
        <v>0.33333333333333298</v>
      </c>
      <c r="I79" s="109">
        <f t="shared" si="1"/>
        <v>1</v>
      </c>
      <c r="J79" s="109">
        <v>0.9</v>
      </c>
      <c r="K79" s="82"/>
      <c r="L79" s="82"/>
    </row>
    <row r="80" spans="1:17" ht="15.6" customHeight="1">
      <c r="A80" s="253"/>
      <c r="B80" s="244"/>
      <c r="C80" s="248" t="s">
        <v>1196</v>
      </c>
      <c r="D80" s="132"/>
      <c r="E80" s="158"/>
      <c r="F80" s="125" t="s">
        <v>1251</v>
      </c>
      <c r="G80" s="126"/>
      <c r="H80" s="108">
        <v>0.33333333333333298</v>
      </c>
      <c r="I80" s="109">
        <f t="shared" si="1"/>
        <v>1</v>
      </c>
      <c r="J80" s="134">
        <v>0.9</v>
      </c>
      <c r="K80" s="135"/>
      <c r="L80" s="137"/>
    </row>
    <row r="81" spans="1:12" ht="15.6" customHeight="1">
      <c r="A81" s="253"/>
      <c r="B81" s="244"/>
      <c r="C81" s="249"/>
      <c r="D81" s="132"/>
      <c r="E81" s="158"/>
      <c r="F81" s="129" t="s">
        <v>1252</v>
      </c>
      <c r="G81" s="126"/>
      <c r="H81" s="108">
        <v>0.33333333333333298</v>
      </c>
      <c r="I81" s="109">
        <f t="shared" si="1"/>
        <v>1</v>
      </c>
      <c r="J81" s="134">
        <v>0.9</v>
      </c>
      <c r="K81" s="135"/>
      <c r="L81" s="136"/>
    </row>
    <row r="82" spans="1:12" ht="15.6" customHeight="1">
      <c r="A82" s="253"/>
      <c r="B82" s="244"/>
      <c r="C82" s="250"/>
      <c r="D82" s="132"/>
      <c r="E82" s="133"/>
      <c r="F82" s="128" t="s">
        <v>1253</v>
      </c>
      <c r="G82" s="126"/>
      <c r="H82" s="123">
        <v>0.33333333333333298</v>
      </c>
      <c r="I82" s="109">
        <f t="shared" si="1"/>
        <v>1</v>
      </c>
      <c r="J82" s="134">
        <v>0.9</v>
      </c>
      <c r="K82" s="135"/>
      <c r="L82" s="136"/>
    </row>
    <row r="83" spans="1:12" ht="15.6" customHeight="1">
      <c r="A83" s="253"/>
      <c r="B83" s="244"/>
      <c r="C83" s="243" t="s">
        <v>1197</v>
      </c>
      <c r="D83" s="78"/>
      <c r="E83" s="159"/>
      <c r="F83" s="111" t="s">
        <v>1251</v>
      </c>
      <c r="G83" s="107">
        <v>0.33333333333333331</v>
      </c>
      <c r="H83" s="108">
        <v>0.33333333333333298</v>
      </c>
      <c r="I83" s="109">
        <f t="shared" si="1"/>
        <v>0</v>
      </c>
      <c r="J83" s="109">
        <v>0.9</v>
      </c>
      <c r="K83" s="82"/>
      <c r="L83" s="82"/>
    </row>
    <row r="84" spans="1:12" ht="15.6" customHeight="1">
      <c r="A84" s="253"/>
      <c r="B84" s="244"/>
      <c r="C84" s="244"/>
      <c r="D84" s="78"/>
      <c r="E84" s="159"/>
      <c r="F84" s="106" t="s">
        <v>1252</v>
      </c>
      <c r="G84" s="107"/>
      <c r="H84" s="108">
        <v>0.33333333333333298</v>
      </c>
      <c r="I84" s="109">
        <f t="shared" si="1"/>
        <v>1</v>
      </c>
      <c r="J84" s="109">
        <v>0.9</v>
      </c>
      <c r="K84" s="82"/>
      <c r="L84" s="82"/>
    </row>
    <row r="85" spans="1:12" ht="15.6" customHeight="1" thickBot="1">
      <c r="A85" s="253"/>
      <c r="B85" s="263"/>
      <c r="C85" s="245"/>
      <c r="D85" s="78"/>
      <c r="E85" s="113"/>
      <c r="F85" s="114" t="s">
        <v>1253</v>
      </c>
      <c r="G85" s="107"/>
      <c r="H85" s="123">
        <v>0.33333333333333298</v>
      </c>
      <c r="I85" s="109">
        <f t="shared" si="1"/>
        <v>1</v>
      </c>
      <c r="J85" s="109">
        <v>0.9</v>
      </c>
      <c r="K85" s="82"/>
      <c r="L85" s="82"/>
    </row>
    <row r="86" spans="1:12" ht="15.6" customHeight="1">
      <c r="A86" s="253"/>
      <c r="B86" s="243">
        <v>45725</v>
      </c>
      <c r="C86" s="243" t="s">
        <v>1198</v>
      </c>
      <c r="D86" s="132" t="s">
        <v>1193</v>
      </c>
      <c r="E86" s="158"/>
      <c r="F86" s="125" t="s">
        <v>1251</v>
      </c>
      <c r="G86" s="126">
        <v>0.33333333333333331</v>
      </c>
      <c r="H86" s="108">
        <v>0.33333333333333298</v>
      </c>
      <c r="I86" s="109">
        <f t="shared" si="1"/>
        <v>0</v>
      </c>
      <c r="J86" s="134">
        <v>0.9</v>
      </c>
      <c r="K86" s="136"/>
      <c r="L86" s="137"/>
    </row>
    <row r="87" spans="1:12" ht="15.6" customHeight="1">
      <c r="A87" s="253"/>
      <c r="B87" s="244"/>
      <c r="C87" s="244"/>
      <c r="D87" s="132" t="s">
        <v>1193</v>
      </c>
      <c r="E87" s="158"/>
      <c r="F87" s="129" t="s">
        <v>1252</v>
      </c>
      <c r="G87" s="126"/>
      <c r="H87" s="108">
        <v>0.33333333333333298</v>
      </c>
      <c r="I87" s="109">
        <f t="shared" si="1"/>
        <v>1</v>
      </c>
      <c r="J87" s="134">
        <v>0.9</v>
      </c>
      <c r="K87" s="136"/>
      <c r="L87" s="136"/>
    </row>
    <row r="88" spans="1:12" ht="15.6" customHeight="1">
      <c r="A88" s="253"/>
      <c r="B88" s="244"/>
      <c r="C88" s="245"/>
      <c r="D88" s="132" t="s">
        <v>1193</v>
      </c>
      <c r="E88" s="133"/>
      <c r="F88" s="128" t="s">
        <v>1253</v>
      </c>
      <c r="G88" s="126">
        <v>0.125</v>
      </c>
      <c r="H88" s="123">
        <v>0.33333333333333298</v>
      </c>
      <c r="I88" s="109">
        <f t="shared" si="1"/>
        <v>0.62499999999999956</v>
      </c>
      <c r="J88" s="134">
        <v>0.9</v>
      </c>
      <c r="K88" s="136"/>
      <c r="L88" s="136"/>
    </row>
    <row r="89" spans="1:12" ht="15.6" customHeight="1">
      <c r="A89" s="253"/>
      <c r="B89" s="244"/>
      <c r="C89" s="248" t="s">
        <v>1196</v>
      </c>
      <c r="D89" s="147" t="s">
        <v>1191</v>
      </c>
      <c r="E89" s="160"/>
      <c r="F89" s="148" t="s">
        <v>1251</v>
      </c>
      <c r="G89" s="149">
        <v>0.33333333333333331</v>
      </c>
      <c r="H89" s="108">
        <v>0.33333333333333298</v>
      </c>
      <c r="I89" s="109">
        <f t="shared" si="1"/>
        <v>0</v>
      </c>
      <c r="J89" s="109">
        <v>0.9</v>
      </c>
      <c r="K89" s="150"/>
      <c r="L89" s="151"/>
    </row>
    <row r="90" spans="1:12" ht="15.6" customHeight="1">
      <c r="A90" s="253"/>
      <c r="B90" s="244"/>
      <c r="C90" s="249"/>
      <c r="D90" s="147" t="s">
        <v>1191</v>
      </c>
      <c r="E90" s="160"/>
      <c r="F90" s="152" t="s">
        <v>1252</v>
      </c>
      <c r="G90" s="149"/>
      <c r="H90" s="108">
        <v>0.33333333333333298</v>
      </c>
      <c r="I90" s="109">
        <f t="shared" si="1"/>
        <v>1</v>
      </c>
      <c r="J90" s="109">
        <v>0.9</v>
      </c>
      <c r="K90" s="150"/>
      <c r="L90" s="153"/>
    </row>
    <row r="91" spans="1:12" ht="15.6" customHeight="1">
      <c r="A91" s="253"/>
      <c r="B91" s="244"/>
      <c r="C91" s="250"/>
      <c r="D91" s="147" t="s">
        <v>1191</v>
      </c>
      <c r="E91" s="154"/>
      <c r="F91" s="155" t="s">
        <v>1253</v>
      </c>
      <c r="G91" s="149"/>
      <c r="H91" s="123">
        <v>0.33333333333333298</v>
      </c>
      <c r="I91" s="109">
        <f t="shared" si="1"/>
        <v>1</v>
      </c>
      <c r="J91" s="109">
        <v>0.9</v>
      </c>
      <c r="K91" s="150"/>
      <c r="L91" s="153"/>
    </row>
    <row r="92" spans="1:12" ht="15.6" customHeight="1">
      <c r="A92" s="253"/>
      <c r="B92" s="244"/>
      <c r="C92" s="243" t="s">
        <v>1197</v>
      </c>
      <c r="D92" s="132" t="s">
        <v>1192</v>
      </c>
      <c r="E92" s="158"/>
      <c r="F92" s="125" t="s">
        <v>1251</v>
      </c>
      <c r="G92" s="126">
        <v>0.33333333333333331</v>
      </c>
      <c r="H92" s="108">
        <v>0.33333333333333298</v>
      </c>
      <c r="I92" s="109">
        <f t="shared" si="1"/>
        <v>0</v>
      </c>
      <c r="J92" s="134">
        <v>0.9</v>
      </c>
      <c r="K92" s="136"/>
      <c r="L92" s="136"/>
    </row>
    <row r="93" spans="1:12" ht="15.6" customHeight="1">
      <c r="A93" s="253"/>
      <c r="B93" s="244"/>
      <c r="C93" s="244"/>
      <c r="D93" s="132" t="s">
        <v>1192</v>
      </c>
      <c r="E93" s="158"/>
      <c r="F93" s="129" t="s">
        <v>1252</v>
      </c>
      <c r="G93" s="126"/>
      <c r="H93" s="108">
        <v>0.33333333333333298</v>
      </c>
      <c r="I93" s="109">
        <f t="shared" si="1"/>
        <v>1</v>
      </c>
      <c r="J93" s="134">
        <v>0.9</v>
      </c>
      <c r="K93" s="136"/>
      <c r="L93" s="136"/>
    </row>
    <row r="94" spans="1:12" ht="15.6" customHeight="1" thickBot="1">
      <c r="A94" s="253"/>
      <c r="B94" s="263"/>
      <c r="C94" s="245"/>
      <c r="D94" s="132" t="s">
        <v>1192</v>
      </c>
      <c r="E94" s="133"/>
      <c r="F94" s="128" t="s">
        <v>1253</v>
      </c>
      <c r="G94" s="126"/>
      <c r="H94" s="123">
        <v>0.33333333333333298</v>
      </c>
      <c r="I94" s="109">
        <f t="shared" si="1"/>
        <v>1</v>
      </c>
      <c r="J94" s="134">
        <v>0.9</v>
      </c>
      <c r="K94" s="136"/>
      <c r="L94" s="136"/>
    </row>
    <row r="95" spans="1:12" ht="15.6" customHeight="1">
      <c r="A95" s="253"/>
      <c r="B95" s="117"/>
      <c r="C95" s="117"/>
      <c r="D95" s="118"/>
      <c r="E95" s="118"/>
      <c r="F95" s="119" t="s">
        <v>1251</v>
      </c>
      <c r="G95" s="124"/>
      <c r="H95" s="124"/>
      <c r="I95" s="120">
        <f>AVERAGEIF(F32:F94,F95,I32:I94)</f>
        <v>9.5238095238095233E-2</v>
      </c>
      <c r="J95" s="121">
        <v>0.9</v>
      </c>
      <c r="K95" s="118"/>
      <c r="L95" s="116"/>
    </row>
    <row r="96" spans="1:12" ht="15.6" customHeight="1">
      <c r="A96" s="253"/>
      <c r="B96" s="117"/>
      <c r="C96" s="117"/>
      <c r="D96" s="118"/>
      <c r="E96" s="118"/>
      <c r="F96" s="119" t="s">
        <v>1252</v>
      </c>
      <c r="G96" s="124"/>
      <c r="H96" s="124"/>
      <c r="I96" s="120">
        <f>AVERAGEIF(F32:F94,F96,I32:I94)</f>
        <v>1</v>
      </c>
      <c r="J96" s="121">
        <v>0.9</v>
      </c>
      <c r="K96" s="118"/>
      <c r="L96" s="116"/>
    </row>
    <row r="97" spans="1:12" ht="15.6" customHeight="1" thickBot="1">
      <c r="A97" s="253"/>
      <c r="B97" s="117"/>
      <c r="C97" s="117"/>
      <c r="D97" s="118"/>
      <c r="E97" s="118"/>
      <c r="F97" s="119" t="s">
        <v>1253</v>
      </c>
      <c r="G97" s="124"/>
      <c r="H97" s="124"/>
      <c r="I97" s="120">
        <f>AVERAGEIF(F32:F94,F97,I32:I94)</f>
        <v>0.91845238095238102</v>
      </c>
      <c r="J97" s="121">
        <v>0.9</v>
      </c>
      <c r="K97" s="118"/>
      <c r="L97" s="116"/>
    </row>
    <row r="98" spans="1:12" ht="14.4" customHeight="1">
      <c r="A98" s="252" t="s">
        <v>1368</v>
      </c>
      <c r="B98" s="251">
        <v>45726</v>
      </c>
      <c r="C98" s="243" t="s">
        <v>1198</v>
      </c>
      <c r="D98" s="110" t="s">
        <v>1201</v>
      </c>
      <c r="E98" s="156"/>
      <c r="F98" s="111" t="s">
        <v>1251</v>
      </c>
      <c r="G98" s="107"/>
      <c r="H98" s="108">
        <v>0.33333333333333331</v>
      </c>
      <c r="I98" s="109">
        <f>1-(G98/H98)</f>
        <v>1</v>
      </c>
      <c r="J98" s="109">
        <v>0.9</v>
      </c>
      <c r="K98" s="82" t="s">
        <v>1318</v>
      </c>
      <c r="L98" s="82"/>
    </row>
    <row r="99" spans="1:12" ht="14.4" customHeight="1">
      <c r="A99" s="253"/>
      <c r="B99" s="244"/>
      <c r="C99" s="244"/>
      <c r="D99" s="110" t="s">
        <v>1201</v>
      </c>
      <c r="E99" s="156"/>
      <c r="F99" s="111" t="s">
        <v>1252</v>
      </c>
      <c r="G99" s="107"/>
      <c r="H99" s="108">
        <v>0.33333333333333331</v>
      </c>
      <c r="I99" s="109">
        <f>1-(G99/H99)</f>
        <v>1</v>
      </c>
      <c r="J99" s="109">
        <v>0.9</v>
      </c>
      <c r="K99" s="82" t="s">
        <v>1318</v>
      </c>
      <c r="L99" s="82"/>
    </row>
    <row r="100" spans="1:12" ht="14.4" customHeight="1">
      <c r="A100" s="253"/>
      <c r="B100" s="244"/>
      <c r="C100" s="245"/>
      <c r="D100" s="110" t="s">
        <v>1201</v>
      </c>
      <c r="E100" s="157"/>
      <c r="F100" s="114" t="s">
        <v>1253</v>
      </c>
      <c r="G100" s="107"/>
      <c r="H100" s="108">
        <v>0.33333333333333298</v>
      </c>
      <c r="I100" s="109">
        <f t="shared" ref="I100:I142" si="2">1-(G100/H100)</f>
        <v>1</v>
      </c>
      <c r="J100" s="109">
        <v>0.9</v>
      </c>
      <c r="K100" s="82" t="s">
        <v>1318</v>
      </c>
      <c r="L100" s="82"/>
    </row>
    <row r="101" spans="1:12" ht="14.4" customHeight="1">
      <c r="A101" s="253"/>
      <c r="B101" s="244"/>
      <c r="C101" s="248" t="s">
        <v>1196</v>
      </c>
      <c r="D101" s="110" t="s">
        <v>1201</v>
      </c>
      <c r="E101" s="158"/>
      <c r="F101" s="125" t="s">
        <v>1251</v>
      </c>
      <c r="G101" s="126"/>
      <c r="H101" s="127">
        <v>0.33333333333333298</v>
      </c>
      <c r="I101" s="109">
        <f t="shared" si="2"/>
        <v>1</v>
      </c>
      <c r="J101" s="134">
        <v>0.9</v>
      </c>
      <c r="K101" s="135" t="s">
        <v>1319</v>
      </c>
      <c r="L101" s="136"/>
    </row>
    <row r="102" spans="1:12" ht="14.4" customHeight="1">
      <c r="A102" s="253"/>
      <c r="B102" s="244"/>
      <c r="C102" s="249"/>
      <c r="D102" s="110" t="s">
        <v>1201</v>
      </c>
      <c r="E102" s="158"/>
      <c r="F102" s="125" t="s">
        <v>1252</v>
      </c>
      <c r="G102" s="126"/>
      <c r="H102" s="127">
        <v>0.33333333333333298</v>
      </c>
      <c r="I102" s="109">
        <f t="shared" si="2"/>
        <v>1</v>
      </c>
      <c r="J102" s="134">
        <v>0.9</v>
      </c>
      <c r="K102" s="135" t="s">
        <v>1319</v>
      </c>
      <c r="L102" s="136"/>
    </row>
    <row r="103" spans="1:12" ht="14.4" customHeight="1">
      <c r="A103" s="253"/>
      <c r="B103" s="244"/>
      <c r="C103" s="250"/>
      <c r="D103" s="110" t="s">
        <v>1201</v>
      </c>
      <c r="E103" s="133"/>
      <c r="F103" s="128" t="s">
        <v>1253</v>
      </c>
      <c r="G103" s="126"/>
      <c r="H103" s="127">
        <v>0.33333333333333298</v>
      </c>
      <c r="I103" s="109">
        <f t="shared" si="2"/>
        <v>1</v>
      </c>
      <c r="J103" s="134">
        <v>0.9</v>
      </c>
      <c r="K103" s="135" t="s">
        <v>1319</v>
      </c>
      <c r="L103" s="136"/>
    </row>
    <row r="104" spans="1:12" ht="14.4" customHeight="1">
      <c r="A104" s="253"/>
      <c r="B104" s="244"/>
      <c r="C104" s="243" t="s">
        <v>1197</v>
      </c>
      <c r="D104" s="110" t="s">
        <v>1201</v>
      </c>
      <c r="E104" s="159"/>
      <c r="F104" s="111" t="s">
        <v>1251</v>
      </c>
      <c r="G104" s="107"/>
      <c r="H104" s="108">
        <v>0.33333333333333298</v>
      </c>
      <c r="I104" s="109">
        <f t="shared" si="2"/>
        <v>1</v>
      </c>
      <c r="J104" s="109">
        <v>0.9</v>
      </c>
      <c r="K104" s="82" t="s">
        <v>1321</v>
      </c>
      <c r="L104" s="82"/>
    </row>
    <row r="105" spans="1:12" ht="14.4" customHeight="1">
      <c r="A105" s="253"/>
      <c r="B105" s="244"/>
      <c r="C105" s="244"/>
      <c r="D105" s="110" t="s">
        <v>1201</v>
      </c>
      <c r="E105" s="159"/>
      <c r="F105" s="111" t="s">
        <v>1252</v>
      </c>
      <c r="G105" s="107"/>
      <c r="H105" s="108">
        <v>0.33333333333333298</v>
      </c>
      <c r="I105" s="109">
        <f t="shared" si="2"/>
        <v>1</v>
      </c>
      <c r="J105" s="109">
        <v>0.9</v>
      </c>
      <c r="K105" s="82" t="s">
        <v>1321</v>
      </c>
      <c r="L105" s="82"/>
    </row>
    <row r="106" spans="1:12" ht="15" customHeight="1" thickBot="1">
      <c r="A106" s="253"/>
      <c r="B106" s="245"/>
      <c r="C106" s="245"/>
      <c r="D106" s="110" t="s">
        <v>1201</v>
      </c>
      <c r="E106" s="113"/>
      <c r="F106" s="114" t="s">
        <v>1253</v>
      </c>
      <c r="G106" s="107"/>
      <c r="H106" s="108">
        <v>0.33333333333333298</v>
      </c>
      <c r="I106" s="109">
        <f t="shared" si="2"/>
        <v>1</v>
      </c>
      <c r="J106" s="109">
        <v>0.9</v>
      </c>
      <c r="K106" s="82" t="s">
        <v>1321</v>
      </c>
      <c r="L106" s="82"/>
    </row>
    <row r="107" spans="1:12" ht="14.4" customHeight="1">
      <c r="A107" s="253"/>
      <c r="B107" s="251">
        <v>45727</v>
      </c>
      <c r="C107" s="248" t="s">
        <v>1198</v>
      </c>
      <c r="D107" s="110" t="s">
        <v>1201</v>
      </c>
      <c r="E107" s="158"/>
      <c r="F107" s="125" t="s">
        <v>1251</v>
      </c>
      <c r="G107" s="126"/>
      <c r="H107" s="127">
        <v>0.33333333333333298</v>
      </c>
      <c r="I107" s="109">
        <f t="shared" si="2"/>
        <v>1</v>
      </c>
      <c r="J107" s="134">
        <v>0.9</v>
      </c>
      <c r="K107" s="135" t="s">
        <v>1319</v>
      </c>
      <c r="L107" s="137"/>
    </row>
    <row r="108" spans="1:12" ht="14.4" customHeight="1">
      <c r="A108" s="253"/>
      <c r="B108" s="244"/>
      <c r="C108" s="249"/>
      <c r="D108" s="110" t="s">
        <v>1201</v>
      </c>
      <c r="E108" s="158"/>
      <c r="F108" s="125" t="s">
        <v>1252</v>
      </c>
      <c r="G108" s="126"/>
      <c r="H108" s="127">
        <v>0.33333333333333298</v>
      </c>
      <c r="I108" s="109">
        <f t="shared" si="2"/>
        <v>1</v>
      </c>
      <c r="J108" s="134">
        <v>0.9</v>
      </c>
      <c r="K108" s="135" t="s">
        <v>1319</v>
      </c>
      <c r="L108" s="136"/>
    </row>
    <row r="109" spans="1:12" ht="14.4" customHeight="1">
      <c r="A109" s="253"/>
      <c r="B109" s="244"/>
      <c r="C109" s="250"/>
      <c r="D109" s="110" t="s">
        <v>1201</v>
      </c>
      <c r="E109" s="133"/>
      <c r="F109" s="128" t="s">
        <v>1253</v>
      </c>
      <c r="G109" s="126"/>
      <c r="H109" s="127">
        <v>0.33333333333333298</v>
      </c>
      <c r="I109" s="109">
        <f t="shared" si="2"/>
        <v>1</v>
      </c>
      <c r="J109" s="134">
        <v>0.9</v>
      </c>
      <c r="K109" s="135" t="s">
        <v>1319</v>
      </c>
      <c r="L109" s="136"/>
    </row>
    <row r="110" spans="1:12" ht="14.4" customHeight="1">
      <c r="A110" s="253"/>
      <c r="B110" s="244"/>
      <c r="C110" s="243" t="s">
        <v>1196</v>
      </c>
      <c r="D110" s="110" t="s">
        <v>1201</v>
      </c>
      <c r="E110" s="159"/>
      <c r="F110" s="111" t="s">
        <v>1251</v>
      </c>
      <c r="G110" s="107"/>
      <c r="H110" s="108">
        <v>0.33333333333333298</v>
      </c>
      <c r="I110" s="109">
        <f t="shared" si="2"/>
        <v>1</v>
      </c>
      <c r="J110" s="109">
        <v>0.9</v>
      </c>
      <c r="K110" s="112" t="s">
        <v>1320</v>
      </c>
      <c r="L110" s="112"/>
    </row>
    <row r="111" spans="1:12" ht="14.4" customHeight="1">
      <c r="A111" s="253"/>
      <c r="B111" s="244"/>
      <c r="C111" s="244"/>
      <c r="D111" s="110" t="s">
        <v>1201</v>
      </c>
      <c r="E111" s="159"/>
      <c r="F111" s="111" t="s">
        <v>1252</v>
      </c>
      <c r="G111" s="107"/>
      <c r="H111" s="108">
        <v>0.33333333333333298</v>
      </c>
      <c r="I111" s="109">
        <f t="shared" si="2"/>
        <v>1</v>
      </c>
      <c r="J111" s="109">
        <v>0.9</v>
      </c>
      <c r="K111" s="112" t="s">
        <v>1320</v>
      </c>
      <c r="L111" s="82"/>
    </row>
    <row r="112" spans="1:12" ht="14.4" customHeight="1">
      <c r="A112" s="253"/>
      <c r="B112" s="244"/>
      <c r="C112" s="245"/>
      <c r="D112" s="110" t="s">
        <v>1201</v>
      </c>
      <c r="E112" s="113"/>
      <c r="F112" s="114" t="s">
        <v>1253</v>
      </c>
      <c r="G112" s="107"/>
      <c r="H112" s="108">
        <v>0.33333333333333298</v>
      </c>
      <c r="I112" s="109">
        <f t="shared" si="2"/>
        <v>1</v>
      </c>
      <c r="J112" s="109">
        <v>0.9</v>
      </c>
      <c r="K112" s="112" t="s">
        <v>1320</v>
      </c>
      <c r="L112" s="82"/>
    </row>
    <row r="113" spans="1:12" ht="14.4" customHeight="1">
      <c r="A113" s="253"/>
      <c r="B113" s="244"/>
      <c r="C113" s="248" t="s">
        <v>1197</v>
      </c>
      <c r="D113" s="132" t="s">
        <v>1191</v>
      </c>
      <c r="E113" s="158"/>
      <c r="F113" s="125" t="s">
        <v>1251</v>
      </c>
      <c r="G113" s="126">
        <v>8.3333333333333329E-2</v>
      </c>
      <c r="H113" s="127">
        <v>0.33333333333333331</v>
      </c>
      <c r="I113" s="109">
        <f t="shared" si="2"/>
        <v>0.75</v>
      </c>
      <c r="J113" s="134">
        <v>0.9</v>
      </c>
      <c r="K113" s="146" t="s">
        <v>1322</v>
      </c>
      <c r="L113" s="136"/>
    </row>
    <row r="114" spans="1:12" ht="14.4" customHeight="1">
      <c r="A114" s="253"/>
      <c r="B114" s="244"/>
      <c r="C114" s="249"/>
      <c r="D114" s="132" t="s">
        <v>1191</v>
      </c>
      <c r="E114" s="158"/>
      <c r="F114" s="129" t="s">
        <v>1252</v>
      </c>
      <c r="G114" s="126"/>
      <c r="H114" s="127">
        <v>0.33333333333333298</v>
      </c>
      <c r="I114" s="109">
        <f t="shared" si="2"/>
        <v>1</v>
      </c>
      <c r="J114" s="134">
        <v>0.9</v>
      </c>
      <c r="K114" s="136"/>
      <c r="L114" s="136"/>
    </row>
    <row r="115" spans="1:12" ht="15" customHeight="1" thickBot="1">
      <c r="A115" s="253"/>
      <c r="B115" s="245"/>
      <c r="C115" s="250"/>
      <c r="D115" s="132" t="s">
        <v>1191</v>
      </c>
      <c r="E115" s="133"/>
      <c r="F115" s="128" t="s">
        <v>1253</v>
      </c>
      <c r="G115" s="126"/>
      <c r="H115" s="131">
        <v>0.33333333333333298</v>
      </c>
      <c r="I115" s="115">
        <f t="shared" si="2"/>
        <v>1</v>
      </c>
      <c r="J115" s="134">
        <v>0.9</v>
      </c>
      <c r="K115" s="136" t="s">
        <v>1323</v>
      </c>
      <c r="L115" s="136"/>
    </row>
    <row r="116" spans="1:12" ht="14.4" customHeight="1">
      <c r="A116" s="253"/>
      <c r="B116" s="251">
        <v>45728</v>
      </c>
      <c r="C116" s="243" t="s">
        <v>1198</v>
      </c>
      <c r="D116" s="78" t="s">
        <v>1192</v>
      </c>
      <c r="E116" s="159"/>
      <c r="F116" s="111" t="s">
        <v>1251</v>
      </c>
      <c r="G116" s="107"/>
      <c r="H116" s="108">
        <v>0.33333333333333298</v>
      </c>
      <c r="I116" s="109">
        <f t="shared" si="2"/>
        <v>1</v>
      </c>
      <c r="J116" s="109">
        <v>0.9</v>
      </c>
      <c r="K116" s="82"/>
      <c r="L116" s="112"/>
    </row>
    <row r="117" spans="1:12" ht="14.4" customHeight="1">
      <c r="A117" s="253"/>
      <c r="B117" s="244"/>
      <c r="C117" s="244"/>
      <c r="D117" s="78" t="s">
        <v>1192</v>
      </c>
      <c r="E117" s="159"/>
      <c r="F117" s="106" t="s">
        <v>1252</v>
      </c>
      <c r="G117" s="107"/>
      <c r="H117" s="108">
        <v>0.33333333333333298</v>
      </c>
      <c r="I117" s="109">
        <f t="shared" si="2"/>
        <v>1</v>
      </c>
      <c r="J117" s="109">
        <v>0.9</v>
      </c>
      <c r="K117" s="82"/>
      <c r="L117" s="82"/>
    </row>
    <row r="118" spans="1:12" ht="14.4" customHeight="1">
      <c r="A118" s="253"/>
      <c r="B118" s="244"/>
      <c r="C118" s="245"/>
      <c r="D118" s="78" t="s">
        <v>1192</v>
      </c>
      <c r="E118" s="113"/>
      <c r="F118" s="114" t="s">
        <v>1253</v>
      </c>
      <c r="G118" s="107"/>
      <c r="H118" s="108">
        <v>0.33333333333333298</v>
      </c>
      <c r="I118" s="109">
        <f t="shared" si="2"/>
        <v>1</v>
      </c>
      <c r="J118" s="109">
        <v>0.9</v>
      </c>
      <c r="K118" s="82"/>
      <c r="L118" s="82"/>
    </row>
    <row r="119" spans="1:12" ht="14.4" customHeight="1">
      <c r="A119" s="253"/>
      <c r="B119" s="244"/>
      <c r="C119" s="248" t="s">
        <v>1196</v>
      </c>
      <c r="D119" s="132" t="s">
        <v>1194</v>
      </c>
      <c r="E119" s="158"/>
      <c r="F119" s="125" t="s">
        <v>1251</v>
      </c>
      <c r="G119" s="126"/>
      <c r="H119" s="127">
        <v>0.33333333333333298</v>
      </c>
      <c r="I119" s="109">
        <f t="shared" si="2"/>
        <v>1</v>
      </c>
      <c r="J119" s="134">
        <v>0.9</v>
      </c>
      <c r="K119" s="135"/>
      <c r="L119" s="136"/>
    </row>
    <row r="120" spans="1:12" ht="14.4" customHeight="1">
      <c r="A120" s="253"/>
      <c r="B120" s="244"/>
      <c r="C120" s="249"/>
      <c r="D120" s="132" t="s">
        <v>1194</v>
      </c>
      <c r="E120" s="158"/>
      <c r="F120" s="129" t="s">
        <v>1252</v>
      </c>
      <c r="G120" s="126">
        <v>0.29166666666666669</v>
      </c>
      <c r="H120" s="127">
        <v>0.33333333333333298</v>
      </c>
      <c r="I120" s="109">
        <f t="shared" si="2"/>
        <v>0.124999999999999</v>
      </c>
      <c r="J120" s="134">
        <v>0.9</v>
      </c>
      <c r="K120" s="135" t="s">
        <v>1323</v>
      </c>
      <c r="L120" s="136"/>
    </row>
    <row r="121" spans="1:12" ht="14.4" customHeight="1">
      <c r="A121" s="253"/>
      <c r="B121" s="244"/>
      <c r="C121" s="250"/>
      <c r="D121" s="132" t="s">
        <v>1194</v>
      </c>
      <c r="E121" s="133"/>
      <c r="F121" s="128" t="s">
        <v>1253</v>
      </c>
      <c r="G121" s="126"/>
      <c r="H121" s="127">
        <v>0.33333333333333298</v>
      </c>
      <c r="I121" s="109">
        <f t="shared" si="2"/>
        <v>1</v>
      </c>
      <c r="J121" s="134">
        <v>0.9</v>
      </c>
      <c r="K121" s="133"/>
      <c r="L121" s="136"/>
    </row>
    <row r="122" spans="1:12" ht="14.4" customHeight="1">
      <c r="A122" s="253"/>
      <c r="B122" s="244"/>
      <c r="C122" s="243" t="s">
        <v>1197</v>
      </c>
      <c r="D122" s="78" t="s">
        <v>1193</v>
      </c>
      <c r="E122" s="159"/>
      <c r="F122" s="111" t="s">
        <v>1251</v>
      </c>
      <c r="G122" s="107"/>
      <c r="H122" s="108">
        <v>0.33333333333333298</v>
      </c>
      <c r="I122" s="109">
        <f t="shared" si="2"/>
        <v>1</v>
      </c>
      <c r="J122" s="109">
        <v>0.9</v>
      </c>
      <c r="K122" s="82"/>
      <c r="L122" s="82"/>
    </row>
    <row r="123" spans="1:12" ht="14.4" customHeight="1">
      <c r="A123" s="253"/>
      <c r="B123" s="244"/>
      <c r="C123" s="244"/>
      <c r="D123" s="78" t="s">
        <v>1193</v>
      </c>
      <c r="E123" s="159"/>
      <c r="F123" s="106" t="s">
        <v>1252</v>
      </c>
      <c r="G123" s="107">
        <v>1.6666666666666666E-2</v>
      </c>
      <c r="H123" s="108">
        <v>0.33333333333333298</v>
      </c>
      <c r="I123" s="109">
        <f t="shared" si="2"/>
        <v>0.95</v>
      </c>
      <c r="J123" s="109">
        <v>0.9</v>
      </c>
      <c r="K123" s="82" t="s">
        <v>1323</v>
      </c>
      <c r="L123" s="82"/>
    </row>
    <row r="124" spans="1:12" ht="15" customHeight="1" thickBot="1">
      <c r="A124" s="253"/>
      <c r="B124" s="245"/>
      <c r="C124" s="245"/>
      <c r="D124" s="78" t="s">
        <v>1193</v>
      </c>
      <c r="E124" s="113"/>
      <c r="F124" s="114" t="s">
        <v>1253</v>
      </c>
      <c r="G124" s="107"/>
      <c r="H124" s="108">
        <v>0.33333333333333298</v>
      </c>
      <c r="I124" s="109">
        <f t="shared" si="2"/>
        <v>1</v>
      </c>
      <c r="J124" s="109">
        <v>0.9</v>
      </c>
      <c r="K124" s="82"/>
      <c r="L124" s="82"/>
    </row>
    <row r="125" spans="1:12" ht="14.4" customHeight="1">
      <c r="A125" s="253"/>
      <c r="B125" s="251">
        <v>45729</v>
      </c>
      <c r="C125" s="248" t="s">
        <v>1198</v>
      </c>
      <c r="D125" s="132" t="s">
        <v>1192</v>
      </c>
      <c r="E125" s="158"/>
      <c r="F125" s="125" t="s">
        <v>1251</v>
      </c>
      <c r="G125" s="126"/>
      <c r="H125" s="127">
        <v>0.33333333333333298</v>
      </c>
      <c r="I125" s="109">
        <f>1-(G125/H125)</f>
        <v>1</v>
      </c>
      <c r="J125" s="134">
        <v>0.9</v>
      </c>
      <c r="K125" s="135"/>
      <c r="L125" s="137"/>
    </row>
    <row r="126" spans="1:12" ht="14.4" customHeight="1">
      <c r="A126" s="253"/>
      <c r="B126" s="244"/>
      <c r="C126" s="249"/>
      <c r="D126" s="132" t="s">
        <v>1192</v>
      </c>
      <c r="E126" s="158"/>
      <c r="F126" s="129" t="s">
        <v>1252</v>
      </c>
      <c r="G126" s="126">
        <v>8.3333333333333329E-2</v>
      </c>
      <c r="H126" s="127">
        <v>0.33333333333333298</v>
      </c>
      <c r="I126" s="109">
        <f>1-(G126/H126)</f>
        <v>0.74999999999999978</v>
      </c>
      <c r="J126" s="134">
        <v>0.9</v>
      </c>
      <c r="K126" s="135" t="s">
        <v>1307</v>
      </c>
      <c r="L126" s="136"/>
    </row>
    <row r="127" spans="1:12" ht="14.4" customHeight="1">
      <c r="A127" s="253"/>
      <c r="B127" s="244"/>
      <c r="C127" s="250"/>
      <c r="D127" s="132" t="s">
        <v>1192</v>
      </c>
      <c r="E127" s="133"/>
      <c r="F127" s="128" t="s">
        <v>1253</v>
      </c>
      <c r="G127" s="126"/>
      <c r="H127" s="127">
        <v>0.33333333333333298</v>
      </c>
      <c r="I127" s="109">
        <f t="shared" si="2"/>
        <v>1</v>
      </c>
      <c r="J127" s="134">
        <v>0.9</v>
      </c>
      <c r="K127" s="133"/>
      <c r="L127" s="136"/>
    </row>
    <row r="128" spans="1:12" ht="14.4" customHeight="1">
      <c r="A128" s="253"/>
      <c r="B128" s="244"/>
      <c r="C128" s="243" t="s">
        <v>1196</v>
      </c>
      <c r="D128" s="78" t="s">
        <v>1194</v>
      </c>
      <c r="E128" s="159"/>
      <c r="F128" s="111" t="s">
        <v>1251</v>
      </c>
      <c r="G128" s="107"/>
      <c r="H128" s="108">
        <v>0.33333333333333298</v>
      </c>
      <c r="I128" s="109">
        <f t="shared" si="2"/>
        <v>1</v>
      </c>
      <c r="J128" s="109">
        <v>0.9</v>
      </c>
      <c r="K128" s="82"/>
      <c r="L128" s="112"/>
    </row>
    <row r="129" spans="1:12" ht="14.4" customHeight="1">
      <c r="A129" s="253"/>
      <c r="B129" s="244"/>
      <c r="C129" s="244"/>
      <c r="D129" s="78" t="s">
        <v>1194</v>
      </c>
      <c r="E129" s="159"/>
      <c r="F129" s="106" t="s">
        <v>1252</v>
      </c>
      <c r="G129" s="107"/>
      <c r="H129" s="108">
        <v>0.33333333333333298</v>
      </c>
      <c r="I129" s="109">
        <f t="shared" si="2"/>
        <v>1</v>
      </c>
      <c r="J129" s="109">
        <v>0.9</v>
      </c>
      <c r="K129" s="82"/>
      <c r="L129" s="82"/>
    </row>
    <row r="130" spans="1:12" ht="14.4" customHeight="1">
      <c r="A130" s="253"/>
      <c r="B130" s="244"/>
      <c r="C130" s="245"/>
      <c r="D130" s="78" t="s">
        <v>1194</v>
      </c>
      <c r="E130" s="113"/>
      <c r="F130" s="114" t="s">
        <v>1253</v>
      </c>
      <c r="G130" s="107"/>
      <c r="H130" s="108">
        <v>0.33333333333333298</v>
      </c>
      <c r="I130" s="109">
        <f t="shared" si="2"/>
        <v>1</v>
      </c>
      <c r="J130" s="109">
        <v>0.9</v>
      </c>
      <c r="K130" s="82"/>
      <c r="L130" s="82"/>
    </row>
    <row r="131" spans="1:12" ht="14.4" customHeight="1">
      <c r="A131" s="253"/>
      <c r="B131" s="244"/>
      <c r="C131" s="248" t="s">
        <v>1197</v>
      </c>
      <c r="D131" s="132" t="s">
        <v>1193</v>
      </c>
      <c r="E131" s="158"/>
      <c r="F131" s="125" t="s">
        <v>1251</v>
      </c>
      <c r="G131" s="126"/>
      <c r="H131" s="127">
        <v>0.33333333333333298</v>
      </c>
      <c r="I131" s="109">
        <f t="shared" si="2"/>
        <v>1</v>
      </c>
      <c r="J131" s="134">
        <v>0.9</v>
      </c>
      <c r="K131" s="135"/>
      <c r="L131" s="136"/>
    </row>
    <row r="132" spans="1:12" ht="14.4" customHeight="1">
      <c r="A132" s="253"/>
      <c r="B132" s="244"/>
      <c r="C132" s="249"/>
      <c r="D132" s="132" t="s">
        <v>1193</v>
      </c>
      <c r="E132" s="158"/>
      <c r="F132" s="129" t="s">
        <v>1252</v>
      </c>
      <c r="G132" s="126"/>
      <c r="H132" s="127">
        <v>0.33333333333333298</v>
      </c>
      <c r="I132" s="109">
        <f t="shared" si="2"/>
        <v>1</v>
      </c>
      <c r="J132" s="134">
        <v>0.9</v>
      </c>
      <c r="K132" s="135"/>
      <c r="L132" s="136"/>
    </row>
    <row r="133" spans="1:12" ht="15" customHeight="1" thickBot="1">
      <c r="A133" s="253"/>
      <c r="B133" s="245"/>
      <c r="C133" s="250"/>
      <c r="D133" s="132" t="s">
        <v>1193</v>
      </c>
      <c r="E133" s="133"/>
      <c r="F133" s="128" t="s">
        <v>1253</v>
      </c>
      <c r="G133" s="126"/>
      <c r="H133" s="127">
        <v>0.33333333333333298</v>
      </c>
      <c r="I133" s="109">
        <f t="shared" si="2"/>
        <v>1</v>
      </c>
      <c r="J133" s="134">
        <v>0.9</v>
      </c>
      <c r="K133" s="133"/>
      <c r="L133" s="136"/>
    </row>
    <row r="134" spans="1:12" ht="14.4" customHeight="1">
      <c r="A134" s="253"/>
      <c r="B134" s="251">
        <v>45730</v>
      </c>
      <c r="C134" s="243" t="s">
        <v>1198</v>
      </c>
      <c r="D134" s="78" t="s">
        <v>1191</v>
      </c>
      <c r="E134" s="159"/>
      <c r="F134" s="111" t="s">
        <v>1251</v>
      </c>
      <c r="G134" s="107">
        <v>0.25</v>
      </c>
      <c r="H134" s="108">
        <v>0.33333333333333298</v>
      </c>
      <c r="I134" s="109">
        <f t="shared" si="2"/>
        <v>0.24999999999999922</v>
      </c>
      <c r="J134" s="109">
        <v>0.9</v>
      </c>
      <c r="K134" s="82"/>
      <c r="L134" s="112"/>
    </row>
    <row r="135" spans="1:12" ht="14.4" customHeight="1">
      <c r="A135" s="253"/>
      <c r="B135" s="244"/>
      <c r="C135" s="244"/>
      <c r="D135" s="78" t="s">
        <v>1191</v>
      </c>
      <c r="E135" s="159"/>
      <c r="F135" s="106" t="s">
        <v>1252</v>
      </c>
      <c r="G135" s="107"/>
      <c r="H135" s="108">
        <v>0.33333333333333298</v>
      </c>
      <c r="I135" s="109">
        <f t="shared" si="2"/>
        <v>1</v>
      </c>
      <c r="J135" s="109">
        <v>0.9</v>
      </c>
      <c r="K135" s="82"/>
      <c r="L135" s="82"/>
    </row>
    <row r="136" spans="1:12" ht="14.4" customHeight="1">
      <c r="A136" s="253"/>
      <c r="B136" s="244"/>
      <c r="C136" s="245"/>
      <c r="D136" s="78" t="s">
        <v>1191</v>
      </c>
      <c r="E136" s="113"/>
      <c r="F136" s="114" t="s">
        <v>1253</v>
      </c>
      <c r="G136" s="107"/>
      <c r="H136" s="108">
        <v>0.33333333333333298</v>
      </c>
      <c r="I136" s="109">
        <f t="shared" si="2"/>
        <v>1</v>
      </c>
      <c r="J136" s="109">
        <v>0.9</v>
      </c>
      <c r="K136" s="82"/>
      <c r="L136" s="82"/>
    </row>
    <row r="137" spans="1:12" ht="14.4" customHeight="1">
      <c r="A137" s="253"/>
      <c r="B137" s="244"/>
      <c r="C137" s="248" t="s">
        <v>1196</v>
      </c>
      <c r="D137" s="132" t="s">
        <v>1192</v>
      </c>
      <c r="E137" s="158"/>
      <c r="F137" s="125" t="s">
        <v>1251</v>
      </c>
      <c r="G137" s="126"/>
      <c r="H137" s="127">
        <v>0.33333333333333298</v>
      </c>
      <c r="I137" s="109">
        <f t="shared" si="2"/>
        <v>1</v>
      </c>
      <c r="J137" s="134">
        <v>0.9</v>
      </c>
      <c r="K137" s="137"/>
      <c r="L137" s="137"/>
    </row>
    <row r="138" spans="1:12" ht="14.4" customHeight="1">
      <c r="A138" s="253"/>
      <c r="B138" s="244"/>
      <c r="C138" s="249"/>
      <c r="D138" s="132" t="s">
        <v>1192</v>
      </c>
      <c r="E138" s="158"/>
      <c r="F138" s="129" t="s">
        <v>1252</v>
      </c>
      <c r="G138" s="126"/>
      <c r="H138" s="127">
        <v>0.33333333333333298</v>
      </c>
      <c r="I138" s="109">
        <f t="shared" si="2"/>
        <v>1</v>
      </c>
      <c r="J138" s="134">
        <v>0.9</v>
      </c>
      <c r="K138" s="135"/>
      <c r="L138" s="136"/>
    </row>
    <row r="139" spans="1:12" ht="14.4" customHeight="1">
      <c r="A139" s="253"/>
      <c r="B139" s="244"/>
      <c r="C139" s="250"/>
      <c r="D139" s="132" t="s">
        <v>1192</v>
      </c>
      <c r="E139" s="133"/>
      <c r="F139" s="128" t="s">
        <v>1253</v>
      </c>
      <c r="G139" s="126"/>
      <c r="H139" s="127">
        <v>0.33333333333333298</v>
      </c>
      <c r="I139" s="109">
        <f t="shared" si="2"/>
        <v>1</v>
      </c>
      <c r="J139" s="134">
        <v>0.9</v>
      </c>
      <c r="K139" s="133"/>
      <c r="L139" s="136"/>
    </row>
    <row r="140" spans="1:12" ht="14.4" customHeight="1">
      <c r="A140" s="253"/>
      <c r="B140" s="244"/>
      <c r="C140" s="243" t="s">
        <v>1197</v>
      </c>
      <c r="D140" s="78" t="s">
        <v>1194</v>
      </c>
      <c r="E140" s="159"/>
      <c r="F140" s="111" t="s">
        <v>1251</v>
      </c>
      <c r="G140" s="107"/>
      <c r="H140" s="108">
        <v>0.33333333333333298</v>
      </c>
      <c r="I140" s="109">
        <f t="shared" si="2"/>
        <v>1</v>
      </c>
      <c r="J140" s="109">
        <v>0.9</v>
      </c>
      <c r="K140" s="82"/>
      <c r="L140" s="82"/>
    </row>
    <row r="141" spans="1:12" ht="14.4" customHeight="1">
      <c r="A141" s="253"/>
      <c r="B141" s="244"/>
      <c r="C141" s="244"/>
      <c r="D141" s="78" t="s">
        <v>1194</v>
      </c>
      <c r="E141" s="159"/>
      <c r="F141" s="106" t="s">
        <v>1252</v>
      </c>
      <c r="G141" s="107"/>
      <c r="H141" s="108">
        <v>0.33333333333333298</v>
      </c>
      <c r="I141" s="109">
        <f t="shared" si="2"/>
        <v>1</v>
      </c>
      <c r="J141" s="109">
        <v>0.9</v>
      </c>
      <c r="K141" s="82"/>
      <c r="L141" s="82"/>
    </row>
    <row r="142" spans="1:12" ht="14.4" customHeight="1" thickBot="1">
      <c r="A142" s="253"/>
      <c r="B142" s="245"/>
      <c r="C142" s="245"/>
      <c r="D142" s="78" t="s">
        <v>1194</v>
      </c>
      <c r="E142" s="113"/>
      <c r="F142" s="114" t="s">
        <v>1253</v>
      </c>
      <c r="G142" s="122"/>
      <c r="H142" s="123">
        <v>0.33333333333333298</v>
      </c>
      <c r="I142" s="109">
        <f t="shared" si="2"/>
        <v>1</v>
      </c>
      <c r="J142" s="109">
        <v>0.9</v>
      </c>
      <c r="K142" s="82"/>
      <c r="L142" s="82"/>
    </row>
    <row r="143" spans="1:12" ht="14.4" customHeight="1">
      <c r="A143" s="253"/>
      <c r="B143" s="251">
        <v>45731</v>
      </c>
      <c r="C143" s="248" t="s">
        <v>1198</v>
      </c>
      <c r="D143" s="132" t="s">
        <v>1191</v>
      </c>
      <c r="E143" s="158"/>
      <c r="F143" s="125" t="s">
        <v>1251</v>
      </c>
      <c r="G143" s="126">
        <v>4.1666666666666664E-2</v>
      </c>
      <c r="H143" s="127">
        <v>0.33333333333333298</v>
      </c>
      <c r="I143" s="109">
        <f>1-(G143/H143)</f>
        <v>0.87499999999999989</v>
      </c>
      <c r="J143" s="134">
        <v>0.9</v>
      </c>
      <c r="K143" s="135" t="s">
        <v>1307</v>
      </c>
      <c r="L143" s="137"/>
    </row>
    <row r="144" spans="1:12" ht="14.4" customHeight="1">
      <c r="A144" s="253"/>
      <c r="B144" s="244"/>
      <c r="C144" s="249"/>
      <c r="D144" s="132" t="s">
        <v>1191</v>
      </c>
      <c r="E144" s="158"/>
      <c r="F144" s="129" t="s">
        <v>1252</v>
      </c>
      <c r="G144" s="126"/>
      <c r="H144" s="127">
        <v>0.33333333333333298</v>
      </c>
      <c r="I144" s="109">
        <f>1-(G144/H144)</f>
        <v>1</v>
      </c>
      <c r="J144" s="134">
        <v>0.9</v>
      </c>
      <c r="K144" s="135"/>
      <c r="L144" s="136"/>
    </row>
    <row r="145" spans="1:12" ht="14.4" customHeight="1">
      <c r="A145" s="253"/>
      <c r="B145" s="244"/>
      <c r="C145" s="250"/>
      <c r="D145" s="132" t="s">
        <v>1191</v>
      </c>
      <c r="E145" s="133"/>
      <c r="F145" s="128" t="s">
        <v>1253</v>
      </c>
      <c r="G145" s="126"/>
      <c r="H145" s="127">
        <v>0.33333333333333298</v>
      </c>
      <c r="I145" s="109">
        <f t="shared" ref="I145:I160" si="3">1-(G145/H145)</f>
        <v>1</v>
      </c>
      <c r="J145" s="134">
        <v>0.9</v>
      </c>
      <c r="K145" s="133"/>
      <c r="L145" s="136"/>
    </row>
    <row r="146" spans="1:12" ht="14.4" customHeight="1">
      <c r="A146" s="253"/>
      <c r="B146" s="244"/>
      <c r="C146" s="243" t="s">
        <v>1196</v>
      </c>
      <c r="D146" s="78" t="s">
        <v>1192</v>
      </c>
      <c r="E146" s="159"/>
      <c r="F146" s="111" t="s">
        <v>1251</v>
      </c>
      <c r="G146" s="107"/>
      <c r="H146" s="108">
        <v>0.33333333333333298</v>
      </c>
      <c r="I146" s="109">
        <f t="shared" si="3"/>
        <v>1</v>
      </c>
      <c r="J146" s="109">
        <v>0.9</v>
      </c>
      <c r="K146" s="82"/>
      <c r="L146" s="112"/>
    </row>
    <row r="147" spans="1:12" ht="14.4" customHeight="1">
      <c r="A147" s="253"/>
      <c r="B147" s="244"/>
      <c r="C147" s="244"/>
      <c r="D147" s="78" t="s">
        <v>1192</v>
      </c>
      <c r="E147" s="159"/>
      <c r="F147" s="106" t="s">
        <v>1252</v>
      </c>
      <c r="G147" s="107">
        <v>1.8055555555555554E-2</v>
      </c>
      <c r="H147" s="108">
        <v>0.33333333333333298</v>
      </c>
      <c r="I147" s="109">
        <f t="shared" si="3"/>
        <v>0.9458333333333333</v>
      </c>
      <c r="J147" s="109">
        <v>0.9</v>
      </c>
      <c r="K147" s="82"/>
      <c r="L147" s="82"/>
    </row>
    <row r="148" spans="1:12" ht="14.4" customHeight="1">
      <c r="A148" s="253"/>
      <c r="B148" s="244"/>
      <c r="C148" s="245"/>
      <c r="D148" s="78" t="s">
        <v>1192</v>
      </c>
      <c r="E148" s="113"/>
      <c r="F148" s="114" t="s">
        <v>1253</v>
      </c>
      <c r="G148" s="107"/>
      <c r="H148" s="108">
        <v>0.33333333333333298</v>
      </c>
      <c r="I148" s="109">
        <f t="shared" si="3"/>
        <v>1</v>
      </c>
      <c r="J148" s="109">
        <v>0.9</v>
      </c>
      <c r="K148" s="82"/>
      <c r="L148" s="82"/>
    </row>
    <row r="149" spans="1:12" ht="14.4" customHeight="1">
      <c r="A149" s="253"/>
      <c r="B149" s="244"/>
      <c r="C149" s="248" t="s">
        <v>1197</v>
      </c>
      <c r="D149" s="132" t="s">
        <v>1194</v>
      </c>
      <c r="E149" s="158"/>
      <c r="F149" s="125" t="s">
        <v>1251</v>
      </c>
      <c r="G149" s="126"/>
      <c r="H149" s="127">
        <v>0.33333333333333298</v>
      </c>
      <c r="I149" s="109">
        <f t="shared" si="3"/>
        <v>1</v>
      </c>
      <c r="J149" s="134">
        <v>0.9</v>
      </c>
      <c r="K149" s="135"/>
      <c r="L149" s="136"/>
    </row>
    <row r="150" spans="1:12" ht="14.4" customHeight="1">
      <c r="A150" s="253"/>
      <c r="B150" s="244"/>
      <c r="C150" s="249"/>
      <c r="D150" s="132" t="s">
        <v>1194</v>
      </c>
      <c r="E150" s="158"/>
      <c r="F150" s="129" t="s">
        <v>1252</v>
      </c>
      <c r="G150" s="126"/>
      <c r="H150" s="127">
        <v>0.33333333333333298</v>
      </c>
      <c r="I150" s="109">
        <f t="shared" si="3"/>
        <v>1</v>
      </c>
      <c r="J150" s="134">
        <v>0.9</v>
      </c>
      <c r="K150" s="135"/>
      <c r="L150" s="136"/>
    </row>
    <row r="151" spans="1:12" ht="14.4" customHeight="1" thickBot="1">
      <c r="A151" s="253"/>
      <c r="B151" s="245"/>
      <c r="C151" s="250"/>
      <c r="D151" s="132" t="s">
        <v>1194</v>
      </c>
      <c r="E151" s="133"/>
      <c r="F151" s="128" t="s">
        <v>1253</v>
      </c>
      <c r="G151" s="126"/>
      <c r="H151" s="127">
        <v>0.33333333333333298</v>
      </c>
      <c r="I151" s="109">
        <f t="shared" si="3"/>
        <v>1</v>
      </c>
      <c r="J151" s="134">
        <v>0.9</v>
      </c>
      <c r="K151" s="133"/>
      <c r="L151" s="136"/>
    </row>
    <row r="152" spans="1:12" ht="14.4" customHeight="1">
      <c r="A152" s="253"/>
      <c r="B152" s="251">
        <v>45732</v>
      </c>
      <c r="C152" s="243" t="s">
        <v>1198</v>
      </c>
      <c r="D152" s="78"/>
      <c r="E152" s="159"/>
      <c r="F152" s="111" t="s">
        <v>1251</v>
      </c>
      <c r="G152" s="107"/>
      <c r="H152" s="108">
        <v>0.33333333333333298</v>
      </c>
      <c r="I152" s="109">
        <f t="shared" si="3"/>
        <v>1</v>
      </c>
      <c r="J152" s="109">
        <v>0.9</v>
      </c>
      <c r="K152" s="82"/>
      <c r="L152" s="112"/>
    </row>
    <row r="153" spans="1:12" ht="14.4" customHeight="1">
      <c r="A153" s="253"/>
      <c r="B153" s="244"/>
      <c r="C153" s="244"/>
      <c r="D153" s="78"/>
      <c r="E153" s="159"/>
      <c r="F153" s="106" t="s">
        <v>1252</v>
      </c>
      <c r="G153" s="107"/>
      <c r="H153" s="108">
        <v>0.33333333333333298</v>
      </c>
      <c r="I153" s="109">
        <f t="shared" si="3"/>
        <v>1</v>
      </c>
      <c r="J153" s="109">
        <v>0.9</v>
      </c>
      <c r="K153" s="82"/>
      <c r="L153" s="82"/>
    </row>
    <row r="154" spans="1:12" ht="14.4" customHeight="1">
      <c r="A154" s="253"/>
      <c r="B154" s="244"/>
      <c r="C154" s="245"/>
      <c r="D154" s="78"/>
      <c r="E154" s="113"/>
      <c r="F154" s="114" t="s">
        <v>1253</v>
      </c>
      <c r="G154" s="107"/>
      <c r="H154" s="108">
        <v>0.33333333333333298</v>
      </c>
      <c r="I154" s="109">
        <f t="shared" si="3"/>
        <v>1</v>
      </c>
      <c r="J154" s="109">
        <v>0.9</v>
      </c>
      <c r="K154" s="82"/>
      <c r="L154" s="82"/>
    </row>
    <row r="155" spans="1:12" ht="14.4" customHeight="1">
      <c r="A155" s="253"/>
      <c r="B155" s="244"/>
      <c r="C155" s="248" t="s">
        <v>1196</v>
      </c>
      <c r="D155" s="132" t="s">
        <v>1191</v>
      </c>
      <c r="E155" s="158"/>
      <c r="F155" s="125" t="s">
        <v>1251</v>
      </c>
      <c r="G155" s="126"/>
      <c r="H155" s="127">
        <v>0.33333333333333298</v>
      </c>
      <c r="I155" s="109">
        <f t="shared" si="3"/>
        <v>1</v>
      </c>
      <c r="J155" s="134">
        <v>0.9</v>
      </c>
      <c r="K155" s="137"/>
      <c r="L155" s="137"/>
    </row>
    <row r="156" spans="1:12" ht="14.4" customHeight="1">
      <c r="A156" s="253"/>
      <c r="B156" s="244"/>
      <c r="C156" s="249"/>
      <c r="D156" s="132" t="s">
        <v>1191</v>
      </c>
      <c r="E156" s="158"/>
      <c r="F156" s="129" t="s">
        <v>1252</v>
      </c>
      <c r="G156" s="126"/>
      <c r="H156" s="127">
        <v>0.33333333333333298</v>
      </c>
      <c r="I156" s="109">
        <f t="shared" si="3"/>
        <v>1</v>
      </c>
      <c r="J156" s="134">
        <v>0.9</v>
      </c>
      <c r="K156" s="135"/>
      <c r="L156" s="136"/>
    </row>
    <row r="157" spans="1:12" ht="14.4" customHeight="1">
      <c r="A157" s="253"/>
      <c r="B157" s="244"/>
      <c r="C157" s="250"/>
      <c r="D157" s="132" t="s">
        <v>1191</v>
      </c>
      <c r="E157" s="133"/>
      <c r="F157" s="128" t="s">
        <v>1253</v>
      </c>
      <c r="G157" s="126"/>
      <c r="H157" s="127">
        <v>0.33333333333333298</v>
      </c>
      <c r="I157" s="109">
        <f t="shared" si="3"/>
        <v>1</v>
      </c>
      <c r="J157" s="134">
        <v>0.9</v>
      </c>
      <c r="K157" s="133"/>
      <c r="L157" s="136"/>
    </row>
    <row r="158" spans="1:12" ht="14.4" customHeight="1">
      <c r="A158" s="253"/>
      <c r="B158" s="244"/>
      <c r="C158" s="243" t="s">
        <v>1197</v>
      </c>
      <c r="D158" s="78" t="s">
        <v>1192</v>
      </c>
      <c r="E158" s="159"/>
      <c r="F158" s="111" t="s">
        <v>1251</v>
      </c>
      <c r="G158" s="107"/>
      <c r="H158" s="108">
        <v>0.33333333333333298</v>
      </c>
      <c r="I158" s="109">
        <f t="shared" si="3"/>
        <v>1</v>
      </c>
      <c r="J158" s="109">
        <v>0.9</v>
      </c>
      <c r="K158" s="82"/>
      <c r="L158" s="82"/>
    </row>
    <row r="159" spans="1:12" ht="14.4" customHeight="1">
      <c r="A159" s="253"/>
      <c r="B159" s="244"/>
      <c r="C159" s="244"/>
      <c r="D159" s="78" t="s">
        <v>1192</v>
      </c>
      <c r="E159" s="159"/>
      <c r="F159" s="106" t="s">
        <v>1252</v>
      </c>
      <c r="G159" s="107"/>
      <c r="H159" s="108">
        <v>0.33333333333333298</v>
      </c>
      <c r="I159" s="109">
        <f t="shared" si="3"/>
        <v>1</v>
      </c>
      <c r="J159" s="109">
        <v>0.9</v>
      </c>
      <c r="K159" s="82"/>
      <c r="L159" s="82"/>
    </row>
    <row r="160" spans="1:12" ht="14.4" customHeight="1">
      <c r="A160" s="253"/>
      <c r="B160" s="245"/>
      <c r="C160" s="245"/>
      <c r="D160" s="78" t="s">
        <v>1192</v>
      </c>
      <c r="E160" s="113"/>
      <c r="F160" s="114" t="s">
        <v>1253</v>
      </c>
      <c r="G160" s="122"/>
      <c r="H160" s="123">
        <v>0.33333333333333298</v>
      </c>
      <c r="I160" s="109">
        <f t="shared" si="3"/>
        <v>1</v>
      </c>
      <c r="J160" s="109">
        <v>0.9</v>
      </c>
      <c r="K160" s="82"/>
      <c r="L160" s="82"/>
    </row>
    <row r="161" spans="1:12" ht="14.4" customHeight="1">
      <c r="A161" s="253"/>
      <c r="B161" s="117"/>
      <c r="C161" s="117"/>
      <c r="D161" s="118"/>
      <c r="E161" s="118"/>
      <c r="F161" s="119" t="s">
        <v>1251</v>
      </c>
      <c r="G161" s="124"/>
      <c r="H161" s="124"/>
      <c r="I161" s="120">
        <f>AVERAGEIF(F98:F160,F161,I98:I160)</f>
        <v>0.9464285714285714</v>
      </c>
      <c r="J161" s="121">
        <v>0.9</v>
      </c>
      <c r="K161" s="118"/>
      <c r="L161" s="116"/>
    </row>
    <row r="162" spans="1:12" ht="14.4" customHeight="1">
      <c r="A162" s="253"/>
      <c r="B162" s="117"/>
      <c r="C162" s="117"/>
      <c r="D162" s="118"/>
      <c r="E162" s="118"/>
      <c r="F162" s="119" t="s">
        <v>1252</v>
      </c>
      <c r="G162" s="124"/>
      <c r="H162" s="124"/>
      <c r="I162" s="120">
        <f>AVERAGEIF(F98:F160,F162,I98:I160)</f>
        <v>0.94146825396825395</v>
      </c>
      <c r="J162" s="121">
        <v>0.9</v>
      </c>
      <c r="K162" s="118"/>
      <c r="L162" s="116"/>
    </row>
    <row r="163" spans="1:12" ht="15" customHeight="1" thickBot="1">
      <c r="A163" s="253"/>
      <c r="B163" s="117"/>
      <c r="C163" s="117"/>
      <c r="D163" s="118"/>
      <c r="E163" s="118"/>
      <c r="F163" s="119" t="s">
        <v>1253</v>
      </c>
      <c r="G163" s="124"/>
      <c r="H163" s="124"/>
      <c r="I163" s="120">
        <f>AVERAGEIF(F98:F160,F163,I98:I160)</f>
        <v>1</v>
      </c>
      <c r="J163" s="121">
        <v>0.9</v>
      </c>
      <c r="K163" s="118"/>
      <c r="L163" s="116"/>
    </row>
    <row r="164" spans="1:12" ht="14.4" customHeight="1">
      <c r="A164" s="252" t="s">
        <v>1367</v>
      </c>
      <c r="B164" s="251">
        <v>45733</v>
      </c>
      <c r="C164" s="243" t="s">
        <v>1198</v>
      </c>
      <c r="D164" s="110" t="s">
        <v>1201</v>
      </c>
      <c r="E164" s="156"/>
      <c r="F164" s="111" t="s">
        <v>1251</v>
      </c>
      <c r="G164" s="107"/>
      <c r="H164" s="108">
        <v>0.33333333333333331</v>
      </c>
      <c r="I164" s="109">
        <f>1-(G164/H164)</f>
        <v>1</v>
      </c>
      <c r="J164" s="109">
        <v>0.9</v>
      </c>
      <c r="K164" s="82"/>
      <c r="L164" s="82"/>
    </row>
    <row r="165" spans="1:12" ht="14.4" customHeight="1">
      <c r="A165" s="253"/>
      <c r="B165" s="244"/>
      <c r="C165" s="244"/>
      <c r="D165" s="110" t="s">
        <v>1201</v>
      </c>
      <c r="E165" s="156"/>
      <c r="F165" s="111" t="s">
        <v>1252</v>
      </c>
      <c r="G165" s="107"/>
      <c r="H165" s="108">
        <v>0.33333333333333331</v>
      </c>
      <c r="I165" s="109">
        <f>1-(G165/H165)</f>
        <v>1</v>
      </c>
      <c r="J165" s="109">
        <v>0.9</v>
      </c>
      <c r="K165" s="82"/>
      <c r="L165" s="82"/>
    </row>
    <row r="166" spans="1:12" ht="14.4" customHeight="1">
      <c r="A166" s="253"/>
      <c r="B166" s="244"/>
      <c r="C166" s="245"/>
      <c r="D166" s="110" t="s">
        <v>1201</v>
      </c>
      <c r="E166" s="157"/>
      <c r="F166" s="114" t="s">
        <v>1253</v>
      </c>
      <c r="G166" s="107"/>
      <c r="H166" s="108">
        <v>0.33333333333333298</v>
      </c>
      <c r="I166" s="109">
        <f t="shared" ref="I166:I226" si="4">1-(G166/H166)</f>
        <v>1</v>
      </c>
      <c r="J166" s="109">
        <v>0.9</v>
      </c>
      <c r="K166" s="82"/>
      <c r="L166" s="82"/>
    </row>
    <row r="167" spans="1:12" ht="14.4" customHeight="1">
      <c r="A167" s="253"/>
      <c r="B167" s="244"/>
      <c r="C167" s="248" t="s">
        <v>1196</v>
      </c>
      <c r="D167" s="110" t="s">
        <v>1201</v>
      </c>
      <c r="E167" s="158"/>
      <c r="F167" s="125" t="s">
        <v>1251</v>
      </c>
      <c r="G167" s="126"/>
      <c r="H167" s="127">
        <v>0.33333333333333298</v>
      </c>
      <c r="I167" s="109">
        <f t="shared" si="4"/>
        <v>1</v>
      </c>
      <c r="J167" s="134">
        <v>0.9</v>
      </c>
      <c r="K167" s="135" t="s">
        <v>1324</v>
      </c>
      <c r="L167" s="136"/>
    </row>
    <row r="168" spans="1:12" ht="14.4" customHeight="1">
      <c r="A168" s="253"/>
      <c r="B168" s="244"/>
      <c r="C168" s="249"/>
      <c r="D168" s="110" t="s">
        <v>1201</v>
      </c>
      <c r="E168" s="158"/>
      <c r="F168" s="125" t="s">
        <v>1252</v>
      </c>
      <c r="G168" s="126"/>
      <c r="H168" s="127">
        <v>0.33333333333333298</v>
      </c>
      <c r="I168" s="109">
        <f t="shared" si="4"/>
        <v>1</v>
      </c>
      <c r="J168" s="134">
        <v>0.9</v>
      </c>
      <c r="K168" s="135" t="s">
        <v>1324</v>
      </c>
      <c r="L168" s="136"/>
    </row>
    <row r="169" spans="1:12" ht="14.4" customHeight="1">
      <c r="A169" s="253"/>
      <c r="B169" s="244"/>
      <c r="C169" s="250"/>
      <c r="D169" s="110" t="s">
        <v>1201</v>
      </c>
      <c r="E169" s="133"/>
      <c r="F169" s="128" t="s">
        <v>1253</v>
      </c>
      <c r="G169" s="126"/>
      <c r="H169" s="127">
        <v>0.33333333333333298</v>
      </c>
      <c r="I169" s="109">
        <f t="shared" si="4"/>
        <v>1</v>
      </c>
      <c r="J169" s="134">
        <v>0.9</v>
      </c>
      <c r="K169" s="135" t="s">
        <v>1324</v>
      </c>
      <c r="L169" s="136"/>
    </row>
    <row r="170" spans="1:12" ht="14.4" customHeight="1">
      <c r="A170" s="253"/>
      <c r="B170" s="244"/>
      <c r="C170" s="243" t="s">
        <v>1197</v>
      </c>
      <c r="D170" s="110" t="s">
        <v>1201</v>
      </c>
      <c r="E170" s="159"/>
      <c r="F170" s="111" t="s">
        <v>1251</v>
      </c>
      <c r="G170" s="107"/>
      <c r="H170" s="108">
        <v>0.33333333333333298</v>
      </c>
      <c r="I170" s="109">
        <f t="shared" si="4"/>
        <v>1</v>
      </c>
      <c r="J170" s="109">
        <v>0.9</v>
      </c>
      <c r="K170" s="112" t="s">
        <v>1324</v>
      </c>
      <c r="L170" s="112"/>
    </row>
    <row r="171" spans="1:12" ht="14.4" customHeight="1">
      <c r="A171" s="253"/>
      <c r="B171" s="244"/>
      <c r="C171" s="244"/>
      <c r="D171" s="110" t="s">
        <v>1201</v>
      </c>
      <c r="E171" s="159"/>
      <c r="F171" s="111" t="s">
        <v>1252</v>
      </c>
      <c r="G171" s="107"/>
      <c r="H171" s="108">
        <v>0.33333333333333298</v>
      </c>
      <c r="I171" s="109">
        <f t="shared" si="4"/>
        <v>1</v>
      </c>
      <c r="J171" s="109">
        <v>0.9</v>
      </c>
      <c r="K171" s="112" t="s">
        <v>1324</v>
      </c>
      <c r="L171" s="82"/>
    </row>
    <row r="172" spans="1:12" ht="15" customHeight="1" thickBot="1">
      <c r="A172" s="253"/>
      <c r="B172" s="245"/>
      <c r="C172" s="245"/>
      <c r="D172" s="110" t="s">
        <v>1201</v>
      </c>
      <c r="E172" s="113"/>
      <c r="F172" s="114" t="s">
        <v>1253</v>
      </c>
      <c r="G172" s="107"/>
      <c r="H172" s="108">
        <v>0.33333333333333298</v>
      </c>
      <c r="I172" s="109">
        <f t="shared" si="4"/>
        <v>1</v>
      </c>
      <c r="J172" s="109">
        <v>0.9</v>
      </c>
      <c r="K172" s="112" t="s">
        <v>1324</v>
      </c>
      <c r="L172" s="82"/>
    </row>
    <row r="173" spans="1:12" ht="14.4" customHeight="1">
      <c r="A173" s="253"/>
      <c r="B173" s="251">
        <v>45734</v>
      </c>
      <c r="C173" s="248" t="s">
        <v>1198</v>
      </c>
      <c r="D173" s="132" t="s">
        <v>1194</v>
      </c>
      <c r="E173" s="158"/>
      <c r="F173" s="125" t="s">
        <v>1251</v>
      </c>
      <c r="G173" s="126"/>
      <c r="H173" s="127">
        <v>0.33333333333333298</v>
      </c>
      <c r="I173" s="109">
        <f t="shared" si="4"/>
        <v>1</v>
      </c>
      <c r="J173" s="134">
        <v>0.9</v>
      </c>
      <c r="K173" s="135"/>
      <c r="L173" s="137"/>
    </row>
    <row r="174" spans="1:12" ht="14.4" customHeight="1">
      <c r="A174" s="253"/>
      <c r="B174" s="244"/>
      <c r="C174" s="249"/>
      <c r="D174" s="132" t="s">
        <v>1194</v>
      </c>
      <c r="E174" s="158"/>
      <c r="F174" s="125" t="s">
        <v>1252</v>
      </c>
      <c r="G174" s="126"/>
      <c r="H174" s="127">
        <v>0.33333333333333298</v>
      </c>
      <c r="I174" s="109">
        <f t="shared" si="4"/>
        <v>1</v>
      </c>
      <c r="J174" s="134">
        <v>0.9</v>
      </c>
      <c r="K174" s="135"/>
      <c r="L174" s="136"/>
    </row>
    <row r="175" spans="1:12" ht="14.4" customHeight="1">
      <c r="A175" s="253"/>
      <c r="B175" s="244"/>
      <c r="C175" s="250"/>
      <c r="D175" s="132" t="s">
        <v>1194</v>
      </c>
      <c r="E175" s="133"/>
      <c r="F175" s="128" t="s">
        <v>1253</v>
      </c>
      <c r="G175" s="126"/>
      <c r="H175" s="127">
        <v>0.33333333333333298</v>
      </c>
      <c r="I175" s="109">
        <f t="shared" si="4"/>
        <v>1</v>
      </c>
      <c r="J175" s="134">
        <v>0.9</v>
      </c>
      <c r="K175" s="133"/>
      <c r="L175" s="136"/>
    </row>
    <row r="176" spans="1:12" ht="14.4" customHeight="1">
      <c r="A176" s="253"/>
      <c r="B176" s="244"/>
      <c r="C176" s="243" t="s">
        <v>1196</v>
      </c>
      <c r="D176" s="78"/>
      <c r="E176" s="159"/>
      <c r="F176" s="111" t="s">
        <v>1251</v>
      </c>
      <c r="G176" s="107"/>
      <c r="H176" s="108">
        <v>0.33333333333333298</v>
      </c>
      <c r="I176" s="109">
        <f t="shared" si="4"/>
        <v>1</v>
      </c>
      <c r="J176" s="109">
        <v>0.9</v>
      </c>
      <c r="K176" s="82"/>
      <c r="L176" s="112"/>
    </row>
    <row r="177" spans="1:12" ht="14.4" customHeight="1">
      <c r="A177" s="253"/>
      <c r="B177" s="244"/>
      <c r="C177" s="244"/>
      <c r="D177" s="78"/>
      <c r="E177" s="159"/>
      <c r="F177" s="111" t="s">
        <v>1252</v>
      </c>
      <c r="G177" s="107"/>
      <c r="H177" s="108">
        <v>0.33333333333333298</v>
      </c>
      <c r="I177" s="109">
        <f t="shared" si="4"/>
        <v>1</v>
      </c>
      <c r="J177" s="109">
        <v>0.9</v>
      </c>
      <c r="K177" s="82"/>
      <c r="L177" s="82"/>
    </row>
    <row r="178" spans="1:12" ht="14.4" customHeight="1">
      <c r="A178" s="253"/>
      <c r="B178" s="244"/>
      <c r="C178" s="245"/>
      <c r="D178" s="78"/>
      <c r="E178" s="113"/>
      <c r="F178" s="114" t="s">
        <v>1253</v>
      </c>
      <c r="G178" s="107">
        <v>0.16666666666666666</v>
      </c>
      <c r="H178" s="108">
        <v>0.33333333333333298</v>
      </c>
      <c r="I178" s="109">
        <f t="shared" si="4"/>
        <v>0.49999999999999944</v>
      </c>
      <c r="J178" s="109">
        <v>0.9</v>
      </c>
      <c r="K178" s="82" t="s">
        <v>1325</v>
      </c>
      <c r="L178" s="82"/>
    </row>
    <row r="179" spans="1:12" ht="14.4" customHeight="1">
      <c r="A179" s="253"/>
      <c r="B179" s="244"/>
      <c r="C179" s="248" t="s">
        <v>1197</v>
      </c>
      <c r="D179" s="132" t="s">
        <v>1191</v>
      </c>
      <c r="E179" s="158"/>
      <c r="F179" s="125" t="s">
        <v>1251</v>
      </c>
      <c r="G179" s="126">
        <v>0.16666666666666666</v>
      </c>
      <c r="H179" s="127">
        <v>0.33333333333333298</v>
      </c>
      <c r="I179" s="109">
        <f t="shared" si="4"/>
        <v>0.49999999999999944</v>
      </c>
      <c r="J179" s="134">
        <v>0.9</v>
      </c>
      <c r="K179" s="135" t="s">
        <v>1323</v>
      </c>
      <c r="L179" s="137"/>
    </row>
    <row r="180" spans="1:12" ht="14.4" customHeight="1">
      <c r="A180" s="253"/>
      <c r="B180" s="244"/>
      <c r="C180" s="249"/>
      <c r="D180" s="132" t="s">
        <v>1191</v>
      </c>
      <c r="E180" s="158"/>
      <c r="F180" s="129" t="s">
        <v>1252</v>
      </c>
      <c r="G180" s="126">
        <v>0.33333333333333331</v>
      </c>
      <c r="H180" s="127">
        <v>0.33333333333333298</v>
      </c>
      <c r="I180" s="109">
        <f t="shared" si="4"/>
        <v>0</v>
      </c>
      <c r="J180" s="134">
        <v>0.9</v>
      </c>
      <c r="K180" s="135" t="s">
        <v>1326</v>
      </c>
      <c r="L180" s="136"/>
    </row>
    <row r="181" spans="1:12" ht="15" customHeight="1" thickBot="1">
      <c r="A181" s="253"/>
      <c r="B181" s="245"/>
      <c r="C181" s="250"/>
      <c r="D181" s="132" t="s">
        <v>1191</v>
      </c>
      <c r="E181" s="133"/>
      <c r="F181" s="128" t="s">
        <v>1253</v>
      </c>
      <c r="G181" s="126">
        <v>0.10416666666666667</v>
      </c>
      <c r="H181" s="131">
        <v>0.33333333333333298</v>
      </c>
      <c r="I181" s="115">
        <f t="shared" si="4"/>
        <v>0.68749999999999967</v>
      </c>
      <c r="J181" s="134">
        <v>0.9</v>
      </c>
      <c r="K181" s="133"/>
      <c r="L181" s="136"/>
    </row>
    <row r="182" spans="1:12" ht="14.4" customHeight="1">
      <c r="A182" s="253"/>
      <c r="B182" s="251">
        <v>45735</v>
      </c>
      <c r="C182" s="243" t="s">
        <v>1198</v>
      </c>
      <c r="D182" s="78" t="s">
        <v>1194</v>
      </c>
      <c r="E182" s="159"/>
      <c r="F182" s="111" t="s">
        <v>1251</v>
      </c>
      <c r="G182" s="107">
        <v>0.33333333333333331</v>
      </c>
      <c r="H182" s="108">
        <v>0.33333333333333298</v>
      </c>
      <c r="I182" s="109">
        <f t="shared" si="4"/>
        <v>0</v>
      </c>
      <c r="J182" s="109">
        <v>0.9</v>
      </c>
      <c r="K182" s="112" t="s">
        <v>1327</v>
      </c>
      <c r="L182" s="112"/>
    </row>
    <row r="183" spans="1:12" ht="14.4" customHeight="1">
      <c r="A183" s="253"/>
      <c r="B183" s="244"/>
      <c r="C183" s="244"/>
      <c r="D183" s="78" t="s">
        <v>1194</v>
      </c>
      <c r="E183" s="159"/>
      <c r="F183" s="106" t="s">
        <v>1252</v>
      </c>
      <c r="G183" s="107"/>
      <c r="H183" s="108">
        <v>0.33333333333333298</v>
      </c>
      <c r="I183" s="109">
        <f t="shared" si="4"/>
        <v>1</v>
      </c>
      <c r="J183" s="109">
        <v>0.9</v>
      </c>
      <c r="K183" s="82"/>
      <c r="L183" s="82"/>
    </row>
    <row r="184" spans="1:12" ht="14.4" customHeight="1">
      <c r="A184" s="253"/>
      <c r="B184" s="244"/>
      <c r="C184" s="245"/>
      <c r="D184" s="78" t="s">
        <v>1194</v>
      </c>
      <c r="E184" s="113"/>
      <c r="F184" s="114" t="s">
        <v>1253</v>
      </c>
      <c r="G184" s="107">
        <v>0.1111111111111111</v>
      </c>
      <c r="H184" s="108">
        <v>0.33333333333333298</v>
      </c>
      <c r="I184" s="109">
        <f t="shared" si="4"/>
        <v>0.6666666666666663</v>
      </c>
      <c r="J184" s="109">
        <v>0.9</v>
      </c>
      <c r="K184" s="82"/>
      <c r="L184" s="82"/>
    </row>
    <row r="185" spans="1:12" ht="14.4" customHeight="1">
      <c r="A185" s="253"/>
      <c r="B185" s="244"/>
      <c r="C185" s="248" t="s">
        <v>1196</v>
      </c>
      <c r="D185" s="132"/>
      <c r="E185" s="158"/>
      <c r="F185" s="125" t="s">
        <v>1251</v>
      </c>
      <c r="G185" s="126">
        <v>0.33333333333333331</v>
      </c>
      <c r="H185" s="127">
        <v>0.33333333333333298</v>
      </c>
      <c r="I185" s="109">
        <f t="shared" si="4"/>
        <v>0</v>
      </c>
      <c r="J185" s="134">
        <v>0.9</v>
      </c>
      <c r="K185" s="135" t="s">
        <v>1327</v>
      </c>
      <c r="L185" s="137"/>
    </row>
    <row r="186" spans="1:12" ht="14.4" customHeight="1">
      <c r="A186" s="253"/>
      <c r="B186" s="244"/>
      <c r="C186" s="249"/>
      <c r="D186" s="132"/>
      <c r="E186" s="158"/>
      <c r="F186" s="129" t="s">
        <v>1252</v>
      </c>
      <c r="G186" s="126"/>
      <c r="H186" s="127">
        <v>0.33333333333333298</v>
      </c>
      <c r="I186" s="109">
        <f t="shared" si="4"/>
        <v>1</v>
      </c>
      <c r="J186" s="134">
        <v>0.9</v>
      </c>
      <c r="K186" s="135"/>
      <c r="L186" s="136"/>
    </row>
    <row r="187" spans="1:12" ht="14.4" customHeight="1">
      <c r="A187" s="253"/>
      <c r="B187" s="244"/>
      <c r="C187" s="250"/>
      <c r="D187" s="132"/>
      <c r="E187" s="133"/>
      <c r="F187" s="128" t="s">
        <v>1253</v>
      </c>
      <c r="G187" s="126">
        <v>0.33333333333333331</v>
      </c>
      <c r="H187" s="127">
        <v>0.33333333333333298</v>
      </c>
      <c r="I187" s="109">
        <f t="shared" si="4"/>
        <v>0</v>
      </c>
      <c r="J187" s="134">
        <v>0.9</v>
      </c>
      <c r="K187" s="133" t="s">
        <v>1328</v>
      </c>
      <c r="L187" s="136"/>
    </row>
    <row r="188" spans="1:12" ht="14.4" customHeight="1">
      <c r="A188" s="253"/>
      <c r="B188" s="244"/>
      <c r="C188" s="243" t="s">
        <v>1197</v>
      </c>
      <c r="D188" s="78" t="s">
        <v>1191</v>
      </c>
      <c r="E188" s="159"/>
      <c r="F188" s="111" t="s">
        <v>1251</v>
      </c>
      <c r="G188" s="107">
        <v>6.458333333333334E-2</v>
      </c>
      <c r="H188" s="108">
        <v>0.33333333333333298</v>
      </c>
      <c r="I188" s="109">
        <f t="shared" si="4"/>
        <v>0.8062499999999998</v>
      </c>
      <c r="J188" s="109">
        <v>0.9</v>
      </c>
      <c r="K188" s="82" t="s">
        <v>1297</v>
      </c>
      <c r="L188" s="112"/>
    </row>
    <row r="189" spans="1:12" ht="14.4" customHeight="1">
      <c r="A189" s="253"/>
      <c r="B189" s="244"/>
      <c r="C189" s="244"/>
      <c r="D189" s="78" t="s">
        <v>1191</v>
      </c>
      <c r="E189" s="159"/>
      <c r="F189" s="106" t="s">
        <v>1252</v>
      </c>
      <c r="G189" s="107">
        <v>9.7222222222222224E-2</v>
      </c>
      <c r="H189" s="108">
        <v>0.33333333333333298</v>
      </c>
      <c r="I189" s="109">
        <f t="shared" si="4"/>
        <v>0.70833333333333304</v>
      </c>
      <c r="J189" s="109">
        <v>0.9</v>
      </c>
      <c r="K189" s="82" t="s">
        <v>1326</v>
      </c>
      <c r="L189" s="82"/>
    </row>
    <row r="190" spans="1:12" ht="15" customHeight="1" thickBot="1">
      <c r="A190" s="253"/>
      <c r="B190" s="245"/>
      <c r="C190" s="245"/>
      <c r="D190" s="78" t="s">
        <v>1191</v>
      </c>
      <c r="E190" s="113"/>
      <c r="F190" s="114" t="s">
        <v>1253</v>
      </c>
      <c r="G190" s="107">
        <v>0.33333333333333331</v>
      </c>
      <c r="H190" s="108">
        <v>0.33333333333333298</v>
      </c>
      <c r="I190" s="109">
        <f t="shared" si="4"/>
        <v>0</v>
      </c>
      <c r="J190" s="109">
        <v>0.9</v>
      </c>
      <c r="K190" s="82" t="s">
        <v>1328</v>
      </c>
      <c r="L190" s="82"/>
    </row>
    <row r="191" spans="1:12" ht="14.4" customHeight="1">
      <c r="A191" s="253"/>
      <c r="B191" s="251">
        <v>45736</v>
      </c>
      <c r="C191" s="248" t="s">
        <v>1198</v>
      </c>
      <c r="D191" s="132" t="s">
        <v>1192</v>
      </c>
      <c r="E191" s="158"/>
      <c r="F191" s="125" t="s">
        <v>1251</v>
      </c>
      <c r="G191" s="126"/>
      <c r="H191" s="127">
        <v>0.33333333333333298</v>
      </c>
      <c r="I191" s="109">
        <f t="shared" si="4"/>
        <v>1</v>
      </c>
      <c r="J191" s="134">
        <v>0.9</v>
      </c>
      <c r="K191" s="135"/>
      <c r="L191" s="137"/>
    </row>
    <row r="192" spans="1:12" ht="14.4" customHeight="1">
      <c r="A192" s="253"/>
      <c r="B192" s="244"/>
      <c r="C192" s="249"/>
      <c r="D192" s="132" t="s">
        <v>1192</v>
      </c>
      <c r="E192" s="158"/>
      <c r="F192" s="129" t="s">
        <v>1252</v>
      </c>
      <c r="G192" s="126"/>
      <c r="H192" s="127">
        <v>0.33333333333333298</v>
      </c>
      <c r="I192" s="109">
        <f t="shared" si="4"/>
        <v>1</v>
      </c>
      <c r="J192" s="134">
        <v>0.9</v>
      </c>
      <c r="K192" s="135"/>
      <c r="L192" s="136"/>
    </row>
    <row r="193" spans="1:12" ht="14.4" customHeight="1">
      <c r="A193" s="253"/>
      <c r="B193" s="244"/>
      <c r="C193" s="250"/>
      <c r="D193" s="132" t="s">
        <v>1192</v>
      </c>
      <c r="E193" s="133"/>
      <c r="F193" s="128" t="s">
        <v>1253</v>
      </c>
      <c r="G193" s="126"/>
      <c r="H193" s="127">
        <v>0.33333333333333298</v>
      </c>
      <c r="I193" s="109">
        <f t="shared" si="4"/>
        <v>1</v>
      </c>
      <c r="J193" s="134">
        <v>0.9</v>
      </c>
      <c r="K193" s="133"/>
      <c r="L193" s="136"/>
    </row>
    <row r="194" spans="1:12" ht="14.4" customHeight="1">
      <c r="A194" s="253"/>
      <c r="B194" s="244"/>
      <c r="C194" s="243" t="s">
        <v>1196</v>
      </c>
      <c r="D194" s="78" t="s">
        <v>1194</v>
      </c>
      <c r="E194" s="159"/>
      <c r="F194" s="111" t="s">
        <v>1251</v>
      </c>
      <c r="G194" s="107">
        <v>0.33333333333333331</v>
      </c>
      <c r="H194" s="108">
        <v>0.33333333333333298</v>
      </c>
      <c r="I194" s="109">
        <f t="shared" si="4"/>
        <v>0</v>
      </c>
      <c r="J194" s="109">
        <v>0.9</v>
      </c>
      <c r="K194" s="82" t="s">
        <v>1323</v>
      </c>
      <c r="L194" s="112"/>
    </row>
    <row r="195" spans="1:12" ht="14.4" customHeight="1">
      <c r="A195" s="253"/>
      <c r="B195" s="244"/>
      <c r="C195" s="244"/>
      <c r="D195" s="78" t="s">
        <v>1194</v>
      </c>
      <c r="E195" s="159"/>
      <c r="F195" s="106" t="s">
        <v>1252</v>
      </c>
      <c r="G195" s="107"/>
      <c r="H195" s="108">
        <v>0.33333333333333298</v>
      </c>
      <c r="I195" s="109">
        <f t="shared" si="4"/>
        <v>1</v>
      </c>
      <c r="J195" s="109">
        <v>0.9</v>
      </c>
      <c r="K195" s="82"/>
      <c r="L195" s="82"/>
    </row>
    <row r="196" spans="1:12" ht="14.4" customHeight="1">
      <c r="A196" s="253"/>
      <c r="B196" s="244"/>
      <c r="C196" s="245"/>
      <c r="D196" s="78" t="s">
        <v>1194</v>
      </c>
      <c r="E196" s="113"/>
      <c r="F196" s="114" t="s">
        <v>1253</v>
      </c>
      <c r="G196" s="107">
        <v>0.33333333333333331</v>
      </c>
      <c r="H196" s="108">
        <v>0.33333333333333298</v>
      </c>
      <c r="I196" s="109">
        <f t="shared" si="4"/>
        <v>0</v>
      </c>
      <c r="J196" s="109">
        <v>0.9</v>
      </c>
      <c r="K196" s="82" t="s">
        <v>1329</v>
      </c>
      <c r="L196" s="82"/>
    </row>
    <row r="197" spans="1:12" ht="14.4" customHeight="1">
      <c r="A197" s="253"/>
      <c r="B197" s="244"/>
      <c r="C197" s="248" t="s">
        <v>1197</v>
      </c>
      <c r="D197" s="132"/>
      <c r="E197" s="158"/>
      <c r="F197" s="125" t="s">
        <v>1251</v>
      </c>
      <c r="G197" s="126">
        <v>0.33333333333333331</v>
      </c>
      <c r="H197" s="127">
        <v>0.33333333333333298</v>
      </c>
      <c r="I197" s="109">
        <f t="shared" si="4"/>
        <v>0</v>
      </c>
      <c r="J197" s="134">
        <v>0.9</v>
      </c>
      <c r="K197" s="133"/>
      <c r="L197" s="137"/>
    </row>
    <row r="198" spans="1:12" ht="14.4" customHeight="1">
      <c r="A198" s="253"/>
      <c r="B198" s="244"/>
      <c r="C198" s="249"/>
      <c r="D198" s="132"/>
      <c r="E198" s="158"/>
      <c r="F198" s="129" t="s">
        <v>1252</v>
      </c>
      <c r="G198" s="126"/>
      <c r="H198" s="127">
        <v>0.33333333333333298</v>
      </c>
      <c r="I198" s="109">
        <f t="shared" si="4"/>
        <v>1</v>
      </c>
      <c r="J198" s="134">
        <v>0.9</v>
      </c>
      <c r="K198" s="135"/>
      <c r="L198" s="136"/>
    </row>
    <row r="199" spans="1:12" ht="15" customHeight="1" thickBot="1">
      <c r="A199" s="253"/>
      <c r="B199" s="245"/>
      <c r="C199" s="250"/>
      <c r="D199" s="132"/>
      <c r="E199" s="133"/>
      <c r="F199" s="128" t="s">
        <v>1253</v>
      </c>
      <c r="G199" s="126">
        <v>0.33333333333333331</v>
      </c>
      <c r="H199" s="127">
        <v>0.33333333333333298</v>
      </c>
      <c r="I199" s="109">
        <f t="shared" si="4"/>
        <v>0</v>
      </c>
      <c r="J199" s="134">
        <v>0.9</v>
      </c>
      <c r="K199" s="133"/>
      <c r="L199" s="136"/>
    </row>
    <row r="200" spans="1:12" ht="14.4" customHeight="1">
      <c r="A200" s="253"/>
      <c r="B200" s="251">
        <v>45737</v>
      </c>
      <c r="C200" s="243" t="s">
        <v>1198</v>
      </c>
      <c r="D200" s="78" t="s">
        <v>1192</v>
      </c>
      <c r="E200" s="159"/>
      <c r="F200" s="111" t="s">
        <v>1251</v>
      </c>
      <c r="G200" s="107">
        <v>0.33333333333333331</v>
      </c>
      <c r="H200" s="108">
        <v>0.33333333333333298</v>
      </c>
      <c r="I200" s="109">
        <f t="shared" si="4"/>
        <v>0</v>
      </c>
      <c r="J200" s="109">
        <v>0.9</v>
      </c>
      <c r="K200" s="82" t="s">
        <v>1323</v>
      </c>
      <c r="L200" s="112"/>
    </row>
    <row r="201" spans="1:12" ht="14.4" customHeight="1">
      <c r="A201" s="253"/>
      <c r="B201" s="244"/>
      <c r="C201" s="244"/>
      <c r="D201" s="78" t="s">
        <v>1192</v>
      </c>
      <c r="E201" s="159"/>
      <c r="F201" s="106" t="s">
        <v>1252</v>
      </c>
      <c r="G201" s="107"/>
      <c r="H201" s="108">
        <v>0.33333333333333298</v>
      </c>
      <c r="I201" s="109">
        <f t="shared" si="4"/>
        <v>1</v>
      </c>
      <c r="J201" s="109">
        <v>0.9</v>
      </c>
      <c r="K201" s="82"/>
      <c r="L201" s="82"/>
    </row>
    <row r="202" spans="1:12" ht="14.4" customHeight="1">
      <c r="A202" s="253"/>
      <c r="B202" s="244"/>
      <c r="C202" s="245"/>
      <c r="D202" s="78" t="s">
        <v>1192</v>
      </c>
      <c r="E202" s="113"/>
      <c r="F202" s="114" t="s">
        <v>1253</v>
      </c>
      <c r="G202" s="107">
        <v>0.33333333333333331</v>
      </c>
      <c r="H202" s="108">
        <v>0.33333333333333298</v>
      </c>
      <c r="I202" s="109">
        <f t="shared" si="4"/>
        <v>0</v>
      </c>
      <c r="J202" s="109">
        <v>0.9</v>
      </c>
      <c r="K202" s="82"/>
      <c r="L202" s="82"/>
    </row>
    <row r="203" spans="1:12" ht="14.4" customHeight="1">
      <c r="A203" s="253"/>
      <c r="B203" s="244"/>
      <c r="C203" s="248" t="s">
        <v>1196</v>
      </c>
      <c r="D203" s="132" t="s">
        <v>1194</v>
      </c>
      <c r="E203" s="158"/>
      <c r="F203" s="125" t="s">
        <v>1251</v>
      </c>
      <c r="G203" s="126">
        <v>0.33333333333333331</v>
      </c>
      <c r="H203" s="127">
        <v>0.33333333333333298</v>
      </c>
      <c r="I203" s="109">
        <f t="shared" si="4"/>
        <v>0</v>
      </c>
      <c r="J203" s="134">
        <v>0.9</v>
      </c>
      <c r="K203" s="135" t="s">
        <v>1323</v>
      </c>
      <c r="L203" s="137"/>
    </row>
    <row r="204" spans="1:12" ht="14.4" customHeight="1">
      <c r="A204" s="253"/>
      <c r="B204" s="244"/>
      <c r="C204" s="249"/>
      <c r="D204" s="132" t="s">
        <v>1194</v>
      </c>
      <c r="E204" s="158"/>
      <c r="F204" s="129" t="s">
        <v>1252</v>
      </c>
      <c r="G204" s="126"/>
      <c r="H204" s="127">
        <v>0.33333333333333298</v>
      </c>
      <c r="I204" s="109">
        <f t="shared" si="4"/>
        <v>1</v>
      </c>
      <c r="J204" s="134">
        <v>0.9</v>
      </c>
      <c r="K204" s="135"/>
      <c r="L204" s="136"/>
    </row>
    <row r="205" spans="1:12" ht="14.4" customHeight="1">
      <c r="A205" s="253"/>
      <c r="B205" s="244"/>
      <c r="C205" s="250"/>
      <c r="D205" s="132" t="s">
        <v>1194</v>
      </c>
      <c r="E205" s="133"/>
      <c r="F205" s="128" t="s">
        <v>1253</v>
      </c>
      <c r="G205" s="126">
        <v>4.1666666666666664E-2</v>
      </c>
      <c r="H205" s="127">
        <v>0.33333333333333298</v>
      </c>
      <c r="I205" s="109">
        <f t="shared" si="4"/>
        <v>0.87499999999999989</v>
      </c>
      <c r="J205" s="134">
        <v>0.9</v>
      </c>
      <c r="K205" s="133"/>
      <c r="L205" s="136"/>
    </row>
    <row r="206" spans="1:12" ht="14.4" customHeight="1">
      <c r="A206" s="253"/>
      <c r="B206" s="244"/>
      <c r="C206" s="243" t="s">
        <v>1197</v>
      </c>
      <c r="D206" s="78"/>
      <c r="E206" s="159"/>
      <c r="F206" s="111" t="s">
        <v>1251</v>
      </c>
      <c r="G206" s="107">
        <v>0.33333333333333331</v>
      </c>
      <c r="H206" s="108">
        <v>0.33333333333333298</v>
      </c>
      <c r="I206" s="109">
        <f t="shared" si="4"/>
        <v>0</v>
      </c>
      <c r="J206" s="109">
        <v>0.9</v>
      </c>
      <c r="K206" s="82" t="s">
        <v>1323</v>
      </c>
      <c r="L206" s="82"/>
    </row>
    <row r="207" spans="1:12" ht="14.4" customHeight="1">
      <c r="A207" s="253"/>
      <c r="B207" s="244"/>
      <c r="C207" s="244"/>
      <c r="D207" s="78"/>
      <c r="E207" s="159"/>
      <c r="F207" s="106" t="s">
        <v>1252</v>
      </c>
      <c r="G207" s="107"/>
      <c r="H207" s="108">
        <v>0.33333333333333298</v>
      </c>
      <c r="I207" s="109">
        <f t="shared" si="4"/>
        <v>1</v>
      </c>
      <c r="J207" s="109">
        <v>0.9</v>
      </c>
      <c r="K207" s="82"/>
      <c r="L207" s="82"/>
    </row>
    <row r="208" spans="1:12" ht="14.4" customHeight="1" thickBot="1">
      <c r="A208" s="253"/>
      <c r="B208" s="245"/>
      <c r="C208" s="245"/>
      <c r="D208" s="78"/>
      <c r="E208" s="113"/>
      <c r="F208" s="114" t="s">
        <v>1253</v>
      </c>
      <c r="G208" s="107"/>
      <c r="H208" s="123">
        <v>0.33333333333333298</v>
      </c>
      <c r="I208" s="109">
        <f t="shared" si="4"/>
        <v>1</v>
      </c>
      <c r="J208" s="109">
        <v>0.9</v>
      </c>
      <c r="K208" s="82"/>
      <c r="L208" s="82"/>
    </row>
    <row r="209" spans="1:12" ht="14.4" customHeight="1">
      <c r="A209" s="253"/>
      <c r="B209" s="251">
        <v>45738</v>
      </c>
      <c r="C209" s="243" t="s">
        <v>1198</v>
      </c>
      <c r="D209" s="78" t="s">
        <v>1191</v>
      </c>
      <c r="E209" s="159"/>
      <c r="F209" s="111" t="s">
        <v>1251</v>
      </c>
      <c r="G209" s="107">
        <v>0.33333333333333331</v>
      </c>
      <c r="H209" s="108">
        <v>0.33333333333333298</v>
      </c>
      <c r="I209" s="109">
        <f t="shared" si="4"/>
        <v>0</v>
      </c>
      <c r="J209" s="109">
        <v>0.9</v>
      </c>
      <c r="K209" s="82" t="s">
        <v>1323</v>
      </c>
      <c r="L209" s="112"/>
    </row>
    <row r="210" spans="1:12" ht="14.4" customHeight="1">
      <c r="A210" s="253"/>
      <c r="B210" s="244"/>
      <c r="C210" s="244"/>
      <c r="D210" s="78" t="s">
        <v>1191</v>
      </c>
      <c r="E210" s="159"/>
      <c r="F210" s="106" t="s">
        <v>1252</v>
      </c>
      <c r="G210" s="107"/>
      <c r="H210" s="108">
        <v>0.33333333333333298</v>
      </c>
      <c r="I210" s="109">
        <f t="shared" si="4"/>
        <v>1</v>
      </c>
      <c r="J210" s="109">
        <v>0.9</v>
      </c>
      <c r="K210" s="82"/>
      <c r="L210" s="82"/>
    </row>
    <row r="211" spans="1:12" ht="14.4" customHeight="1">
      <c r="A211" s="253"/>
      <c r="B211" s="244"/>
      <c r="C211" s="245"/>
      <c r="D211" s="78" t="s">
        <v>1191</v>
      </c>
      <c r="E211" s="113"/>
      <c r="F211" s="114" t="s">
        <v>1253</v>
      </c>
      <c r="G211" s="107">
        <v>0.16666666666666666</v>
      </c>
      <c r="H211" s="108">
        <v>0.33333333333333298</v>
      </c>
      <c r="I211" s="109">
        <f t="shared" si="4"/>
        <v>0.49999999999999944</v>
      </c>
      <c r="J211" s="109">
        <v>0.9</v>
      </c>
      <c r="K211" s="82" t="s">
        <v>1329</v>
      </c>
      <c r="L211" s="82"/>
    </row>
    <row r="212" spans="1:12" ht="14.4" customHeight="1">
      <c r="A212" s="253"/>
      <c r="B212" s="244"/>
      <c r="C212" s="248" t="s">
        <v>1196</v>
      </c>
      <c r="D212" s="132" t="s">
        <v>1192</v>
      </c>
      <c r="E212" s="158"/>
      <c r="F212" s="125" t="s">
        <v>1251</v>
      </c>
      <c r="G212" s="126">
        <v>0.33333333333333331</v>
      </c>
      <c r="H212" s="127">
        <v>0.33333333333333298</v>
      </c>
      <c r="I212" s="109">
        <f t="shared" si="4"/>
        <v>0</v>
      </c>
      <c r="J212" s="134">
        <v>0.9</v>
      </c>
      <c r="K212" s="135"/>
      <c r="L212" s="137"/>
    </row>
    <row r="213" spans="1:12" ht="14.4" customHeight="1">
      <c r="A213" s="253"/>
      <c r="B213" s="244"/>
      <c r="C213" s="249"/>
      <c r="D213" s="132" t="s">
        <v>1192</v>
      </c>
      <c r="E213" s="158"/>
      <c r="F213" s="129" t="s">
        <v>1252</v>
      </c>
      <c r="G213" s="126">
        <v>0.375</v>
      </c>
      <c r="H213" s="127">
        <v>0.33333333333333298</v>
      </c>
      <c r="I213" s="109">
        <f t="shared" si="4"/>
        <v>-0.12500000000000111</v>
      </c>
      <c r="J213" s="134">
        <v>0.9</v>
      </c>
      <c r="K213" s="135"/>
      <c r="L213" s="136"/>
    </row>
    <row r="214" spans="1:12" ht="14.4" customHeight="1">
      <c r="A214" s="253"/>
      <c r="B214" s="244"/>
      <c r="C214" s="250"/>
      <c r="D214" s="132" t="s">
        <v>1192</v>
      </c>
      <c r="E214" s="133"/>
      <c r="F214" s="128" t="s">
        <v>1253</v>
      </c>
      <c r="G214" s="126">
        <v>0.41666666666666702</v>
      </c>
      <c r="H214" s="127">
        <v>0.33333333333333298</v>
      </c>
      <c r="I214" s="109">
        <f t="shared" si="4"/>
        <v>-0.25000000000000244</v>
      </c>
      <c r="J214" s="134">
        <v>0.9</v>
      </c>
      <c r="K214" s="133"/>
      <c r="L214" s="136"/>
    </row>
    <row r="215" spans="1:12" ht="14.4" customHeight="1">
      <c r="A215" s="253"/>
      <c r="B215" s="244"/>
      <c r="C215" s="243" t="s">
        <v>1197</v>
      </c>
      <c r="D215" s="78" t="s">
        <v>1194</v>
      </c>
      <c r="E215" s="159"/>
      <c r="F215" s="111" t="s">
        <v>1251</v>
      </c>
      <c r="G215" s="107">
        <v>0.33333333333333331</v>
      </c>
      <c r="H215" s="108">
        <v>0.33333333333333298</v>
      </c>
      <c r="I215" s="109">
        <f t="shared" si="4"/>
        <v>0</v>
      </c>
      <c r="J215" s="109">
        <v>0.9</v>
      </c>
      <c r="K215" s="82" t="s">
        <v>1330</v>
      </c>
      <c r="L215" s="82"/>
    </row>
    <row r="216" spans="1:12" ht="14.4" customHeight="1">
      <c r="A216" s="253"/>
      <c r="B216" s="244"/>
      <c r="C216" s="244"/>
      <c r="D216" s="78" t="s">
        <v>1194</v>
      </c>
      <c r="E216" s="159"/>
      <c r="F216" s="106" t="s">
        <v>1252</v>
      </c>
      <c r="G216" s="107">
        <v>0.33333333333333331</v>
      </c>
      <c r="H216" s="108">
        <v>0.33333333333333298</v>
      </c>
      <c r="I216" s="109">
        <f t="shared" si="4"/>
        <v>0</v>
      </c>
      <c r="J216" s="109">
        <v>0.9</v>
      </c>
      <c r="K216" s="82" t="s">
        <v>1330</v>
      </c>
      <c r="L216" s="82"/>
    </row>
    <row r="217" spans="1:12" ht="14.4" customHeight="1" thickBot="1">
      <c r="A217" s="253"/>
      <c r="B217" s="245"/>
      <c r="C217" s="245"/>
      <c r="D217" s="78" t="s">
        <v>1194</v>
      </c>
      <c r="E217" s="113"/>
      <c r="F217" s="114" t="s">
        <v>1253</v>
      </c>
      <c r="G217" s="107">
        <v>0.33333333333333331</v>
      </c>
      <c r="H217" s="123">
        <v>0.33333333333333298</v>
      </c>
      <c r="I217" s="109">
        <f t="shared" si="4"/>
        <v>0</v>
      </c>
      <c r="J217" s="109">
        <v>0.9</v>
      </c>
      <c r="K217" s="82" t="s">
        <v>1330</v>
      </c>
      <c r="L217" s="82"/>
    </row>
    <row r="218" spans="1:12" ht="14.4" customHeight="1">
      <c r="A218" s="253"/>
      <c r="B218" s="251">
        <v>45739</v>
      </c>
      <c r="C218" s="243" t="s">
        <v>1198</v>
      </c>
      <c r="D218" s="78" t="s">
        <v>1191</v>
      </c>
      <c r="E218" s="159"/>
      <c r="F218" s="111" t="s">
        <v>1251</v>
      </c>
      <c r="G218" s="107">
        <v>0.33333333333333331</v>
      </c>
      <c r="H218" s="108">
        <v>0.33333333333333298</v>
      </c>
      <c r="I218" s="109">
        <f t="shared" si="4"/>
        <v>0</v>
      </c>
      <c r="J218" s="109">
        <v>0.9</v>
      </c>
      <c r="K218" s="82" t="s">
        <v>1330</v>
      </c>
      <c r="L218" s="112"/>
    </row>
    <row r="219" spans="1:12" ht="14.4" customHeight="1">
      <c r="A219" s="253"/>
      <c r="B219" s="244"/>
      <c r="C219" s="244"/>
      <c r="D219" s="78" t="s">
        <v>1191</v>
      </c>
      <c r="E219" s="159"/>
      <c r="F219" s="106" t="s">
        <v>1252</v>
      </c>
      <c r="G219" s="107">
        <v>0.33333333333333331</v>
      </c>
      <c r="H219" s="108">
        <v>0.33333333333333298</v>
      </c>
      <c r="I219" s="109">
        <f t="shared" si="4"/>
        <v>0</v>
      </c>
      <c r="J219" s="109">
        <v>0.9</v>
      </c>
      <c r="K219" s="82" t="s">
        <v>1330</v>
      </c>
      <c r="L219" s="82"/>
    </row>
    <row r="220" spans="1:12" ht="14.4" customHeight="1">
      <c r="A220" s="253"/>
      <c r="B220" s="244"/>
      <c r="C220" s="245"/>
      <c r="D220" s="78" t="s">
        <v>1191</v>
      </c>
      <c r="E220" s="113"/>
      <c r="F220" s="114" t="s">
        <v>1253</v>
      </c>
      <c r="G220" s="107">
        <v>0.33333333333333331</v>
      </c>
      <c r="H220" s="108">
        <v>0.33333333333333298</v>
      </c>
      <c r="I220" s="109">
        <f t="shared" si="4"/>
        <v>0</v>
      </c>
      <c r="J220" s="109">
        <v>0.9</v>
      </c>
      <c r="K220" s="82" t="s">
        <v>1330</v>
      </c>
      <c r="L220" s="82"/>
    </row>
    <row r="221" spans="1:12" ht="14.4" customHeight="1">
      <c r="A221" s="253"/>
      <c r="B221" s="244"/>
      <c r="C221" s="248" t="s">
        <v>1196</v>
      </c>
      <c r="D221" s="132" t="s">
        <v>1192</v>
      </c>
      <c r="E221" s="158"/>
      <c r="F221" s="125" t="s">
        <v>1251</v>
      </c>
      <c r="G221" s="126">
        <v>0.33333333333333331</v>
      </c>
      <c r="H221" s="127">
        <v>0.33333333333333298</v>
      </c>
      <c r="I221" s="109">
        <f t="shared" si="4"/>
        <v>0</v>
      </c>
      <c r="J221" s="134">
        <v>0.9</v>
      </c>
      <c r="K221" s="135" t="s">
        <v>1331</v>
      </c>
      <c r="L221" s="137"/>
    </row>
    <row r="222" spans="1:12" ht="14.4" customHeight="1">
      <c r="A222" s="253"/>
      <c r="B222" s="244"/>
      <c r="C222" s="249"/>
      <c r="D222" s="132" t="s">
        <v>1192</v>
      </c>
      <c r="E222" s="158"/>
      <c r="F222" s="129" t="s">
        <v>1252</v>
      </c>
      <c r="G222" s="126">
        <v>0.33333333333333331</v>
      </c>
      <c r="H222" s="127">
        <v>0.33333333333333298</v>
      </c>
      <c r="I222" s="109">
        <f t="shared" si="4"/>
        <v>0</v>
      </c>
      <c r="J222" s="134">
        <v>0.9</v>
      </c>
      <c r="K222" s="135" t="s">
        <v>1331</v>
      </c>
      <c r="L222" s="136"/>
    </row>
    <row r="223" spans="1:12" ht="14.4" customHeight="1">
      <c r="A223" s="253"/>
      <c r="B223" s="244"/>
      <c r="C223" s="250"/>
      <c r="D223" s="132" t="s">
        <v>1192</v>
      </c>
      <c r="E223" s="133"/>
      <c r="F223" s="128" t="s">
        <v>1253</v>
      </c>
      <c r="G223" s="126">
        <v>0.33333333333333331</v>
      </c>
      <c r="H223" s="127">
        <v>0.33333333333333298</v>
      </c>
      <c r="I223" s="109">
        <f t="shared" si="4"/>
        <v>0</v>
      </c>
      <c r="J223" s="134">
        <v>0.9</v>
      </c>
      <c r="K223" s="135" t="s">
        <v>1331</v>
      </c>
      <c r="L223" s="136"/>
    </row>
    <row r="224" spans="1:12" ht="14.4" customHeight="1">
      <c r="A224" s="253"/>
      <c r="B224" s="244"/>
      <c r="C224" s="243" t="s">
        <v>1197</v>
      </c>
      <c r="D224" s="78" t="s">
        <v>1194</v>
      </c>
      <c r="E224" s="159"/>
      <c r="F224" s="111" t="s">
        <v>1251</v>
      </c>
      <c r="G224" s="107">
        <v>0.33333333333333331</v>
      </c>
      <c r="H224" s="108">
        <v>0.33333333333333298</v>
      </c>
      <c r="I224" s="109">
        <f t="shared" si="4"/>
        <v>0</v>
      </c>
      <c r="J224" s="109">
        <v>0.9</v>
      </c>
      <c r="K224" s="82" t="s">
        <v>1331</v>
      </c>
      <c r="L224" s="82"/>
    </row>
    <row r="225" spans="1:12" ht="14.4" customHeight="1">
      <c r="A225" s="253"/>
      <c r="B225" s="244"/>
      <c r="C225" s="244"/>
      <c r="D225" s="78" t="s">
        <v>1194</v>
      </c>
      <c r="E225" s="159"/>
      <c r="F225" s="106" t="s">
        <v>1252</v>
      </c>
      <c r="G225" s="107">
        <v>0.33333333333333331</v>
      </c>
      <c r="H225" s="108">
        <v>0.33333333333333298</v>
      </c>
      <c r="I225" s="109">
        <f t="shared" si="4"/>
        <v>0</v>
      </c>
      <c r="J225" s="109">
        <v>0.9</v>
      </c>
      <c r="K225" s="82" t="s">
        <v>1331</v>
      </c>
      <c r="L225" s="82"/>
    </row>
    <row r="226" spans="1:12" ht="14.4" customHeight="1">
      <c r="A226" s="253"/>
      <c r="B226" s="245"/>
      <c r="C226" s="245"/>
      <c r="D226" s="78" t="s">
        <v>1194</v>
      </c>
      <c r="E226" s="113"/>
      <c r="F226" s="114" t="s">
        <v>1253</v>
      </c>
      <c r="G226" s="107">
        <v>0.33333333333333331</v>
      </c>
      <c r="H226" s="123">
        <v>0.33333333333333298</v>
      </c>
      <c r="I226" s="109">
        <f t="shared" si="4"/>
        <v>0</v>
      </c>
      <c r="J226" s="109">
        <v>0.9</v>
      </c>
      <c r="K226" s="82" t="s">
        <v>1331</v>
      </c>
      <c r="L226" s="82"/>
    </row>
    <row r="227" spans="1:12" ht="14.4" customHeight="1">
      <c r="A227" s="253"/>
      <c r="B227" s="117"/>
      <c r="C227" s="117"/>
      <c r="D227" s="118"/>
      <c r="E227" s="118"/>
      <c r="F227" s="119" t="s">
        <v>1251</v>
      </c>
      <c r="G227" s="124"/>
      <c r="H227" s="124"/>
      <c r="I227" s="120">
        <f>AVERAGEIF(F164:F226,F227,I164:I226)</f>
        <v>0.3479166666666666</v>
      </c>
      <c r="J227" s="121">
        <v>0.9</v>
      </c>
      <c r="K227" s="118"/>
      <c r="L227" s="116"/>
    </row>
    <row r="228" spans="1:12" ht="14.4" customHeight="1">
      <c r="A228" s="253"/>
      <c r="B228" s="117"/>
      <c r="C228" s="117"/>
      <c r="D228" s="118"/>
      <c r="E228" s="118"/>
      <c r="F228" s="119" t="s">
        <v>1252</v>
      </c>
      <c r="G228" s="124"/>
      <c r="H228" s="124"/>
      <c r="I228" s="120">
        <f>AVERAGEIF(F164:F226,F228,I164:I226)</f>
        <v>0.69444444444444431</v>
      </c>
      <c r="J228" s="121">
        <v>0.9</v>
      </c>
      <c r="K228" s="118"/>
      <c r="L228" s="116"/>
    </row>
    <row r="229" spans="1:12" ht="14.4" customHeight="1" thickBot="1">
      <c r="A229" s="253"/>
      <c r="B229" s="117"/>
      <c r="C229" s="117"/>
      <c r="D229" s="118"/>
      <c r="E229" s="118"/>
      <c r="F229" s="119" t="s">
        <v>1253</v>
      </c>
      <c r="G229" s="124"/>
      <c r="H229" s="124"/>
      <c r="I229" s="120">
        <f>AVERAGEIF(F164:F226,F229,I164:I226)</f>
        <v>0.42757936507936489</v>
      </c>
      <c r="J229" s="121">
        <v>0.9</v>
      </c>
      <c r="K229" s="118"/>
      <c r="L229" s="116"/>
    </row>
    <row r="230" spans="1:12">
      <c r="A230" s="252" t="s">
        <v>1366</v>
      </c>
      <c r="B230" s="251">
        <v>45740</v>
      </c>
      <c r="C230" s="243" t="s">
        <v>1198</v>
      </c>
      <c r="D230" s="110" t="s">
        <v>1201</v>
      </c>
      <c r="E230" s="156"/>
      <c r="F230" s="111" t="s">
        <v>1251</v>
      </c>
      <c r="H230" s="108">
        <v>0.33333333333333331</v>
      </c>
      <c r="I230" s="109">
        <f>1-(G233/H230)</f>
        <v>0.37499999999999989</v>
      </c>
      <c r="J230" s="109">
        <v>0.9</v>
      </c>
      <c r="K230" s="82"/>
      <c r="L230" s="82"/>
    </row>
    <row r="231" spans="1:12">
      <c r="A231" s="253"/>
      <c r="B231" s="244"/>
      <c r="C231" s="244"/>
      <c r="D231" s="110" t="s">
        <v>1201</v>
      </c>
      <c r="E231" s="156"/>
      <c r="F231" s="111" t="s">
        <v>1252</v>
      </c>
      <c r="G231" s="107"/>
      <c r="H231" s="108">
        <v>0.33333333333333331</v>
      </c>
      <c r="I231" s="109">
        <f>1-(G231/H231)</f>
        <v>1</v>
      </c>
      <c r="J231" s="109">
        <v>0.9</v>
      </c>
      <c r="K231" s="82"/>
      <c r="L231" s="82"/>
    </row>
    <row r="232" spans="1:12">
      <c r="A232" s="253"/>
      <c r="B232" s="244"/>
      <c r="C232" s="245"/>
      <c r="D232" s="110" t="s">
        <v>1201</v>
      </c>
      <c r="E232" s="157"/>
      <c r="F232" s="114" t="s">
        <v>1253</v>
      </c>
      <c r="G232" s="107"/>
      <c r="H232" s="108">
        <v>0.33333333333333298</v>
      </c>
      <c r="I232" s="109">
        <f t="shared" ref="I232:I292" si="5">1-(G232/H232)</f>
        <v>1</v>
      </c>
      <c r="J232" s="109">
        <v>0.9</v>
      </c>
      <c r="K232" s="82"/>
      <c r="L232" s="82"/>
    </row>
    <row r="233" spans="1:12">
      <c r="A233" s="253"/>
      <c r="B233" s="244"/>
      <c r="C233" s="248" t="s">
        <v>1196</v>
      </c>
      <c r="D233" s="132" t="s">
        <v>1191</v>
      </c>
      <c r="E233" s="158"/>
      <c r="F233" s="125" t="s">
        <v>1251</v>
      </c>
      <c r="G233" s="126">
        <v>0.20833333333333334</v>
      </c>
      <c r="H233" s="127">
        <v>0.33333333333333331</v>
      </c>
      <c r="I233" s="109">
        <f t="shared" si="5"/>
        <v>0.37499999999999989</v>
      </c>
      <c r="J233" s="134">
        <v>0.9</v>
      </c>
      <c r="K233" s="135"/>
      <c r="L233" s="136"/>
    </row>
    <row r="234" spans="1:12">
      <c r="A234" s="253"/>
      <c r="B234" s="244"/>
      <c r="C234" s="249"/>
      <c r="D234" s="132" t="s">
        <v>1191</v>
      </c>
      <c r="E234" s="158"/>
      <c r="F234" s="125" t="s">
        <v>1252</v>
      </c>
      <c r="G234" s="126">
        <v>0.20833333333333334</v>
      </c>
      <c r="H234" s="127">
        <v>0.33333333333333298</v>
      </c>
      <c r="I234" s="109">
        <f t="shared" si="5"/>
        <v>0.37499999999999933</v>
      </c>
      <c r="J234" s="134">
        <v>0.9</v>
      </c>
      <c r="K234" s="135"/>
      <c r="L234" s="136"/>
    </row>
    <row r="235" spans="1:12">
      <c r="A235" s="253"/>
      <c r="B235" s="244"/>
      <c r="C235" s="250"/>
      <c r="D235" s="132" t="s">
        <v>1191</v>
      </c>
      <c r="E235" s="133"/>
      <c r="F235" s="128" t="s">
        <v>1253</v>
      </c>
      <c r="G235" s="126">
        <v>0.20833333333333334</v>
      </c>
      <c r="H235" s="127">
        <v>0.33333333333333298</v>
      </c>
      <c r="I235" s="109">
        <f t="shared" si="5"/>
        <v>0.37499999999999933</v>
      </c>
      <c r="J235" s="134">
        <v>0.9</v>
      </c>
      <c r="K235" s="133"/>
      <c r="L235" s="136"/>
    </row>
    <row r="236" spans="1:12">
      <c r="A236" s="253"/>
      <c r="B236" s="244"/>
      <c r="C236" s="243" t="s">
        <v>1197</v>
      </c>
      <c r="D236" s="78" t="s">
        <v>1192</v>
      </c>
      <c r="E236" s="159"/>
      <c r="F236" s="111" t="s">
        <v>1251</v>
      </c>
      <c r="G236" s="107"/>
      <c r="H236" s="108">
        <v>0.33333333333333298</v>
      </c>
      <c r="I236" s="109">
        <f t="shared" si="5"/>
        <v>1</v>
      </c>
      <c r="J236" s="109">
        <v>0.9</v>
      </c>
      <c r="K236" s="82"/>
      <c r="L236" s="112"/>
    </row>
    <row r="237" spans="1:12">
      <c r="A237" s="253"/>
      <c r="B237" s="244"/>
      <c r="C237" s="244"/>
      <c r="D237" s="78" t="s">
        <v>1192</v>
      </c>
      <c r="E237" s="159"/>
      <c r="F237" s="111" t="s">
        <v>1252</v>
      </c>
      <c r="G237" s="107"/>
      <c r="H237" s="108">
        <v>0.33333333333333298</v>
      </c>
      <c r="I237" s="109">
        <f t="shared" si="5"/>
        <v>1</v>
      </c>
      <c r="J237" s="109">
        <v>0.9</v>
      </c>
      <c r="K237" s="82"/>
      <c r="L237" s="82"/>
    </row>
    <row r="238" spans="1:12" ht="15" thickBot="1">
      <c r="A238" s="253"/>
      <c r="B238" s="245"/>
      <c r="C238" s="245"/>
      <c r="D238" s="78" t="s">
        <v>1192</v>
      </c>
      <c r="E238" s="113"/>
      <c r="F238" s="114" t="s">
        <v>1253</v>
      </c>
      <c r="G238" s="107"/>
      <c r="H238" s="108">
        <v>0.33333333333333298</v>
      </c>
      <c r="I238" s="109">
        <f t="shared" si="5"/>
        <v>1</v>
      </c>
      <c r="J238" s="109">
        <v>0.9</v>
      </c>
      <c r="K238" s="82"/>
      <c r="L238" s="82"/>
    </row>
    <row r="239" spans="1:12">
      <c r="A239" s="253"/>
      <c r="B239" s="251">
        <v>45741</v>
      </c>
      <c r="C239" s="248" t="s">
        <v>1198</v>
      </c>
      <c r="D239" s="132"/>
      <c r="E239" s="158"/>
      <c r="F239" s="125" t="s">
        <v>1251</v>
      </c>
      <c r="G239" s="126"/>
      <c r="H239" s="127">
        <v>0.33333333333333298</v>
      </c>
      <c r="I239" s="109">
        <f t="shared" si="5"/>
        <v>1</v>
      </c>
      <c r="J239" s="134">
        <v>0.9</v>
      </c>
      <c r="K239" s="135"/>
      <c r="L239" s="137"/>
    </row>
    <row r="240" spans="1:12">
      <c r="A240" s="253"/>
      <c r="B240" s="244"/>
      <c r="C240" s="249"/>
      <c r="D240" s="132"/>
      <c r="E240" s="158"/>
      <c r="F240" s="125" t="s">
        <v>1252</v>
      </c>
      <c r="G240" s="126"/>
      <c r="H240" s="127">
        <v>0.33333333333333298</v>
      </c>
      <c r="I240" s="109">
        <f t="shared" si="5"/>
        <v>1</v>
      </c>
      <c r="J240" s="134">
        <v>0.9</v>
      </c>
      <c r="K240" s="135"/>
      <c r="L240" s="136"/>
    </row>
    <row r="241" spans="1:12">
      <c r="A241" s="253"/>
      <c r="B241" s="244"/>
      <c r="C241" s="250"/>
      <c r="D241" s="132"/>
      <c r="E241" s="133"/>
      <c r="F241" s="128" t="s">
        <v>1253</v>
      </c>
      <c r="G241" s="126"/>
      <c r="H241" s="127">
        <v>0.33333333333333298</v>
      </c>
      <c r="I241" s="109">
        <f t="shared" si="5"/>
        <v>1</v>
      </c>
      <c r="J241" s="134">
        <v>0.9</v>
      </c>
      <c r="K241" s="133"/>
      <c r="L241" s="136"/>
    </row>
    <row r="242" spans="1:12">
      <c r="A242" s="253"/>
      <c r="B242" s="244"/>
      <c r="C242" s="243" t="s">
        <v>1196</v>
      </c>
      <c r="D242" s="78" t="s">
        <v>1191</v>
      </c>
      <c r="E242" s="159"/>
      <c r="F242" s="111" t="s">
        <v>1251</v>
      </c>
      <c r="G242" s="107">
        <v>2.0833333333333332E-2</v>
      </c>
      <c r="H242" s="108">
        <v>0.33333333333333298</v>
      </c>
      <c r="I242" s="109">
        <f t="shared" si="5"/>
        <v>0.93749999999999989</v>
      </c>
      <c r="J242" s="109">
        <v>0.9</v>
      </c>
      <c r="K242" s="82"/>
      <c r="L242" s="112"/>
    </row>
    <row r="243" spans="1:12">
      <c r="A243" s="253"/>
      <c r="B243" s="244"/>
      <c r="C243" s="244"/>
      <c r="D243" s="78" t="s">
        <v>1191</v>
      </c>
      <c r="E243" s="159"/>
      <c r="F243" s="111" t="s">
        <v>1252</v>
      </c>
      <c r="G243" s="107"/>
      <c r="H243" s="108">
        <v>0.33333333333333298</v>
      </c>
      <c r="I243" s="109">
        <f t="shared" si="5"/>
        <v>1</v>
      </c>
      <c r="J243" s="109">
        <v>0.9</v>
      </c>
      <c r="K243" s="82"/>
      <c r="L243" s="82"/>
    </row>
    <row r="244" spans="1:12">
      <c r="A244" s="253"/>
      <c r="B244" s="244"/>
      <c r="C244" s="245"/>
      <c r="D244" s="78" t="s">
        <v>1191</v>
      </c>
      <c r="E244" s="113"/>
      <c r="F244" s="114" t="s">
        <v>1253</v>
      </c>
      <c r="G244" s="107">
        <v>5.486111111111111E-2</v>
      </c>
      <c r="H244" s="108">
        <v>0.33333333333333298</v>
      </c>
      <c r="I244" s="109">
        <f t="shared" si="5"/>
        <v>0.83541666666666647</v>
      </c>
      <c r="J244" s="109">
        <v>0.9</v>
      </c>
      <c r="K244" s="82"/>
      <c r="L244" s="82"/>
    </row>
    <row r="245" spans="1:12">
      <c r="A245" s="253"/>
      <c r="B245" s="244"/>
      <c r="C245" s="248" t="s">
        <v>1197</v>
      </c>
      <c r="D245" s="132" t="s">
        <v>1192</v>
      </c>
      <c r="E245" s="158"/>
      <c r="F245" s="125" t="s">
        <v>1251</v>
      </c>
      <c r="G245" s="126"/>
      <c r="H245" s="127">
        <v>0.33333333333333298</v>
      </c>
      <c r="I245" s="109">
        <f t="shared" si="5"/>
        <v>1</v>
      </c>
      <c r="J245" s="134">
        <v>0.9</v>
      </c>
      <c r="K245" s="135"/>
      <c r="L245" s="137"/>
    </row>
    <row r="246" spans="1:12">
      <c r="A246" s="253"/>
      <c r="B246" s="244"/>
      <c r="C246" s="249"/>
      <c r="D246" s="132" t="s">
        <v>1192</v>
      </c>
      <c r="E246" s="158"/>
      <c r="F246" s="129" t="s">
        <v>1252</v>
      </c>
      <c r="G246" s="126"/>
      <c r="H246" s="127">
        <v>0.33333333333333298</v>
      </c>
      <c r="I246" s="109">
        <f t="shared" si="5"/>
        <v>1</v>
      </c>
      <c r="J246" s="134">
        <v>0.9</v>
      </c>
      <c r="K246" s="135"/>
      <c r="L246" s="136"/>
    </row>
    <row r="247" spans="1:12" ht="15" thickBot="1">
      <c r="A247" s="253"/>
      <c r="B247" s="245"/>
      <c r="C247" s="250"/>
      <c r="D247" s="132" t="s">
        <v>1192</v>
      </c>
      <c r="E247" s="133"/>
      <c r="F247" s="128" t="s">
        <v>1253</v>
      </c>
      <c r="G247" s="126"/>
      <c r="H247" s="131">
        <v>0.33333333333333298</v>
      </c>
      <c r="I247" s="115">
        <f t="shared" si="5"/>
        <v>1</v>
      </c>
      <c r="J247" s="134">
        <v>0.9</v>
      </c>
      <c r="K247" s="133"/>
      <c r="L247" s="136"/>
    </row>
    <row r="248" spans="1:12">
      <c r="A248" s="253"/>
      <c r="B248" s="251">
        <v>45742</v>
      </c>
      <c r="C248" s="243" t="s">
        <v>1198</v>
      </c>
      <c r="D248" s="78" t="s">
        <v>1194</v>
      </c>
      <c r="E248" s="159"/>
      <c r="F248" s="111" t="s">
        <v>1251</v>
      </c>
      <c r="G248" s="107"/>
      <c r="H248" s="108">
        <v>0.33333333333333298</v>
      </c>
      <c r="I248" s="109">
        <f t="shared" si="5"/>
        <v>1</v>
      </c>
      <c r="J248" s="109">
        <v>0.9</v>
      </c>
      <c r="K248" s="82"/>
      <c r="L248" s="112"/>
    </row>
    <row r="249" spans="1:12">
      <c r="A249" s="253"/>
      <c r="B249" s="244"/>
      <c r="C249" s="244"/>
      <c r="D249" s="78" t="s">
        <v>1194</v>
      </c>
      <c r="E249" s="159"/>
      <c r="F249" s="106" t="s">
        <v>1252</v>
      </c>
      <c r="G249" s="107"/>
      <c r="H249" s="108">
        <v>0.33333333333333298</v>
      </c>
      <c r="I249" s="109">
        <f t="shared" si="5"/>
        <v>1</v>
      </c>
      <c r="J249" s="109">
        <v>0.9</v>
      </c>
      <c r="K249" s="82"/>
      <c r="L249" s="82"/>
    </row>
    <row r="250" spans="1:12">
      <c r="A250" s="253"/>
      <c r="B250" s="244"/>
      <c r="C250" s="245"/>
      <c r="D250" s="78" t="s">
        <v>1194</v>
      </c>
      <c r="E250" s="113"/>
      <c r="F250" s="114" t="s">
        <v>1253</v>
      </c>
      <c r="G250" s="107"/>
      <c r="H250" s="108">
        <v>0.33333333333333298</v>
      </c>
      <c r="I250" s="109">
        <f t="shared" si="5"/>
        <v>1</v>
      </c>
      <c r="J250" s="109">
        <v>0.9</v>
      </c>
      <c r="K250" s="82"/>
      <c r="L250" s="82"/>
    </row>
    <row r="251" spans="1:12">
      <c r="A251" s="253"/>
      <c r="B251" s="244"/>
      <c r="C251" s="248" t="s">
        <v>1196</v>
      </c>
      <c r="D251" s="132"/>
      <c r="E251" s="158"/>
      <c r="F251" s="125" t="s">
        <v>1251</v>
      </c>
      <c r="G251" s="126"/>
      <c r="H251" s="127">
        <v>0.33333333333333298</v>
      </c>
      <c r="I251" s="109">
        <f t="shared" si="5"/>
        <v>1</v>
      </c>
      <c r="J251" s="134">
        <v>0.9</v>
      </c>
      <c r="K251" s="135"/>
      <c r="L251" s="137"/>
    </row>
    <row r="252" spans="1:12">
      <c r="A252" s="253"/>
      <c r="B252" s="244"/>
      <c r="C252" s="249"/>
      <c r="D252" s="132"/>
      <c r="E252" s="158"/>
      <c r="F252" s="129" t="s">
        <v>1252</v>
      </c>
      <c r="G252" s="126"/>
      <c r="H252" s="127">
        <v>0.33333333333333298</v>
      </c>
      <c r="I252" s="109">
        <f t="shared" si="5"/>
        <v>1</v>
      </c>
      <c r="J252" s="134">
        <v>0.9</v>
      </c>
      <c r="K252" s="135"/>
      <c r="L252" s="136"/>
    </row>
    <row r="253" spans="1:12">
      <c r="A253" s="253"/>
      <c r="B253" s="244"/>
      <c r="C253" s="250"/>
      <c r="D253" s="132"/>
      <c r="E253" s="133"/>
      <c r="F253" s="128" t="s">
        <v>1253</v>
      </c>
      <c r="G253" s="126"/>
      <c r="H253" s="127">
        <v>0.33333333333333298</v>
      </c>
      <c r="I253" s="109">
        <f t="shared" si="5"/>
        <v>1</v>
      </c>
      <c r="J253" s="134">
        <v>0.9</v>
      </c>
      <c r="K253" s="133"/>
      <c r="L253" s="136"/>
    </row>
    <row r="254" spans="1:12">
      <c r="A254" s="253"/>
      <c r="B254" s="244"/>
      <c r="C254" s="243" t="s">
        <v>1197</v>
      </c>
      <c r="D254" s="78" t="s">
        <v>1191</v>
      </c>
      <c r="E254" s="159"/>
      <c r="F254" s="111" t="s">
        <v>1251</v>
      </c>
      <c r="G254" s="107"/>
      <c r="H254" s="108">
        <v>0.33333333333333298</v>
      </c>
      <c r="I254" s="109">
        <f t="shared" si="5"/>
        <v>1</v>
      </c>
      <c r="J254" s="109">
        <v>0.9</v>
      </c>
      <c r="K254" s="82"/>
      <c r="L254" s="112"/>
    </row>
    <row r="255" spans="1:12">
      <c r="A255" s="253"/>
      <c r="B255" s="244"/>
      <c r="C255" s="244"/>
      <c r="D255" s="78" t="s">
        <v>1191</v>
      </c>
      <c r="E255" s="159"/>
      <c r="F255" s="106" t="s">
        <v>1252</v>
      </c>
      <c r="G255" s="107"/>
      <c r="H255" s="108">
        <v>0.33333333333333298</v>
      </c>
      <c r="I255" s="109">
        <f t="shared" si="5"/>
        <v>1</v>
      </c>
      <c r="J255" s="109">
        <v>0.9</v>
      </c>
      <c r="K255" s="82"/>
      <c r="L255" s="82"/>
    </row>
    <row r="256" spans="1:12" ht="15" thickBot="1">
      <c r="A256" s="253"/>
      <c r="B256" s="245"/>
      <c r="C256" s="245"/>
      <c r="D256" s="78" t="s">
        <v>1191</v>
      </c>
      <c r="E256" s="113"/>
      <c r="F256" s="114" t="s">
        <v>1253</v>
      </c>
      <c r="G256" s="107">
        <v>3.1944444444444442E-2</v>
      </c>
      <c r="H256" s="108">
        <v>0.33333333333333298</v>
      </c>
      <c r="I256" s="109">
        <f t="shared" si="5"/>
        <v>0.90416666666666656</v>
      </c>
      <c r="J256" s="109">
        <v>0.9</v>
      </c>
      <c r="K256" s="82"/>
      <c r="L256" s="82"/>
    </row>
    <row r="257" spans="1:12">
      <c r="A257" s="253"/>
      <c r="B257" s="251">
        <v>45743</v>
      </c>
      <c r="C257" s="248" t="s">
        <v>1198</v>
      </c>
      <c r="D257" s="132" t="s">
        <v>1194</v>
      </c>
      <c r="E257" s="158"/>
      <c r="F257" s="125" t="s">
        <v>1251</v>
      </c>
      <c r="G257" s="126"/>
      <c r="H257" s="127">
        <v>0.33333333333333298</v>
      </c>
      <c r="I257" s="109">
        <f t="shared" si="5"/>
        <v>1</v>
      </c>
      <c r="J257" s="134">
        <v>0.9</v>
      </c>
      <c r="K257" s="135"/>
      <c r="L257" s="137"/>
    </row>
    <row r="258" spans="1:12">
      <c r="A258" s="253"/>
      <c r="B258" s="244"/>
      <c r="C258" s="249"/>
      <c r="D258" s="132" t="s">
        <v>1194</v>
      </c>
      <c r="E258" s="158"/>
      <c r="F258" s="129" t="s">
        <v>1252</v>
      </c>
      <c r="G258" s="126"/>
      <c r="H258" s="127">
        <v>0.33333333333333298</v>
      </c>
      <c r="I258" s="109">
        <f t="shared" si="5"/>
        <v>1</v>
      </c>
      <c r="J258" s="134">
        <v>0.9</v>
      </c>
      <c r="K258" s="135"/>
      <c r="L258" s="136"/>
    </row>
    <row r="259" spans="1:12">
      <c r="A259" s="253"/>
      <c r="B259" s="244"/>
      <c r="C259" s="250"/>
      <c r="D259" s="132" t="s">
        <v>1194</v>
      </c>
      <c r="E259" s="133"/>
      <c r="F259" s="128" t="s">
        <v>1253</v>
      </c>
      <c r="G259" s="126"/>
      <c r="H259" s="127">
        <v>0.33333333333333298</v>
      </c>
      <c r="I259" s="109">
        <f t="shared" si="5"/>
        <v>1</v>
      </c>
      <c r="J259" s="134">
        <v>0.9</v>
      </c>
      <c r="K259" s="133"/>
      <c r="L259" s="136"/>
    </row>
    <row r="260" spans="1:12">
      <c r="A260" s="253"/>
      <c r="B260" s="244"/>
      <c r="C260" s="243" t="s">
        <v>1196</v>
      </c>
      <c r="D260" s="78"/>
      <c r="E260" s="159"/>
      <c r="F260" s="111" t="s">
        <v>1251</v>
      </c>
      <c r="G260" s="107">
        <v>7.3611111111111113E-2</v>
      </c>
      <c r="H260" s="108">
        <v>0.33333333333333298</v>
      </c>
      <c r="I260" s="109">
        <f t="shared" si="5"/>
        <v>0.77916666666666645</v>
      </c>
      <c r="J260" s="109">
        <v>0.9</v>
      </c>
      <c r="K260" s="82" t="s">
        <v>1323</v>
      </c>
      <c r="L260" s="112"/>
    </row>
    <row r="261" spans="1:12">
      <c r="A261" s="253"/>
      <c r="B261" s="244"/>
      <c r="C261" s="244"/>
      <c r="D261" s="78"/>
      <c r="E261" s="159"/>
      <c r="F261" s="106" t="s">
        <v>1252</v>
      </c>
      <c r="G261" s="107"/>
      <c r="H261" s="108">
        <v>0.33333333333333298</v>
      </c>
      <c r="I261" s="109">
        <f t="shared" si="5"/>
        <v>1</v>
      </c>
      <c r="J261" s="109">
        <v>0.9</v>
      </c>
      <c r="K261" s="82"/>
      <c r="L261" s="82"/>
    </row>
    <row r="262" spans="1:12">
      <c r="A262" s="253"/>
      <c r="B262" s="244"/>
      <c r="C262" s="245"/>
      <c r="D262" s="78"/>
      <c r="E262" s="113"/>
      <c r="F262" s="114" t="s">
        <v>1253</v>
      </c>
      <c r="G262" s="107"/>
      <c r="H262" s="108">
        <v>0.33333333333333298</v>
      </c>
      <c r="I262" s="109">
        <f t="shared" si="5"/>
        <v>1</v>
      </c>
      <c r="J262" s="109">
        <v>0.9</v>
      </c>
      <c r="K262" s="82"/>
      <c r="L262" s="82"/>
    </row>
    <row r="263" spans="1:12">
      <c r="A263" s="253"/>
      <c r="B263" s="244"/>
      <c r="C263" s="248" t="s">
        <v>1197</v>
      </c>
      <c r="D263" s="132" t="s">
        <v>1191</v>
      </c>
      <c r="E263" s="158"/>
      <c r="F263" s="125" t="s">
        <v>1251</v>
      </c>
      <c r="G263" s="126"/>
      <c r="H263" s="127">
        <v>0.33333333333333298</v>
      </c>
      <c r="I263" s="109">
        <f t="shared" si="5"/>
        <v>1</v>
      </c>
      <c r="J263" s="134">
        <v>0.9</v>
      </c>
      <c r="K263" s="133"/>
      <c r="L263" s="137"/>
    </row>
    <row r="264" spans="1:12">
      <c r="A264" s="253"/>
      <c r="B264" s="244"/>
      <c r="C264" s="249"/>
      <c r="D264" s="132" t="s">
        <v>1191</v>
      </c>
      <c r="E264" s="158"/>
      <c r="F264" s="129" t="s">
        <v>1252</v>
      </c>
      <c r="G264" s="126"/>
      <c r="H264" s="127">
        <v>0.33333333333333298</v>
      </c>
      <c r="I264" s="109">
        <f t="shared" si="5"/>
        <v>1</v>
      </c>
      <c r="J264" s="134">
        <v>0.9</v>
      </c>
      <c r="K264" s="135"/>
      <c r="L264" s="136"/>
    </row>
    <row r="265" spans="1:12" ht="15" thickBot="1">
      <c r="A265" s="253"/>
      <c r="B265" s="245"/>
      <c r="C265" s="250"/>
      <c r="D265" s="132" t="s">
        <v>1191</v>
      </c>
      <c r="E265" s="133"/>
      <c r="F265" s="128" t="s">
        <v>1253</v>
      </c>
      <c r="G265" s="126"/>
      <c r="H265" s="127">
        <v>0.33333333333333298</v>
      </c>
      <c r="I265" s="109">
        <f t="shared" si="5"/>
        <v>1</v>
      </c>
      <c r="J265" s="134">
        <v>0.9</v>
      </c>
      <c r="K265" s="133"/>
      <c r="L265" s="136"/>
    </row>
    <row r="266" spans="1:12">
      <c r="A266" s="253"/>
      <c r="B266" s="251">
        <v>45744</v>
      </c>
      <c r="C266" s="248" t="s">
        <v>1198</v>
      </c>
      <c r="D266" s="132" t="s">
        <v>1192</v>
      </c>
      <c r="E266" s="158"/>
      <c r="F266" s="125" t="s">
        <v>1251</v>
      </c>
      <c r="G266" s="126"/>
      <c r="H266" s="127">
        <v>0.33333333333333298</v>
      </c>
      <c r="I266" s="109">
        <f t="shared" si="5"/>
        <v>1</v>
      </c>
      <c r="J266" s="134">
        <v>0.9</v>
      </c>
      <c r="K266" s="135"/>
      <c r="L266" s="137"/>
    </row>
    <row r="267" spans="1:12">
      <c r="A267" s="253"/>
      <c r="B267" s="244"/>
      <c r="C267" s="249"/>
      <c r="D267" s="132" t="s">
        <v>1192</v>
      </c>
      <c r="E267" s="158"/>
      <c r="F267" s="129" t="s">
        <v>1252</v>
      </c>
      <c r="G267" s="126"/>
      <c r="H267" s="127">
        <v>0.33333333333333298</v>
      </c>
      <c r="I267" s="109">
        <f t="shared" si="5"/>
        <v>1</v>
      </c>
      <c r="J267" s="134">
        <v>0.9</v>
      </c>
      <c r="K267" s="135"/>
      <c r="L267" s="136"/>
    </row>
    <row r="268" spans="1:12">
      <c r="A268" s="253"/>
      <c r="B268" s="244"/>
      <c r="C268" s="250"/>
      <c r="D268" s="132" t="s">
        <v>1192</v>
      </c>
      <c r="E268" s="133"/>
      <c r="F268" s="128" t="s">
        <v>1253</v>
      </c>
      <c r="G268" s="126">
        <v>0.20833333333333334</v>
      </c>
      <c r="H268" s="127">
        <v>0.33333333333333298</v>
      </c>
      <c r="I268" s="109">
        <f t="shared" si="5"/>
        <v>0.37499999999999933</v>
      </c>
      <c r="J268" s="134">
        <v>0.9</v>
      </c>
      <c r="K268" s="133"/>
      <c r="L268" s="136"/>
    </row>
    <row r="269" spans="1:12">
      <c r="A269" s="253"/>
      <c r="B269" s="244"/>
      <c r="C269" s="243" t="s">
        <v>1196</v>
      </c>
      <c r="D269" s="78" t="s">
        <v>1194</v>
      </c>
      <c r="E269" s="159"/>
      <c r="F269" s="111" t="s">
        <v>1251</v>
      </c>
      <c r="G269" s="107"/>
      <c r="H269" s="108">
        <v>0.33333333333333298</v>
      </c>
      <c r="I269" s="109">
        <f t="shared" si="5"/>
        <v>1</v>
      </c>
      <c r="J269" s="109">
        <v>0.9</v>
      </c>
      <c r="K269" s="82"/>
      <c r="L269" s="112"/>
    </row>
    <row r="270" spans="1:12">
      <c r="A270" s="253"/>
      <c r="B270" s="244"/>
      <c r="C270" s="244"/>
      <c r="D270" s="78" t="s">
        <v>1194</v>
      </c>
      <c r="E270" s="159"/>
      <c r="F270" s="106" t="s">
        <v>1252</v>
      </c>
      <c r="G270" s="107"/>
      <c r="H270" s="108">
        <v>0.33333333333333298</v>
      </c>
      <c r="I270" s="109">
        <f t="shared" si="5"/>
        <v>1</v>
      </c>
      <c r="J270" s="109">
        <v>0.9</v>
      </c>
      <c r="K270" s="82"/>
      <c r="L270" s="82"/>
    </row>
    <row r="271" spans="1:12">
      <c r="A271" s="253"/>
      <c r="B271" s="244"/>
      <c r="C271" s="245"/>
      <c r="D271" s="78" t="s">
        <v>1194</v>
      </c>
      <c r="E271" s="113"/>
      <c r="F271" s="114" t="s">
        <v>1253</v>
      </c>
      <c r="G271" s="107">
        <v>0.10416666666666667</v>
      </c>
      <c r="H271" s="108">
        <v>0.33333333333333298</v>
      </c>
      <c r="I271" s="109">
        <f t="shared" si="5"/>
        <v>0.68749999999999967</v>
      </c>
      <c r="J271" s="109">
        <v>0.9</v>
      </c>
      <c r="K271" s="82" t="s">
        <v>1348</v>
      </c>
      <c r="L271" s="82"/>
    </row>
    <row r="272" spans="1:12">
      <c r="A272" s="253"/>
      <c r="B272" s="244"/>
      <c r="C272" s="248" t="s">
        <v>1197</v>
      </c>
      <c r="D272" s="132"/>
      <c r="E272" s="158"/>
      <c r="F272" s="125" t="s">
        <v>1251</v>
      </c>
      <c r="G272" s="126"/>
      <c r="H272" s="127">
        <v>0.33333333333333298</v>
      </c>
      <c r="I272" s="109">
        <f t="shared" si="5"/>
        <v>1</v>
      </c>
      <c r="J272" s="134">
        <v>0.9</v>
      </c>
      <c r="K272" s="133"/>
      <c r="L272" s="137"/>
    </row>
    <row r="273" spans="1:12">
      <c r="A273" s="253"/>
      <c r="B273" s="244"/>
      <c r="C273" s="249"/>
      <c r="D273" s="132"/>
      <c r="E273" s="158"/>
      <c r="F273" s="129" t="s">
        <v>1252</v>
      </c>
      <c r="G273" s="126"/>
      <c r="H273" s="127">
        <v>0.33333333333333298</v>
      </c>
      <c r="I273" s="109">
        <f t="shared" si="5"/>
        <v>1</v>
      </c>
      <c r="J273" s="134">
        <v>0.9</v>
      </c>
      <c r="K273" s="135"/>
      <c r="L273" s="136"/>
    </row>
    <row r="274" spans="1:12" ht="15" thickBot="1">
      <c r="A274" s="253"/>
      <c r="B274" s="245"/>
      <c r="C274" s="250"/>
      <c r="D274" s="132"/>
      <c r="E274" s="133"/>
      <c r="F274" s="128" t="s">
        <v>1253</v>
      </c>
      <c r="G274" s="126">
        <v>6.25E-2</v>
      </c>
      <c r="H274" s="127">
        <v>0.33333333333333298</v>
      </c>
      <c r="I274" s="109">
        <f t="shared" si="5"/>
        <v>0.81249999999999978</v>
      </c>
      <c r="J274" s="134">
        <v>0.9</v>
      </c>
      <c r="K274" s="133" t="s">
        <v>1349</v>
      </c>
      <c r="L274" s="136"/>
    </row>
    <row r="275" spans="1:12">
      <c r="A275" s="253"/>
      <c r="B275" s="251">
        <v>45745</v>
      </c>
      <c r="C275" s="248" t="s">
        <v>1198</v>
      </c>
      <c r="D275" s="132" t="s">
        <v>1192</v>
      </c>
      <c r="E275" s="158"/>
      <c r="F275" s="125" t="s">
        <v>1251</v>
      </c>
      <c r="G275" s="126">
        <v>0.33333333333333331</v>
      </c>
      <c r="H275" s="127">
        <v>0.33333333333333298</v>
      </c>
      <c r="I275" s="109">
        <f t="shared" si="5"/>
        <v>0</v>
      </c>
      <c r="J275" s="134">
        <v>0.9</v>
      </c>
      <c r="K275" s="135" t="s">
        <v>1323</v>
      </c>
      <c r="L275" s="137"/>
    </row>
    <row r="276" spans="1:12">
      <c r="A276" s="253"/>
      <c r="B276" s="244"/>
      <c r="C276" s="249"/>
      <c r="D276" s="132" t="s">
        <v>1192</v>
      </c>
      <c r="E276" s="158"/>
      <c r="F276" s="129" t="s">
        <v>1252</v>
      </c>
      <c r="G276" s="126"/>
      <c r="H276" s="127">
        <v>0.33333333333333298</v>
      </c>
      <c r="I276" s="109">
        <f t="shared" si="5"/>
        <v>1</v>
      </c>
      <c r="J276" s="134">
        <v>0.9</v>
      </c>
      <c r="K276" s="135"/>
      <c r="L276" s="136"/>
    </row>
    <row r="277" spans="1:12">
      <c r="A277" s="253"/>
      <c r="B277" s="244"/>
      <c r="C277" s="250"/>
      <c r="D277" s="132" t="s">
        <v>1192</v>
      </c>
      <c r="E277" s="133"/>
      <c r="F277" s="128" t="s">
        <v>1253</v>
      </c>
      <c r="G277" s="126"/>
      <c r="H277" s="127">
        <v>0.33333333333333298</v>
      </c>
      <c r="I277" s="109">
        <f t="shared" si="5"/>
        <v>1</v>
      </c>
      <c r="J277" s="134">
        <v>0.9</v>
      </c>
      <c r="K277" s="135"/>
      <c r="L277" s="136"/>
    </row>
    <row r="278" spans="1:12">
      <c r="A278" s="253"/>
      <c r="B278" s="244"/>
      <c r="C278" s="243" t="s">
        <v>1196</v>
      </c>
      <c r="D278" s="78" t="s">
        <v>1194</v>
      </c>
      <c r="E278" s="159"/>
      <c r="F278" s="111" t="s">
        <v>1251</v>
      </c>
      <c r="G278" s="107">
        <v>0.20833333333333334</v>
      </c>
      <c r="H278" s="108">
        <v>0.33333333333333298</v>
      </c>
      <c r="I278" s="109">
        <f t="shared" si="5"/>
        <v>0.37499999999999933</v>
      </c>
      <c r="J278" s="109">
        <v>0.9</v>
      </c>
      <c r="K278" s="82" t="s">
        <v>1323</v>
      </c>
      <c r="L278" s="112"/>
    </row>
    <row r="279" spans="1:12">
      <c r="A279" s="253"/>
      <c r="B279" s="244"/>
      <c r="C279" s="244"/>
      <c r="D279" s="78" t="s">
        <v>1194</v>
      </c>
      <c r="E279" s="159"/>
      <c r="F279" s="106" t="s">
        <v>1252</v>
      </c>
      <c r="G279" s="107"/>
      <c r="H279" s="108">
        <v>0.33333333333333298</v>
      </c>
      <c r="I279" s="109">
        <f t="shared" si="5"/>
        <v>1</v>
      </c>
      <c r="J279" s="109">
        <v>0.9</v>
      </c>
      <c r="K279" s="82"/>
      <c r="L279" s="82"/>
    </row>
    <row r="280" spans="1:12">
      <c r="A280" s="253"/>
      <c r="B280" s="244"/>
      <c r="C280" s="245"/>
      <c r="D280" s="78" t="s">
        <v>1194</v>
      </c>
      <c r="E280" s="113"/>
      <c r="F280" s="114" t="s">
        <v>1253</v>
      </c>
      <c r="G280" s="107"/>
      <c r="H280" s="108">
        <v>0.33333333333333298</v>
      </c>
      <c r="I280" s="109">
        <f t="shared" si="5"/>
        <v>1</v>
      </c>
      <c r="J280" s="109">
        <v>0.9</v>
      </c>
      <c r="K280" s="82"/>
      <c r="L280" s="82"/>
    </row>
    <row r="281" spans="1:12">
      <c r="A281" s="253"/>
      <c r="B281" s="244"/>
      <c r="C281" s="248" t="s">
        <v>1197</v>
      </c>
      <c r="D281" s="132" t="s">
        <v>1193</v>
      </c>
      <c r="E281" s="158"/>
      <c r="F281" s="125" t="s">
        <v>1251</v>
      </c>
      <c r="G281" s="126"/>
      <c r="H281" s="127">
        <v>0.33333333333333298</v>
      </c>
      <c r="I281" s="109">
        <f t="shared" si="5"/>
        <v>1</v>
      </c>
      <c r="J281" s="134">
        <v>0.9</v>
      </c>
      <c r="K281" s="133"/>
      <c r="L281" s="137"/>
    </row>
    <row r="282" spans="1:12">
      <c r="A282" s="253"/>
      <c r="B282" s="244"/>
      <c r="C282" s="249"/>
      <c r="D282" s="132" t="s">
        <v>1193</v>
      </c>
      <c r="E282" s="158"/>
      <c r="F282" s="129" t="s">
        <v>1252</v>
      </c>
      <c r="G282" s="126">
        <v>0.14583333333333334</v>
      </c>
      <c r="H282" s="127">
        <v>0.33333333333333298</v>
      </c>
      <c r="I282" s="109">
        <f t="shared" si="5"/>
        <v>0.56249999999999956</v>
      </c>
      <c r="J282" s="134">
        <v>0.9</v>
      </c>
      <c r="K282" s="135" t="s">
        <v>1323</v>
      </c>
      <c r="L282" s="136"/>
    </row>
    <row r="283" spans="1:12" ht="15" thickBot="1">
      <c r="A283" s="253"/>
      <c r="B283" s="245"/>
      <c r="C283" s="250"/>
      <c r="D283" s="132" t="s">
        <v>1193</v>
      </c>
      <c r="E283" s="133"/>
      <c r="F283" s="128" t="s">
        <v>1253</v>
      </c>
      <c r="G283" s="126"/>
      <c r="H283" s="127">
        <v>0.33333333333333298</v>
      </c>
      <c r="I283" s="109">
        <f t="shared" si="5"/>
        <v>1</v>
      </c>
      <c r="J283" s="134">
        <v>0.9</v>
      </c>
      <c r="K283" s="133"/>
      <c r="L283" s="136"/>
    </row>
    <row r="284" spans="1:12">
      <c r="A284" s="253"/>
      <c r="B284" s="251">
        <v>45746</v>
      </c>
      <c r="C284" s="248" t="s">
        <v>1198</v>
      </c>
      <c r="D284" s="132" t="s">
        <v>1191</v>
      </c>
      <c r="E284" s="158"/>
      <c r="F284" s="125" t="s">
        <v>1251</v>
      </c>
      <c r="G284" s="126">
        <v>8.1944444444444445E-2</v>
      </c>
      <c r="H284" s="127">
        <v>0.33333333333333298</v>
      </c>
      <c r="I284" s="109">
        <f t="shared" si="5"/>
        <v>0.75416666666666643</v>
      </c>
      <c r="J284" s="134">
        <v>0.9</v>
      </c>
      <c r="K284" s="135" t="s">
        <v>1350</v>
      </c>
      <c r="L284" s="137"/>
    </row>
    <row r="285" spans="1:12">
      <c r="A285" s="253"/>
      <c r="B285" s="244"/>
      <c r="C285" s="249"/>
      <c r="D285" s="132" t="s">
        <v>1191</v>
      </c>
      <c r="E285" s="158"/>
      <c r="F285" s="129" t="s">
        <v>1252</v>
      </c>
      <c r="G285" s="126">
        <v>0.1875</v>
      </c>
      <c r="H285" s="127">
        <v>0.33333333333333298</v>
      </c>
      <c r="I285" s="109">
        <f t="shared" si="5"/>
        <v>0.43749999999999944</v>
      </c>
      <c r="J285" s="134">
        <v>0.9</v>
      </c>
      <c r="K285" s="135" t="s">
        <v>1323</v>
      </c>
      <c r="L285" s="136"/>
    </row>
    <row r="286" spans="1:12">
      <c r="A286" s="253"/>
      <c r="B286" s="244"/>
      <c r="C286" s="250"/>
      <c r="D286" s="132" t="s">
        <v>1191</v>
      </c>
      <c r="E286" s="133"/>
      <c r="F286" s="128" t="s">
        <v>1253</v>
      </c>
      <c r="G286" s="126"/>
      <c r="H286" s="127">
        <v>0.33333333333333298</v>
      </c>
      <c r="I286" s="109">
        <f t="shared" si="5"/>
        <v>1</v>
      </c>
      <c r="J286" s="134">
        <v>0.9</v>
      </c>
      <c r="K286" s="133"/>
      <c r="L286" s="136"/>
    </row>
    <row r="287" spans="1:12">
      <c r="A287" s="253"/>
      <c r="B287" s="244"/>
      <c r="C287" s="243" t="s">
        <v>1196</v>
      </c>
      <c r="D287" s="78" t="s">
        <v>1192</v>
      </c>
      <c r="E287" s="159"/>
      <c r="F287" s="111" t="s">
        <v>1251</v>
      </c>
      <c r="G287" s="107"/>
      <c r="H287" s="108">
        <v>0.33333333333333298</v>
      </c>
      <c r="I287" s="109">
        <f t="shared" si="5"/>
        <v>1</v>
      </c>
      <c r="J287" s="109">
        <v>0.9</v>
      </c>
      <c r="K287" s="82"/>
      <c r="L287" s="112"/>
    </row>
    <row r="288" spans="1:12">
      <c r="A288" s="253"/>
      <c r="B288" s="244"/>
      <c r="C288" s="244"/>
      <c r="D288" s="78" t="s">
        <v>1192</v>
      </c>
      <c r="E288" s="159"/>
      <c r="F288" s="106" t="s">
        <v>1252</v>
      </c>
      <c r="G288" s="107"/>
      <c r="H288" s="108">
        <v>0.33333333333333298</v>
      </c>
      <c r="I288" s="109">
        <f t="shared" si="5"/>
        <v>1</v>
      </c>
      <c r="J288" s="109">
        <v>0.9</v>
      </c>
      <c r="K288" s="82"/>
      <c r="L288" s="82"/>
    </row>
    <row r="289" spans="1:12">
      <c r="A289" s="253"/>
      <c r="B289" s="244"/>
      <c r="C289" s="245"/>
      <c r="D289" s="78" t="s">
        <v>1192</v>
      </c>
      <c r="E289" s="113"/>
      <c r="F289" s="114" t="s">
        <v>1253</v>
      </c>
      <c r="G289" s="107"/>
      <c r="H289" s="108">
        <v>0.33333333333333298</v>
      </c>
      <c r="I289" s="109">
        <f t="shared" si="5"/>
        <v>1</v>
      </c>
      <c r="J289" s="109">
        <v>0.9</v>
      </c>
      <c r="K289" s="82"/>
      <c r="L289" s="82"/>
    </row>
    <row r="290" spans="1:12">
      <c r="A290" s="253"/>
      <c r="B290" s="244"/>
      <c r="C290" s="248" t="s">
        <v>1197</v>
      </c>
      <c r="D290" s="132"/>
      <c r="E290" s="158"/>
      <c r="F290" s="125" t="s">
        <v>1251</v>
      </c>
      <c r="G290" s="126"/>
      <c r="H290" s="127">
        <v>0.33333333333333298</v>
      </c>
      <c r="I290" s="109">
        <f t="shared" si="5"/>
        <v>1</v>
      </c>
      <c r="J290" s="134">
        <v>0.9</v>
      </c>
      <c r="K290" s="133"/>
      <c r="L290" s="137"/>
    </row>
    <row r="291" spans="1:12">
      <c r="A291" s="253"/>
      <c r="B291" s="244"/>
      <c r="C291" s="249"/>
      <c r="D291" s="132"/>
      <c r="E291" s="158"/>
      <c r="F291" s="129" t="s">
        <v>1252</v>
      </c>
      <c r="G291" s="126"/>
      <c r="H291" s="127">
        <v>0.33333333333333298</v>
      </c>
      <c r="I291" s="109">
        <f t="shared" si="5"/>
        <v>1</v>
      </c>
      <c r="J291" s="134">
        <v>0.9</v>
      </c>
      <c r="K291" s="135"/>
      <c r="L291" s="136"/>
    </row>
    <row r="292" spans="1:12">
      <c r="A292" s="253"/>
      <c r="B292" s="245"/>
      <c r="C292" s="250"/>
      <c r="D292" s="132"/>
      <c r="E292" s="133"/>
      <c r="F292" s="128" t="s">
        <v>1253</v>
      </c>
      <c r="G292" s="126"/>
      <c r="H292" s="127">
        <v>0.33333333333333298</v>
      </c>
      <c r="I292" s="109">
        <f t="shared" si="5"/>
        <v>1</v>
      </c>
      <c r="J292" s="134">
        <v>0.9</v>
      </c>
      <c r="K292" s="133"/>
      <c r="L292" s="136"/>
    </row>
    <row r="293" spans="1:12">
      <c r="A293" s="253"/>
      <c r="B293" s="117"/>
      <c r="C293" s="117"/>
      <c r="D293" s="118"/>
      <c r="E293" s="118"/>
      <c r="F293" s="119" t="s">
        <v>1251</v>
      </c>
      <c r="G293" s="124"/>
      <c r="H293" s="124"/>
      <c r="I293" s="120">
        <f>AVERAGEIF(F230:F292,F293,I230:I292)</f>
        <v>0.83789682539682531</v>
      </c>
      <c r="J293" s="121">
        <v>0.9</v>
      </c>
      <c r="K293" s="118"/>
      <c r="L293" s="116"/>
    </row>
    <row r="294" spans="1:12">
      <c r="A294" s="253"/>
      <c r="B294" s="117"/>
      <c r="C294" s="117"/>
      <c r="D294" s="118"/>
      <c r="E294" s="118"/>
      <c r="F294" s="119" t="s">
        <v>1252</v>
      </c>
      <c r="G294" s="124"/>
      <c r="H294" s="124"/>
      <c r="I294" s="120">
        <f>AVERAGEIF(F230:F292,F294,I230:I292)</f>
        <v>0.92261904761904767</v>
      </c>
      <c r="J294" s="121">
        <v>0.9</v>
      </c>
      <c r="K294" s="118"/>
      <c r="L294" s="116"/>
    </row>
    <row r="295" spans="1:12">
      <c r="A295" s="253"/>
      <c r="B295" s="117"/>
      <c r="C295" s="117"/>
      <c r="D295" s="118"/>
      <c r="E295" s="118"/>
      <c r="F295" s="119" t="s">
        <v>1253</v>
      </c>
      <c r="G295" s="124"/>
      <c r="H295" s="124"/>
      <c r="I295" s="120">
        <f>AVERAGEIF(F230:F292,F295,I230:I292)</f>
        <v>0.90426587301587291</v>
      </c>
      <c r="J295" s="121">
        <v>0.9</v>
      </c>
      <c r="K295" s="118"/>
      <c r="L295" s="116"/>
    </row>
  </sheetData>
  <mergeCells count="165">
    <mergeCell ref="N34:O34"/>
    <mergeCell ref="C14:C16"/>
    <mergeCell ref="C17:C19"/>
    <mergeCell ref="B20:B28"/>
    <mergeCell ref="C20:C22"/>
    <mergeCell ref="B275:B283"/>
    <mergeCell ref="C275:C277"/>
    <mergeCell ref="C278:C280"/>
    <mergeCell ref="C281:C283"/>
    <mergeCell ref="C182:C184"/>
    <mergeCell ref="C185:C187"/>
    <mergeCell ref="C188:C190"/>
    <mergeCell ref="B191:B199"/>
    <mergeCell ref="C191:C193"/>
    <mergeCell ref="C194:C196"/>
    <mergeCell ref="C197:C199"/>
    <mergeCell ref="B143:B151"/>
    <mergeCell ref="C143:C145"/>
    <mergeCell ref="C146:C148"/>
    <mergeCell ref="C149:C151"/>
    <mergeCell ref="B152:B160"/>
    <mergeCell ref="C152:C154"/>
    <mergeCell ref="C155:C157"/>
    <mergeCell ref="C158:C160"/>
    <mergeCell ref="B284:B292"/>
    <mergeCell ref="C284:C286"/>
    <mergeCell ref="C287:C289"/>
    <mergeCell ref="C290:C292"/>
    <mergeCell ref="B257:B265"/>
    <mergeCell ref="C257:C259"/>
    <mergeCell ref="C260:C262"/>
    <mergeCell ref="C263:C265"/>
    <mergeCell ref="B266:B274"/>
    <mergeCell ref="C266:C268"/>
    <mergeCell ref="C269:C271"/>
    <mergeCell ref="C272:C274"/>
    <mergeCell ref="A230:A295"/>
    <mergeCell ref="B230:B238"/>
    <mergeCell ref="C230:C232"/>
    <mergeCell ref="C233:C235"/>
    <mergeCell ref="C236:C238"/>
    <mergeCell ref="B239:B247"/>
    <mergeCell ref="B200:B208"/>
    <mergeCell ref="C200:C202"/>
    <mergeCell ref="C203:C205"/>
    <mergeCell ref="C206:C208"/>
    <mergeCell ref="B209:B217"/>
    <mergeCell ref="C209:C211"/>
    <mergeCell ref="C212:C214"/>
    <mergeCell ref="C215:C217"/>
    <mergeCell ref="C239:C241"/>
    <mergeCell ref="C242:C244"/>
    <mergeCell ref="C245:C247"/>
    <mergeCell ref="B248:B256"/>
    <mergeCell ref="C248:C250"/>
    <mergeCell ref="C251:C253"/>
    <mergeCell ref="C254:C256"/>
    <mergeCell ref="B218:B226"/>
    <mergeCell ref="C218:C220"/>
    <mergeCell ref="C221:C223"/>
    <mergeCell ref="A164:A229"/>
    <mergeCell ref="B164:B172"/>
    <mergeCell ref="C164:C166"/>
    <mergeCell ref="C167:C169"/>
    <mergeCell ref="C170:C172"/>
    <mergeCell ref="B173:B181"/>
    <mergeCell ref="C173:C175"/>
    <mergeCell ref="C176:C178"/>
    <mergeCell ref="C179:C181"/>
    <mergeCell ref="B182:B190"/>
    <mergeCell ref="C224:C226"/>
    <mergeCell ref="B125:B133"/>
    <mergeCell ref="C125:C127"/>
    <mergeCell ref="C128:C130"/>
    <mergeCell ref="C131:C133"/>
    <mergeCell ref="B134:B142"/>
    <mergeCell ref="C134:C136"/>
    <mergeCell ref="C137:C139"/>
    <mergeCell ref="C140:C142"/>
    <mergeCell ref="A98:A163"/>
    <mergeCell ref="B98:B106"/>
    <mergeCell ref="C98:C100"/>
    <mergeCell ref="C101:C103"/>
    <mergeCell ref="C104:C106"/>
    <mergeCell ref="B107:B115"/>
    <mergeCell ref="C110:C112"/>
    <mergeCell ref="C113:C115"/>
    <mergeCell ref="B116:B124"/>
    <mergeCell ref="C116:C118"/>
    <mergeCell ref="C119:C121"/>
    <mergeCell ref="C122:C124"/>
    <mergeCell ref="B68:B76"/>
    <mergeCell ref="C68:C70"/>
    <mergeCell ref="C71:C73"/>
    <mergeCell ref="C74:C76"/>
    <mergeCell ref="B77:B85"/>
    <mergeCell ref="C77:C79"/>
    <mergeCell ref="C80:C82"/>
    <mergeCell ref="C83:C85"/>
    <mergeCell ref="C107:C109"/>
    <mergeCell ref="B86:B94"/>
    <mergeCell ref="C86:C88"/>
    <mergeCell ref="C89:C91"/>
    <mergeCell ref="P59:P62"/>
    <mergeCell ref="Q59:Q62"/>
    <mergeCell ref="C62:C64"/>
    <mergeCell ref="C50:C52"/>
    <mergeCell ref="N50:N51"/>
    <mergeCell ref="O50:O51"/>
    <mergeCell ref="P50:P51"/>
    <mergeCell ref="Q50:Q51"/>
    <mergeCell ref="P52:P55"/>
    <mergeCell ref="Q52:Q55"/>
    <mergeCell ref="C53:C55"/>
    <mergeCell ref="N64:N65"/>
    <mergeCell ref="O64:O65"/>
    <mergeCell ref="P64:P65"/>
    <mergeCell ref="Q64:Q65"/>
    <mergeCell ref="C65:C67"/>
    <mergeCell ref="P66:P69"/>
    <mergeCell ref="Q66:Q69"/>
    <mergeCell ref="C56:C58"/>
    <mergeCell ref="N57:N58"/>
    <mergeCell ref="O57:O58"/>
    <mergeCell ref="P57:P58"/>
    <mergeCell ref="Q57:Q58"/>
    <mergeCell ref="N43:N44"/>
    <mergeCell ref="O43:O44"/>
    <mergeCell ref="P43:P44"/>
    <mergeCell ref="Q43:Q44"/>
    <mergeCell ref="C44:C46"/>
    <mergeCell ref="P45:P48"/>
    <mergeCell ref="Q45:Q48"/>
    <mergeCell ref="C47:C49"/>
    <mergeCell ref="N36:N37"/>
    <mergeCell ref="O36:O37"/>
    <mergeCell ref="P36:P37"/>
    <mergeCell ref="Q36:Q37"/>
    <mergeCell ref="C38:C40"/>
    <mergeCell ref="P38:P40"/>
    <mergeCell ref="Q38:Q40"/>
    <mergeCell ref="A4:F4"/>
    <mergeCell ref="G4:J4"/>
    <mergeCell ref="K4:L4"/>
    <mergeCell ref="A11:A97"/>
    <mergeCell ref="C35:C37"/>
    <mergeCell ref="B41:B49"/>
    <mergeCell ref="C41:C43"/>
    <mergeCell ref="B50:B58"/>
    <mergeCell ref="A1:F1"/>
    <mergeCell ref="G1:J1"/>
    <mergeCell ref="K1:L1"/>
    <mergeCell ref="A2:L2"/>
    <mergeCell ref="A3:F3"/>
    <mergeCell ref="G3:J3"/>
    <mergeCell ref="K3:L3"/>
    <mergeCell ref="C32:C34"/>
    <mergeCell ref="B32:B40"/>
    <mergeCell ref="B59:B67"/>
    <mergeCell ref="C59:C61"/>
    <mergeCell ref="C92:C94"/>
    <mergeCell ref="C23:C25"/>
    <mergeCell ref="C26:C28"/>
    <mergeCell ref="B11:B19"/>
    <mergeCell ref="C11:C13"/>
  </mergeCells>
  <conditionalFormatting sqref="F11:F28">
    <cfRule type="containsText" dxfId="153" priority="9" operator="containsText" text="P'NUT">
      <formula>NOT(ISERROR(SEARCH("P'NUT",F11)))</formula>
    </cfRule>
    <cfRule type="containsText" dxfId="152" priority="10" operator="containsText" text="P'SUP">
      <formula>NOT(ISERROR(SEARCH("P'SUP",F11)))</formula>
    </cfRule>
  </conditionalFormatting>
  <conditionalFormatting sqref="F11:F295">
    <cfRule type="containsText" dxfId="151" priority="5" operator="containsText" text="P'SUP">
      <formula>NOT(ISERROR(SEARCH("P'SUP",F11)))</formula>
    </cfRule>
  </conditionalFormatting>
  <conditionalFormatting sqref="F29:F31">
    <cfRule type="containsText" dxfId="150" priority="1" operator="containsText" text="P'SUP">
      <formula>NOT(ISERROR(SEARCH("P'SUP",F29)))</formula>
    </cfRule>
    <cfRule type="containsText" dxfId="149" priority="4" operator="containsText" text="P'NUT">
      <formula>NOT(ISERROR(SEARCH("P'NUT",F29)))</formula>
    </cfRule>
  </conditionalFormatting>
  <conditionalFormatting sqref="F32:F295">
    <cfRule type="containsText" dxfId="148" priority="12" operator="containsText" text="P'NUT">
      <formula>NOT(ISERROR(SEARCH("P'NUT",F32)))</formula>
    </cfRule>
  </conditionalFormatting>
  <conditionalFormatting sqref="F95:F295">
    <cfRule type="containsText" dxfId="147" priority="23" operator="containsText" text="P'SUP">
      <formula>NOT(ISERROR(SEARCH("P'SUP",F95)))</formula>
    </cfRule>
  </conditionalFormatting>
  <conditionalFormatting sqref="I11:I295">
    <cfRule type="cellIs" dxfId="146" priority="2" operator="greaterThan">
      <formula>0.85</formula>
    </cfRule>
    <cfRule type="cellIs" dxfId="145" priority="3" operator="lessThan">
      <formula>0.85</formula>
    </cfRule>
  </conditionalFormatting>
  <conditionalFormatting sqref="O46:O48">
    <cfRule type="cellIs" dxfId="144" priority="16" operator="lessThan">
      <formula>0.85</formula>
    </cfRule>
  </conditionalFormatting>
  <conditionalFormatting sqref="O38:P40">
    <cfRule type="cellIs" dxfId="143" priority="19" operator="lessThan">
      <formula>0.85</formula>
    </cfRule>
  </conditionalFormatting>
  <conditionalFormatting sqref="O45:P45">
    <cfRule type="cellIs" dxfId="142" priority="18" operator="lessThan">
      <formula>0.85</formula>
    </cfRule>
  </conditionalFormatting>
  <conditionalFormatting sqref="O52:P52 O53:O55">
    <cfRule type="cellIs" dxfId="141" priority="17" operator="lessThan">
      <formula>0.85</formula>
    </cfRule>
  </conditionalFormatting>
  <conditionalFormatting sqref="O59:P59 O60:O62">
    <cfRule type="cellIs" dxfId="140" priority="15" operator="lessThan">
      <formula>0.85</formula>
    </cfRule>
  </conditionalFormatting>
  <conditionalFormatting sqref="O66:P66 O67:O69">
    <cfRule type="cellIs" dxfId="139" priority="14" operator="lessThan">
      <formula>0.85</formula>
    </cfRule>
  </conditionalFormatting>
  <pageMargins left="0.7" right="0.7" top="0.75" bottom="0.75" header="0.3" footer="0.3"/>
  <pageSetup paperSize="9" scale="45" fitToHeight="0"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595767B7-75D7-499F-A737-6A89BFC4EF35}">
          <x14:formula1>
            <xm:f>n!$A$2:$A$6</xm:f>
          </x14:formula1>
          <xm:sqref>P52 P45 P59 P66</xm:sqref>
        </x14:dataValidation>
        <x14:dataValidation type="list" allowBlank="1" showInputMessage="1" showErrorMessage="1" xr:uid="{EDD24B47-F058-42FB-80D3-5CCB8B33F38C}">
          <x14:formula1>
            <xm:f>n!$A$8:$A$10</xm:f>
          </x14:formula1>
          <xm:sqref>F11:F295</xm:sqref>
        </x14:dataValidation>
        <x14:dataValidation type="list" allowBlank="1" showInputMessage="1" showErrorMessage="1" xr:uid="{BFA4FFAA-7149-4807-B51A-90F4C29AA561}">
          <x14:formula1>
            <xm:f>n!$A$1:$A$6</xm:f>
          </x14:formula1>
          <xm:sqref>D11:E295</xm:sqref>
        </x14:dataValidation>
        <x14:dataValidation type="list" allowBlank="1" showInputMessage="1" showErrorMessage="1" xr:uid="{C2A22E0B-04F2-4835-A78D-485492DE1D2F}">
          <x14:formula1>
            <xm:f>n!$B$2:$B$4</xm:f>
          </x14:formula1>
          <xm:sqref>C11:C32 C35:C295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E7696-D395-4910-BF2C-89981B515507}">
  <sheetPr>
    <pageSetUpPr fitToPage="1"/>
  </sheetPr>
  <dimension ref="A1:Q295"/>
  <sheetViews>
    <sheetView zoomScale="70" zoomScaleNormal="70" workbookViewId="0">
      <selection activeCell="N19" sqref="N19"/>
    </sheetView>
  </sheetViews>
  <sheetFormatPr baseColWidth="10" defaultRowHeight="14.4"/>
  <cols>
    <col min="2" max="2" width="16.77734375" customWidth="1"/>
    <col min="3" max="3" width="13.21875" customWidth="1"/>
    <col min="4" max="4" width="14.88671875" customWidth="1"/>
    <col min="5" max="5" width="14.33203125" customWidth="1"/>
    <col min="7" max="7" width="14.21875" style="62" customWidth="1"/>
    <col min="9" max="10" width="14.5546875" customWidth="1"/>
    <col min="11" max="11" width="30.21875" customWidth="1"/>
    <col min="12" max="12" width="30.44140625" customWidth="1"/>
    <col min="14" max="14" width="14.44140625" customWidth="1"/>
    <col min="15" max="15" width="16.77734375" customWidth="1"/>
    <col min="16" max="16" width="15.21875" customWidth="1"/>
    <col min="17" max="17" width="58.5546875" customWidth="1"/>
  </cols>
  <sheetData>
    <row r="1" spans="1:17" ht="38.4" customHeight="1">
      <c r="A1" s="201" t="s">
        <v>1354</v>
      </c>
      <c r="B1" s="201"/>
      <c r="C1" s="201"/>
      <c r="D1" s="201"/>
      <c r="E1" s="201"/>
      <c r="F1" s="201"/>
      <c r="G1" s="201"/>
      <c r="H1" s="201"/>
      <c r="I1" s="201"/>
      <c r="J1" s="201"/>
      <c r="K1" s="246" t="s">
        <v>1228</v>
      </c>
      <c r="L1" s="246"/>
    </row>
    <row r="2" spans="1:17" ht="26.4" customHeight="1">
      <c r="A2" s="210" t="s">
        <v>1227</v>
      </c>
      <c r="B2" s="210"/>
      <c r="C2" s="210"/>
      <c r="D2" s="210"/>
      <c r="E2" s="210"/>
      <c r="F2" s="210"/>
      <c r="G2" s="210"/>
      <c r="H2" s="210"/>
      <c r="I2" s="210"/>
      <c r="J2" s="210"/>
      <c r="K2" s="210"/>
      <c r="L2" s="210"/>
    </row>
    <row r="3" spans="1:17" ht="26.4" customHeight="1">
      <c r="A3" s="221" t="s">
        <v>1210</v>
      </c>
      <c r="B3" s="222"/>
      <c r="C3" s="222"/>
      <c r="D3" s="222"/>
      <c r="E3" s="222"/>
      <c r="F3" s="222"/>
      <c r="G3" s="221" t="s">
        <v>1209</v>
      </c>
      <c r="H3" s="222"/>
      <c r="I3" s="222"/>
      <c r="J3" s="222"/>
      <c r="K3" s="247" t="s">
        <v>1230</v>
      </c>
      <c r="L3" s="247"/>
      <c r="N3" s="67"/>
    </row>
    <row r="4" spans="1:17" ht="63" customHeight="1">
      <c r="A4" s="221" t="s">
        <v>1224</v>
      </c>
      <c r="B4" s="222"/>
      <c r="C4" s="222"/>
      <c r="D4" s="222"/>
      <c r="E4" s="222"/>
      <c r="F4" s="222"/>
      <c r="G4" s="221" t="s">
        <v>1225</v>
      </c>
      <c r="H4" s="222"/>
      <c r="I4" s="222"/>
      <c r="J4" s="222"/>
      <c r="K4" s="221" t="s">
        <v>1226</v>
      </c>
      <c r="L4" s="221"/>
    </row>
    <row r="5" spans="1:17" ht="14.4" customHeight="1"/>
    <row r="6" spans="1:17" hidden="1"/>
    <row r="7" spans="1:17" hidden="1"/>
    <row r="8" spans="1:17" hidden="1"/>
    <row r="9" spans="1:17" ht="24.6" customHeight="1" thickBot="1"/>
    <row r="10" spans="1:17" ht="36.6" customHeight="1" thickTop="1" thickBot="1">
      <c r="A10" s="139" t="s">
        <v>1190</v>
      </c>
      <c r="B10" s="140" t="s">
        <v>1258</v>
      </c>
      <c r="C10" s="141" t="s">
        <v>1257</v>
      </c>
      <c r="D10" s="141" t="s">
        <v>1250</v>
      </c>
      <c r="E10" s="141" t="s">
        <v>1285</v>
      </c>
      <c r="F10" s="141" t="s">
        <v>1246</v>
      </c>
      <c r="G10" s="142" t="s">
        <v>1259</v>
      </c>
      <c r="H10" s="143" t="s">
        <v>1248</v>
      </c>
      <c r="I10" s="143" t="s">
        <v>1249</v>
      </c>
      <c r="J10" s="143" t="s">
        <v>1254</v>
      </c>
      <c r="K10" s="144" t="s">
        <v>1247</v>
      </c>
      <c r="L10" s="145" t="s">
        <v>1255</v>
      </c>
    </row>
    <row r="11" spans="1:17" ht="14.4" customHeight="1">
      <c r="A11" s="252" t="s">
        <v>1361</v>
      </c>
      <c r="B11" s="251">
        <v>45748</v>
      </c>
      <c r="C11" s="243" t="s">
        <v>1198</v>
      </c>
      <c r="D11" s="110" t="s">
        <v>1201</v>
      </c>
      <c r="E11" s="156"/>
      <c r="F11" s="111" t="s">
        <v>1251</v>
      </c>
      <c r="G11" s="107"/>
      <c r="H11" s="108">
        <v>0.33333333333333331</v>
      </c>
      <c r="I11" s="109">
        <f>1-(G11/H11)</f>
        <v>1</v>
      </c>
      <c r="J11" s="109">
        <v>0.9</v>
      </c>
      <c r="K11" s="82"/>
      <c r="L11" s="82"/>
    </row>
    <row r="12" spans="1:17" ht="14.4" customHeight="1">
      <c r="A12" s="253"/>
      <c r="B12" s="244"/>
      <c r="C12" s="244"/>
      <c r="D12" s="110" t="s">
        <v>1201</v>
      </c>
      <c r="E12" s="156"/>
      <c r="F12" s="111" t="s">
        <v>1252</v>
      </c>
      <c r="G12" s="107"/>
      <c r="H12" s="108">
        <v>0.33333333333333331</v>
      </c>
      <c r="I12" s="109">
        <f>1-(G12/H12)</f>
        <v>1</v>
      </c>
      <c r="J12" s="109">
        <v>0.9</v>
      </c>
      <c r="K12" s="82"/>
      <c r="L12" s="82"/>
    </row>
    <row r="13" spans="1:17" ht="14.4" customHeight="1">
      <c r="A13" s="253"/>
      <c r="B13" s="244"/>
      <c r="C13" s="245"/>
      <c r="D13" s="110" t="s">
        <v>1201</v>
      </c>
      <c r="E13" s="157"/>
      <c r="F13" s="114" t="s">
        <v>1253</v>
      </c>
      <c r="G13" s="107"/>
      <c r="H13" s="108">
        <v>0.33333333333333331</v>
      </c>
      <c r="I13" s="109">
        <f t="shared" ref="I13:I64" si="0">1-(G13/H13)</f>
        <v>1</v>
      </c>
      <c r="J13" s="109">
        <v>0.9</v>
      </c>
      <c r="K13" s="82"/>
      <c r="L13" s="82"/>
      <c r="N13" s="258" t="s">
        <v>1447</v>
      </c>
      <c r="O13" s="258"/>
    </row>
    <row r="14" spans="1:17" ht="14.4" customHeight="1">
      <c r="A14" s="253"/>
      <c r="B14" s="244"/>
      <c r="C14" s="248" t="s">
        <v>1196</v>
      </c>
      <c r="D14" s="132"/>
      <c r="E14" s="158"/>
      <c r="F14" s="125" t="s">
        <v>1251</v>
      </c>
      <c r="G14" s="126"/>
      <c r="H14" s="127">
        <v>0.33333333333333298</v>
      </c>
      <c r="I14" s="134">
        <f t="shared" si="0"/>
        <v>1</v>
      </c>
      <c r="J14" s="134">
        <v>0.9</v>
      </c>
      <c r="K14" s="135"/>
      <c r="L14" s="136"/>
    </row>
    <row r="15" spans="1:17" ht="14.4" customHeight="1">
      <c r="A15" s="253"/>
      <c r="B15" s="244"/>
      <c r="C15" s="249"/>
      <c r="D15" s="132"/>
      <c r="E15" s="158"/>
      <c r="F15" s="125" t="s">
        <v>1252</v>
      </c>
      <c r="G15" s="126"/>
      <c r="H15" s="127">
        <v>0.33333333333333298</v>
      </c>
      <c r="I15" s="134">
        <f t="shared" si="0"/>
        <v>1</v>
      </c>
      <c r="J15" s="134">
        <v>0.9</v>
      </c>
      <c r="K15" s="135"/>
      <c r="L15" s="136"/>
      <c r="N15" s="255" t="s">
        <v>1287</v>
      </c>
      <c r="O15" s="255" t="s">
        <v>1288</v>
      </c>
      <c r="P15" s="255" t="s">
        <v>1289</v>
      </c>
      <c r="Q15" s="255" t="s">
        <v>1290</v>
      </c>
    </row>
    <row r="16" spans="1:17" ht="14.4" customHeight="1">
      <c r="A16" s="253"/>
      <c r="B16" s="244"/>
      <c r="C16" s="250"/>
      <c r="D16" s="132"/>
      <c r="E16" s="133"/>
      <c r="F16" s="128" t="s">
        <v>1253</v>
      </c>
      <c r="G16" s="126">
        <v>0.33333333333333331</v>
      </c>
      <c r="H16" s="127">
        <v>0.33333333333333298</v>
      </c>
      <c r="I16" s="134">
        <f t="shared" si="0"/>
        <v>0</v>
      </c>
      <c r="J16" s="134">
        <v>0.9</v>
      </c>
      <c r="K16" s="166" t="s">
        <v>1355</v>
      </c>
      <c r="L16" s="136" t="s">
        <v>1356</v>
      </c>
      <c r="N16" s="255"/>
      <c r="O16" s="255"/>
      <c r="P16" s="255"/>
      <c r="Q16" s="255"/>
    </row>
    <row r="17" spans="1:17" ht="14.4" customHeight="1">
      <c r="A17" s="253"/>
      <c r="B17" s="244"/>
      <c r="C17" s="243" t="s">
        <v>1197</v>
      </c>
      <c r="D17" s="78" t="s">
        <v>1192</v>
      </c>
      <c r="E17" s="159"/>
      <c r="F17" s="111" t="s">
        <v>1251</v>
      </c>
      <c r="G17" s="107"/>
      <c r="H17" s="108">
        <v>0.33333333333333298</v>
      </c>
      <c r="I17" s="109">
        <f t="shared" si="0"/>
        <v>1</v>
      </c>
      <c r="J17" s="109">
        <v>0.9</v>
      </c>
      <c r="K17" s="82"/>
      <c r="L17" s="112"/>
      <c r="N17" s="161" t="s">
        <v>1251</v>
      </c>
      <c r="O17" s="162">
        <f>(I65+I131+I197+I263+I293)/5</f>
        <v>0.98555555555555541</v>
      </c>
      <c r="P17" s="254">
        <f>(O17+O18+O19)/3</f>
        <v>0.8879365079365078</v>
      </c>
      <c r="Q17" s="256" t="s">
        <v>1383</v>
      </c>
    </row>
    <row r="18" spans="1:17" ht="14.4" customHeight="1">
      <c r="A18" s="253"/>
      <c r="B18" s="244"/>
      <c r="C18" s="244"/>
      <c r="D18" s="78" t="s">
        <v>1192</v>
      </c>
      <c r="E18" s="159"/>
      <c r="F18" s="111" t="s">
        <v>1252</v>
      </c>
      <c r="G18" s="107"/>
      <c r="H18" s="108">
        <v>0.33333333333333298</v>
      </c>
      <c r="I18" s="109">
        <f t="shared" si="0"/>
        <v>1</v>
      </c>
      <c r="J18" s="109">
        <v>0.9</v>
      </c>
      <c r="K18" s="82"/>
      <c r="L18" s="82"/>
      <c r="N18" s="161" t="s">
        <v>1252</v>
      </c>
      <c r="O18" s="162">
        <f>(I66+I132+I198+I264+I294)/5</f>
        <v>0.97956349206349214</v>
      </c>
      <c r="P18" s="254"/>
      <c r="Q18" s="257"/>
    </row>
    <row r="19" spans="1:17" ht="15" customHeight="1" thickBot="1">
      <c r="A19" s="253"/>
      <c r="B19" s="245"/>
      <c r="C19" s="245"/>
      <c r="D19" s="78" t="s">
        <v>1192</v>
      </c>
      <c r="E19" s="113"/>
      <c r="F19" s="114" t="s">
        <v>1253</v>
      </c>
      <c r="G19" s="107">
        <v>0.33333333333333331</v>
      </c>
      <c r="H19" s="108">
        <v>0.33333333333333298</v>
      </c>
      <c r="I19" s="109">
        <f t="shared" si="0"/>
        <v>0</v>
      </c>
      <c r="J19" s="109">
        <v>0.9</v>
      </c>
      <c r="K19" s="82" t="s">
        <v>1355</v>
      </c>
      <c r="L19" s="82" t="s">
        <v>1356</v>
      </c>
      <c r="N19" s="161" t="s">
        <v>1253</v>
      </c>
      <c r="O19" s="162">
        <f>(I67+I133+I199+I265+I295)/5</f>
        <v>0.69869047619047608</v>
      </c>
      <c r="P19" s="254"/>
      <c r="Q19" s="257"/>
    </row>
    <row r="20" spans="1:17" ht="14.4" customHeight="1">
      <c r="A20" s="253"/>
      <c r="B20" s="251">
        <v>45749</v>
      </c>
      <c r="C20" s="248" t="s">
        <v>1198</v>
      </c>
      <c r="D20" s="132" t="s">
        <v>1193</v>
      </c>
      <c r="E20" s="158"/>
      <c r="F20" s="125" t="s">
        <v>1251</v>
      </c>
      <c r="G20" s="126"/>
      <c r="H20" s="127">
        <v>0.33333333333333298</v>
      </c>
      <c r="I20" s="134">
        <f t="shared" si="0"/>
        <v>1</v>
      </c>
      <c r="J20" s="134">
        <v>0.9</v>
      </c>
      <c r="K20" s="135"/>
      <c r="L20" s="137"/>
    </row>
    <row r="21" spans="1:17" ht="14.4" customHeight="1">
      <c r="A21" s="253"/>
      <c r="B21" s="244"/>
      <c r="C21" s="249"/>
      <c r="D21" s="132" t="s">
        <v>1193</v>
      </c>
      <c r="E21" s="158"/>
      <c r="F21" s="125" t="s">
        <v>1252</v>
      </c>
      <c r="G21" s="126"/>
      <c r="H21" s="127">
        <v>0.33333333333333298</v>
      </c>
      <c r="I21" s="134">
        <f t="shared" si="0"/>
        <v>1</v>
      </c>
      <c r="J21" s="134">
        <v>0.9</v>
      </c>
      <c r="K21" s="135"/>
      <c r="L21" s="136"/>
    </row>
    <row r="22" spans="1:17" ht="14.4" customHeight="1">
      <c r="A22" s="253"/>
      <c r="B22" s="244"/>
      <c r="C22" s="250"/>
      <c r="D22" s="132" t="s">
        <v>1193</v>
      </c>
      <c r="E22" s="133"/>
      <c r="F22" s="128" t="s">
        <v>1253</v>
      </c>
      <c r="G22" s="126"/>
      <c r="H22" s="127">
        <v>0.33333333333333298</v>
      </c>
      <c r="I22" s="134">
        <f t="shared" si="0"/>
        <v>1</v>
      </c>
      <c r="J22" s="134">
        <v>0.9</v>
      </c>
      <c r="K22" s="133"/>
      <c r="L22" s="136"/>
      <c r="N22" s="255" t="s">
        <v>1287</v>
      </c>
      <c r="O22" s="255" t="s">
        <v>1288</v>
      </c>
      <c r="P22" s="255" t="s">
        <v>1292</v>
      </c>
      <c r="Q22" s="255" t="s">
        <v>1290</v>
      </c>
    </row>
    <row r="23" spans="1:17" ht="14.4" customHeight="1">
      <c r="A23" s="253"/>
      <c r="B23" s="244"/>
      <c r="C23" s="243" t="s">
        <v>1196</v>
      </c>
      <c r="D23" s="78"/>
      <c r="E23" s="159"/>
      <c r="F23" s="111" t="s">
        <v>1251</v>
      </c>
      <c r="G23" s="107"/>
      <c r="H23" s="108">
        <v>0.33333333333333298</v>
      </c>
      <c r="I23" s="109">
        <f t="shared" si="0"/>
        <v>1</v>
      </c>
      <c r="J23" s="109">
        <v>0.9</v>
      </c>
      <c r="K23" s="82"/>
      <c r="L23" s="112"/>
      <c r="N23" s="255"/>
      <c r="O23" s="255"/>
      <c r="P23" s="255"/>
      <c r="Q23" s="255"/>
    </row>
    <row r="24" spans="1:17" ht="14.4" customHeight="1">
      <c r="A24" s="253"/>
      <c r="B24" s="244"/>
      <c r="C24" s="244"/>
      <c r="D24" s="78"/>
      <c r="E24" s="159"/>
      <c r="F24" s="111" t="s">
        <v>1252</v>
      </c>
      <c r="G24" s="107"/>
      <c r="H24" s="108">
        <v>0.33333333333333298</v>
      </c>
      <c r="I24" s="109">
        <f t="shared" si="0"/>
        <v>1</v>
      </c>
      <c r="J24" s="109">
        <v>0.9</v>
      </c>
      <c r="K24" s="82"/>
      <c r="L24" s="82"/>
      <c r="N24" s="161" t="s">
        <v>1251</v>
      </c>
      <c r="O24" s="162" t="e">
        <f>(AVERAGEIFS(I11:I55,D11:D55,P24,F11:F55,N24)+AVERAGEIFS(I68:I112,D68:D112,P24,F68:F112,N24)+AVERAGEIFS(I134:I178,D134:D178,P24,F134:F178,N24))/3</f>
        <v>#DIV/0!</v>
      </c>
      <c r="P24" s="260" t="s">
        <v>1191</v>
      </c>
      <c r="Q24" s="224" t="s">
        <v>1382</v>
      </c>
    </row>
    <row r="25" spans="1:17" ht="14.4" customHeight="1">
      <c r="A25" s="253"/>
      <c r="B25" s="244"/>
      <c r="C25" s="245"/>
      <c r="D25" s="78"/>
      <c r="E25" s="113"/>
      <c r="F25" s="114" t="s">
        <v>1253</v>
      </c>
      <c r="G25" s="107"/>
      <c r="H25" s="108">
        <v>0.33333333333333298</v>
      </c>
      <c r="I25" s="109">
        <f t="shared" si="0"/>
        <v>1</v>
      </c>
      <c r="J25" s="109">
        <v>0.9</v>
      </c>
      <c r="K25" s="82"/>
      <c r="L25" s="82"/>
      <c r="N25" s="161" t="s">
        <v>1252</v>
      </c>
      <c r="O25" s="162" t="e">
        <f>(AVERAGEIFS(I11:I55,D11:D55,P24,F11:F55,N25)+AVERAGEIFS(I68:I112,D68:D112,P24,F68:F112,N25)+AVERAGEIFS(I134:I178,D134:D178,P24,F134:F178,N25))/3</f>
        <v>#DIV/0!</v>
      </c>
      <c r="P25" s="261"/>
      <c r="Q25" s="227"/>
    </row>
    <row r="26" spans="1:17" ht="14.4" customHeight="1">
      <c r="A26" s="253"/>
      <c r="B26" s="244"/>
      <c r="C26" s="248" t="s">
        <v>1197</v>
      </c>
      <c r="D26" s="132" t="s">
        <v>1192</v>
      </c>
      <c r="E26" s="158"/>
      <c r="F26" s="125" t="s">
        <v>1251</v>
      </c>
      <c r="G26" s="126"/>
      <c r="H26" s="127">
        <v>0.33333333333333298</v>
      </c>
      <c r="I26" s="134">
        <f t="shared" si="0"/>
        <v>1</v>
      </c>
      <c r="J26" s="134">
        <v>0.9</v>
      </c>
      <c r="K26" s="135"/>
      <c r="L26" s="137"/>
      <c r="N26" s="161" t="s">
        <v>1253</v>
      </c>
      <c r="O26" s="162" t="e">
        <f>(AVERAGEIFS(I11:I55,D11:D55,P24,F11:F55,N26)+AVERAGEIFS(I68:I112,D68:D112,P24,F68:F112,N26)+AVERAGEIFS(I134:I178,D134:D178,P24,F134:F178,N26))/3</f>
        <v>#DIV/0!</v>
      </c>
      <c r="P26" s="261"/>
      <c r="Q26" s="227"/>
    </row>
    <row r="27" spans="1:17" ht="14.4" customHeight="1">
      <c r="A27" s="253"/>
      <c r="B27" s="244"/>
      <c r="C27" s="249"/>
      <c r="D27" s="132" t="s">
        <v>1192</v>
      </c>
      <c r="E27" s="158"/>
      <c r="F27" s="129" t="s">
        <v>1252</v>
      </c>
      <c r="G27" s="126"/>
      <c r="H27" s="127">
        <v>0.33333333333333298</v>
      </c>
      <c r="I27" s="134">
        <f t="shared" si="0"/>
        <v>1</v>
      </c>
      <c r="J27" s="134">
        <v>0.9</v>
      </c>
      <c r="K27" s="135"/>
      <c r="L27" s="136"/>
      <c r="N27" s="161" t="s">
        <v>1293</v>
      </c>
      <c r="O27" s="162" t="e">
        <f>(O24+O25+O26)/3</f>
        <v>#DIV/0!</v>
      </c>
      <c r="P27" s="261"/>
      <c r="Q27" s="227"/>
    </row>
    <row r="28" spans="1:17" ht="14.4" customHeight="1" thickBot="1">
      <c r="A28" s="253"/>
      <c r="B28" s="245"/>
      <c r="C28" s="250"/>
      <c r="D28" s="132" t="s">
        <v>1192</v>
      </c>
      <c r="E28" s="133"/>
      <c r="F28" s="128" t="s">
        <v>1253</v>
      </c>
      <c r="G28" s="126"/>
      <c r="H28" s="131">
        <v>0.33333333333333298</v>
      </c>
      <c r="I28" s="138">
        <f t="shared" si="0"/>
        <v>1</v>
      </c>
      <c r="J28" s="134">
        <v>0.9</v>
      </c>
      <c r="K28" s="133"/>
      <c r="L28" s="136"/>
    </row>
    <row r="29" spans="1:17" ht="15" customHeight="1">
      <c r="A29" s="253"/>
      <c r="B29" s="251">
        <v>45750</v>
      </c>
      <c r="C29" s="243" t="s">
        <v>1198</v>
      </c>
      <c r="D29" s="78" t="s">
        <v>1194</v>
      </c>
      <c r="E29" s="159"/>
      <c r="F29" s="111" t="s">
        <v>1251</v>
      </c>
      <c r="G29" s="107"/>
      <c r="H29" s="108">
        <v>0.33333333333333298</v>
      </c>
      <c r="I29" s="109">
        <f t="shared" si="0"/>
        <v>1</v>
      </c>
      <c r="J29" s="109">
        <v>0.9</v>
      </c>
      <c r="K29" s="82"/>
      <c r="L29" s="112"/>
      <c r="N29" s="255" t="s">
        <v>1287</v>
      </c>
      <c r="O29" s="255" t="s">
        <v>1288</v>
      </c>
      <c r="P29" s="255" t="s">
        <v>1292</v>
      </c>
      <c r="Q29" s="255" t="s">
        <v>1290</v>
      </c>
    </row>
    <row r="30" spans="1:17" ht="15" customHeight="1">
      <c r="A30" s="253"/>
      <c r="B30" s="244"/>
      <c r="C30" s="244"/>
      <c r="D30" s="78" t="s">
        <v>1194</v>
      </c>
      <c r="E30" s="159"/>
      <c r="F30" s="106" t="s">
        <v>1252</v>
      </c>
      <c r="G30" s="107"/>
      <c r="H30" s="108">
        <v>0.33333333333333298</v>
      </c>
      <c r="I30" s="109">
        <f t="shared" si="0"/>
        <v>1</v>
      </c>
      <c r="J30" s="109">
        <v>0.9</v>
      </c>
      <c r="K30" s="82"/>
      <c r="L30" s="82"/>
      <c r="N30" s="255"/>
      <c r="O30" s="255"/>
      <c r="P30" s="255"/>
      <c r="Q30" s="255"/>
    </row>
    <row r="31" spans="1:17" ht="15" customHeight="1">
      <c r="A31" s="253"/>
      <c r="B31" s="244"/>
      <c r="C31" s="245"/>
      <c r="D31" s="78" t="s">
        <v>1194</v>
      </c>
      <c r="E31" s="113"/>
      <c r="F31" s="114" t="s">
        <v>1253</v>
      </c>
      <c r="G31" s="107"/>
      <c r="H31" s="108">
        <v>0.33333333333333298</v>
      </c>
      <c r="I31" s="109">
        <f t="shared" si="0"/>
        <v>1</v>
      </c>
      <c r="J31" s="109">
        <v>0.9</v>
      </c>
      <c r="K31" s="82"/>
      <c r="L31" s="82"/>
      <c r="N31" s="161" t="s">
        <v>1251</v>
      </c>
      <c r="O31" s="162">
        <f>(AVERAGEIFS(I11:I64,D11:D64,P31,F11:F64,N31)+AVERAGEIFS(I68:I130,D68:D130,P31,F68:F130,N31)+AVERAGEIFS(I134:I196,D134:D196,P31,F134:F196,N31)+AVERAGEIFS(I200:I262,D200:D262,P31,F200:F262,N31)+AVERAGEIFS(I266:I292,D266:D292,P31,F266:F292,N31))/5</f>
        <v>0.93447916666666653</v>
      </c>
      <c r="P31" s="254" t="s">
        <v>1194</v>
      </c>
      <c r="Q31" s="259"/>
    </row>
    <row r="32" spans="1:17" ht="15" customHeight="1">
      <c r="A32" s="253"/>
      <c r="B32" s="244"/>
      <c r="C32" s="248" t="s">
        <v>1196</v>
      </c>
      <c r="D32" s="132" t="s">
        <v>1193</v>
      </c>
      <c r="E32" s="158"/>
      <c r="F32" s="125" t="s">
        <v>1251</v>
      </c>
      <c r="G32" s="126"/>
      <c r="H32" s="127">
        <v>0.33333333333333298</v>
      </c>
      <c r="I32" s="134">
        <f t="shared" si="0"/>
        <v>1</v>
      </c>
      <c r="J32" s="134">
        <v>0.9</v>
      </c>
      <c r="K32" s="135"/>
      <c r="L32" s="137"/>
      <c r="N32" s="161" t="s">
        <v>1252</v>
      </c>
      <c r="O32" s="162">
        <f>(AVERAGEIFS(I11:I64,D11:D64,P31,F11:F64,N32)+AVERAGEIFS(I68:I130,D68:D130,P31,F68:F130,N32)+AVERAGEIFS(I134:I196,D134:D196,P31,F134:F196,N32)+AVERAGEIFS(I200:I262,D200:D262,P31,F200:F262,N32)+AVERAGEIFS(I266:I292,D266:D292,P31,F266:F292,N32))/5</f>
        <v>0.93866666666666665</v>
      </c>
      <c r="P32" s="254"/>
      <c r="Q32" s="259"/>
    </row>
    <row r="33" spans="1:17" ht="15" customHeight="1">
      <c r="A33" s="253"/>
      <c r="B33" s="244"/>
      <c r="C33" s="249"/>
      <c r="D33" s="132" t="s">
        <v>1193</v>
      </c>
      <c r="E33" s="158"/>
      <c r="F33" s="129" t="s">
        <v>1252</v>
      </c>
      <c r="G33" s="126"/>
      <c r="H33" s="127">
        <v>0.33333333333333298</v>
      </c>
      <c r="I33" s="134">
        <f t="shared" si="0"/>
        <v>1</v>
      </c>
      <c r="J33" s="134">
        <v>0.9</v>
      </c>
      <c r="K33" s="135"/>
      <c r="L33" s="136"/>
      <c r="N33" s="161" t="s">
        <v>1253</v>
      </c>
      <c r="O33" s="162">
        <f>(AVERAGEIFS(I11:I64,D11:D64,P31,F11:F64,N33)+AVERAGEIFS(I68:I130,D68:D130,P31,F68:F130,N33)+AVERAGEIFS(I134:I196,D134:D196,P31,F134:F196,N33)+AVERAGEIFS(I200:I262,D200:D262,P31,F200:F262,N33)+AVERAGEIFS(I266:I292,D266:D292,P31,F266:F292,N33))/5</f>
        <v>0.7929166666666666</v>
      </c>
      <c r="P33" s="254"/>
      <c r="Q33" s="259"/>
    </row>
    <row r="34" spans="1:17" ht="15" customHeight="1">
      <c r="A34" s="253"/>
      <c r="B34" s="244"/>
      <c r="C34" s="250"/>
      <c r="D34" s="132" t="s">
        <v>1193</v>
      </c>
      <c r="E34" s="133"/>
      <c r="F34" s="128" t="s">
        <v>1253</v>
      </c>
      <c r="G34" s="126"/>
      <c r="H34" s="127">
        <v>0.33333333333333298</v>
      </c>
      <c r="I34" s="134">
        <f t="shared" si="0"/>
        <v>1</v>
      </c>
      <c r="J34" s="134">
        <v>0.9</v>
      </c>
      <c r="K34" s="133"/>
      <c r="L34" s="136"/>
      <c r="N34" s="161" t="s">
        <v>1293</v>
      </c>
      <c r="O34" s="162">
        <f>(O31+O32+O33)/3</f>
        <v>0.88868749999999996</v>
      </c>
      <c r="P34" s="254"/>
      <c r="Q34" s="259"/>
    </row>
    <row r="35" spans="1:17" ht="15" customHeight="1">
      <c r="A35" s="253"/>
      <c r="B35" s="244"/>
      <c r="C35" s="243" t="s">
        <v>1197</v>
      </c>
      <c r="D35" s="78"/>
      <c r="E35" s="159"/>
      <c r="F35" s="111" t="s">
        <v>1251</v>
      </c>
      <c r="G35" s="107"/>
      <c r="H35" s="108">
        <v>0.33333333333333298</v>
      </c>
      <c r="I35" s="109">
        <f t="shared" si="0"/>
        <v>1</v>
      </c>
      <c r="J35" s="109">
        <v>0.9</v>
      </c>
      <c r="K35" s="82"/>
      <c r="L35" s="112"/>
    </row>
    <row r="36" spans="1:17" ht="15" customHeight="1">
      <c r="A36" s="253"/>
      <c r="B36" s="244"/>
      <c r="C36" s="244"/>
      <c r="D36" s="78"/>
      <c r="E36" s="159"/>
      <c r="F36" s="106" t="s">
        <v>1252</v>
      </c>
      <c r="G36" s="107"/>
      <c r="H36" s="108">
        <v>0.33333333333333298</v>
      </c>
      <c r="I36" s="109">
        <f t="shared" si="0"/>
        <v>1</v>
      </c>
      <c r="J36" s="109">
        <v>0.9</v>
      </c>
      <c r="K36" s="82"/>
      <c r="L36" s="82"/>
      <c r="N36" s="255" t="s">
        <v>1287</v>
      </c>
      <c r="O36" s="255" t="s">
        <v>1288</v>
      </c>
      <c r="P36" s="255" t="s">
        <v>1292</v>
      </c>
      <c r="Q36" s="255" t="s">
        <v>1290</v>
      </c>
    </row>
    <row r="37" spans="1:17" ht="15.6" customHeight="1" thickBot="1">
      <c r="A37" s="253"/>
      <c r="B37" s="245"/>
      <c r="C37" s="245"/>
      <c r="D37" s="78"/>
      <c r="E37" s="113"/>
      <c r="F37" s="114" t="s">
        <v>1253</v>
      </c>
      <c r="G37" s="107"/>
      <c r="H37" s="108">
        <v>0.33333333333333298</v>
      </c>
      <c r="I37" s="109">
        <f t="shared" si="0"/>
        <v>1</v>
      </c>
      <c r="J37" s="109">
        <v>0.9</v>
      </c>
      <c r="K37" s="82"/>
      <c r="L37" s="82"/>
      <c r="N37" s="255"/>
      <c r="O37" s="255"/>
      <c r="P37" s="255"/>
      <c r="Q37" s="255"/>
    </row>
    <row r="38" spans="1:17" ht="15" customHeight="1">
      <c r="A38" s="253"/>
      <c r="B38" s="251">
        <v>45751</v>
      </c>
      <c r="C38" s="248" t="s">
        <v>1198</v>
      </c>
      <c r="D38" s="132" t="s">
        <v>1194</v>
      </c>
      <c r="E38" s="158"/>
      <c r="F38" s="125" t="s">
        <v>1251</v>
      </c>
      <c r="G38" s="126"/>
      <c r="H38" s="127">
        <v>0.33333333333333298</v>
      </c>
      <c r="I38" s="134">
        <f t="shared" si="0"/>
        <v>1</v>
      </c>
      <c r="J38" s="134">
        <v>0.9</v>
      </c>
      <c r="K38" s="135"/>
      <c r="L38" s="137"/>
      <c r="N38" s="161" t="s">
        <v>1251</v>
      </c>
      <c r="O38" s="162">
        <f>(AVERAGEIFS(I11:I64,D11:D64,P38,F11:F64,N38)+AVERAGEIFS(I68:I130,D68:D130,P38,F68:F130,N38)+AVERAGEIFS(I134:I196,D134:D196,P38,F134:F196,N38)+AVERAGEIFS(I200:I262,D200:D262,P38,F200:F262,N38)+AVERAGEIFS(I266:I292,D266:D292,P38,F266:F292,N38))/5</f>
        <v>0.99062499999999998</v>
      </c>
      <c r="P38" s="254" t="s">
        <v>1193</v>
      </c>
      <c r="Q38" s="259"/>
    </row>
    <row r="39" spans="1:17" ht="15" customHeight="1">
      <c r="A39" s="253"/>
      <c r="B39" s="244"/>
      <c r="C39" s="249"/>
      <c r="D39" s="132" t="s">
        <v>1194</v>
      </c>
      <c r="E39" s="158"/>
      <c r="F39" s="129" t="s">
        <v>1252</v>
      </c>
      <c r="G39" s="126"/>
      <c r="H39" s="127">
        <v>0.33333333333333298</v>
      </c>
      <c r="I39" s="134">
        <f t="shared" si="0"/>
        <v>1</v>
      </c>
      <c r="J39" s="134">
        <v>0.9</v>
      </c>
      <c r="K39" s="135"/>
      <c r="L39" s="136"/>
      <c r="N39" s="161" t="s">
        <v>1252</v>
      </c>
      <c r="O39" s="162">
        <f>(AVERAGEIFS(I11:I64,D11:D64,P38,F11:F64,N39)+AVERAGEIFS(I68:I130,D68:D130,P38,F68:F130,N39)+AVERAGEIFS(I134:I196,D134:D196,P38,F134:F196,N39)+AVERAGEIFS(I200:I262,D200:D262,P38,F200:F262,N39)+AVERAGEIFS(I266:I292,D266:D292,P38,F266:F292,N39))/5</f>
        <v>0.97599999999999998</v>
      </c>
      <c r="P39" s="254"/>
      <c r="Q39" s="259"/>
    </row>
    <row r="40" spans="1:17" ht="15" customHeight="1">
      <c r="A40" s="253"/>
      <c r="B40" s="244"/>
      <c r="C40" s="250"/>
      <c r="D40" s="132" t="s">
        <v>1194</v>
      </c>
      <c r="E40" s="133"/>
      <c r="F40" s="128" t="s">
        <v>1253</v>
      </c>
      <c r="G40" s="126"/>
      <c r="H40" s="127">
        <v>0.33333333333333298</v>
      </c>
      <c r="I40" s="134">
        <f t="shared" si="0"/>
        <v>1</v>
      </c>
      <c r="J40" s="134">
        <v>0.9</v>
      </c>
      <c r="K40" s="133"/>
      <c r="L40" s="136"/>
      <c r="N40" s="161" t="s">
        <v>1253</v>
      </c>
      <c r="O40" s="162">
        <f>(AVERAGEIFS(I11:I64,D11:D64,P38,F11:F64,N40)+AVERAGEIFS(I68:I130,D68:D130,P38,F68:F130,N40)+AVERAGEIFS(I134:I196,D134:D196,P38,F134:F196,N40)+AVERAGEIFS(I200:I262,D200:D262,P38,F200:F262,N40)+AVERAGEIFS(I266:I292,D266:D292,P38,F266:F292,N40))/5</f>
        <v>0.61083333333333312</v>
      </c>
      <c r="P40" s="254"/>
      <c r="Q40" s="259"/>
    </row>
    <row r="41" spans="1:17" ht="15" customHeight="1">
      <c r="A41" s="253"/>
      <c r="B41" s="244"/>
      <c r="C41" s="243" t="s">
        <v>1196</v>
      </c>
      <c r="D41" s="78" t="s">
        <v>1193</v>
      </c>
      <c r="E41" s="159"/>
      <c r="F41" s="111" t="s">
        <v>1251</v>
      </c>
      <c r="G41" s="107"/>
      <c r="H41" s="108">
        <v>0.33333333333333298</v>
      </c>
      <c r="I41" s="109">
        <f t="shared" si="0"/>
        <v>1</v>
      </c>
      <c r="J41" s="109">
        <v>0.9</v>
      </c>
      <c r="K41" s="82"/>
      <c r="L41" s="112"/>
      <c r="N41" s="161" t="s">
        <v>1293</v>
      </c>
      <c r="O41" s="162">
        <f>(O38+O39+O40)/3</f>
        <v>0.85915277777777777</v>
      </c>
      <c r="P41" s="254"/>
      <c r="Q41" s="259"/>
    </row>
    <row r="42" spans="1:17" ht="15" customHeight="1">
      <c r="A42" s="253"/>
      <c r="B42" s="244"/>
      <c r="C42" s="244"/>
      <c r="D42" s="78" t="s">
        <v>1193</v>
      </c>
      <c r="E42" s="159"/>
      <c r="F42" s="106" t="s">
        <v>1252</v>
      </c>
      <c r="G42" s="107"/>
      <c r="H42" s="108">
        <v>0.33333333333333298</v>
      </c>
      <c r="I42" s="109">
        <f t="shared" si="0"/>
        <v>1</v>
      </c>
      <c r="J42" s="109">
        <v>0.9</v>
      </c>
      <c r="K42" s="82"/>
      <c r="L42" s="82"/>
    </row>
    <row r="43" spans="1:17" ht="15" customHeight="1">
      <c r="A43" s="253"/>
      <c r="B43" s="244"/>
      <c r="C43" s="245"/>
      <c r="D43" s="78" t="s">
        <v>1193</v>
      </c>
      <c r="E43" s="113"/>
      <c r="F43" s="114" t="s">
        <v>1253</v>
      </c>
      <c r="G43" s="107"/>
      <c r="H43" s="108">
        <v>0.33333333333333298</v>
      </c>
      <c r="I43" s="109">
        <f t="shared" si="0"/>
        <v>1</v>
      </c>
      <c r="J43" s="109">
        <v>0.9</v>
      </c>
      <c r="K43" s="82"/>
      <c r="L43" s="82"/>
      <c r="N43" s="255" t="s">
        <v>1287</v>
      </c>
      <c r="O43" s="255" t="s">
        <v>1288</v>
      </c>
      <c r="P43" s="255" t="s">
        <v>1292</v>
      </c>
      <c r="Q43" s="255" t="s">
        <v>1290</v>
      </c>
    </row>
    <row r="44" spans="1:17" ht="15" customHeight="1">
      <c r="A44" s="253"/>
      <c r="B44" s="244"/>
      <c r="C44" s="248" t="s">
        <v>1197</v>
      </c>
      <c r="D44" s="132"/>
      <c r="E44" s="158"/>
      <c r="F44" s="125" t="s">
        <v>1251</v>
      </c>
      <c r="G44" s="126"/>
      <c r="H44" s="127">
        <v>0.33333333333333298</v>
      </c>
      <c r="I44" s="134">
        <f t="shared" si="0"/>
        <v>1</v>
      </c>
      <c r="J44" s="134">
        <v>0.9</v>
      </c>
      <c r="K44" s="135"/>
      <c r="L44" s="137"/>
      <c r="N44" s="255"/>
      <c r="O44" s="255"/>
      <c r="P44" s="255"/>
      <c r="Q44" s="255"/>
    </row>
    <row r="45" spans="1:17" ht="15" customHeight="1">
      <c r="A45" s="253"/>
      <c r="B45" s="244"/>
      <c r="C45" s="249"/>
      <c r="D45" s="132"/>
      <c r="E45" s="158"/>
      <c r="F45" s="129" t="s">
        <v>1252</v>
      </c>
      <c r="G45" s="126"/>
      <c r="H45" s="127">
        <v>0.33333333333333298</v>
      </c>
      <c r="I45" s="134">
        <f t="shared" si="0"/>
        <v>1</v>
      </c>
      <c r="J45" s="134">
        <v>0.9</v>
      </c>
      <c r="K45" s="135"/>
      <c r="L45" s="136"/>
      <c r="N45" s="161" t="s">
        <v>1251</v>
      </c>
      <c r="O45" s="162">
        <f>(AVERAGEIFS(I11:I64,D11:D64,P45,F11:F64,N45)+AVERAGEIFS(I68:I130,D68:D130,P45,F68:F130,N45)+AVERAGEIFS(I134:I196,D134:D196,P45,F134:F196,N45)+AVERAGEIFS(I200:I262,D200:D262,P45,F200:F262,N45)+AVERAGEIFS(I266:I292,D266:D292,P45,F266:F292,N45))/5</f>
        <v>1</v>
      </c>
      <c r="P45" s="254" t="s">
        <v>1192</v>
      </c>
      <c r="Q45" s="259"/>
    </row>
    <row r="46" spans="1:17" ht="15.6" customHeight="1" thickBot="1">
      <c r="A46" s="253"/>
      <c r="B46" s="245"/>
      <c r="C46" s="250"/>
      <c r="D46" s="132"/>
      <c r="E46" s="133"/>
      <c r="F46" s="128" t="s">
        <v>1253</v>
      </c>
      <c r="G46" s="126"/>
      <c r="H46" s="127">
        <v>0.33333333333333298</v>
      </c>
      <c r="I46" s="134">
        <f t="shared" si="0"/>
        <v>1</v>
      </c>
      <c r="J46" s="134">
        <v>0.9</v>
      </c>
      <c r="K46" s="133"/>
      <c r="L46" s="136"/>
      <c r="N46" s="161" t="s">
        <v>1252</v>
      </c>
      <c r="O46" s="162">
        <f>(AVERAGEIFS(I11:I64,D11:D64,P45,F11:F64,N46)+AVERAGEIFS(I68:I130,D68:D130,P45,F68:F130,N46)+AVERAGEIFS(I134:I196,D134:D196,P45,F134:F196,N46)+AVERAGEIFS(I200:I262,D200:D262,P45,F200:F262,N46)+AVERAGEIFS(I266:I292,D266:D292,P45,F266:F292,N46))/5</f>
        <v>1</v>
      </c>
      <c r="P46" s="254"/>
      <c r="Q46" s="259"/>
    </row>
    <row r="47" spans="1:17" ht="15" customHeight="1">
      <c r="A47" s="253"/>
      <c r="B47" s="251">
        <v>45752</v>
      </c>
      <c r="C47" s="243" t="s">
        <v>1198</v>
      </c>
      <c r="D47" s="78" t="s">
        <v>1192</v>
      </c>
      <c r="E47" s="159"/>
      <c r="F47" s="111" t="s">
        <v>1251</v>
      </c>
      <c r="G47" s="107"/>
      <c r="H47" s="108">
        <v>0.33333333333333298</v>
      </c>
      <c r="I47" s="109">
        <f t="shared" si="0"/>
        <v>1</v>
      </c>
      <c r="J47" s="109">
        <v>0.9</v>
      </c>
      <c r="K47" s="82"/>
      <c r="L47" s="112"/>
      <c r="N47" s="161" t="s">
        <v>1253</v>
      </c>
      <c r="O47" s="162">
        <f>(AVERAGEIFS(I11:I64,D11:D64,P45,F11:F64,N47)+AVERAGEIFS(I68:I130,D68:D130,P45,F68:F130,N47)+AVERAGEIFS(I134:I196,D134:D196,P45,F134:F196,N47)+AVERAGEIFS(I200:I262,D200:D262,P45,F200:F262,N47)+AVERAGEIFS(I266:I292,D266:D292,P45,F266:F292,N47))/5</f>
        <v>0.515625</v>
      </c>
      <c r="P47" s="254"/>
      <c r="Q47" s="259"/>
    </row>
    <row r="48" spans="1:17" ht="15" customHeight="1">
      <c r="A48" s="253"/>
      <c r="B48" s="244"/>
      <c r="C48" s="244"/>
      <c r="D48" s="78" t="s">
        <v>1192</v>
      </c>
      <c r="E48" s="159"/>
      <c r="F48" s="106" t="s">
        <v>1252</v>
      </c>
      <c r="G48" s="107"/>
      <c r="H48" s="108">
        <v>0.33333333333333298</v>
      </c>
      <c r="I48" s="109">
        <f t="shared" si="0"/>
        <v>1</v>
      </c>
      <c r="J48" s="109">
        <v>0.9</v>
      </c>
      <c r="K48" s="82"/>
      <c r="L48" s="82"/>
      <c r="N48" s="161" t="s">
        <v>1293</v>
      </c>
      <c r="O48" s="162">
        <f>(O45+O46+O47)/3</f>
        <v>0.83854166666666663</v>
      </c>
      <c r="P48" s="254"/>
      <c r="Q48" s="259"/>
    </row>
    <row r="49" spans="1:12" ht="15" customHeight="1">
      <c r="A49" s="253"/>
      <c r="B49" s="244"/>
      <c r="C49" s="245"/>
      <c r="D49" s="78" t="s">
        <v>1192</v>
      </c>
      <c r="E49" s="113"/>
      <c r="F49" s="114" t="s">
        <v>1253</v>
      </c>
      <c r="G49" s="107"/>
      <c r="H49" s="108">
        <v>0.33333333333333298</v>
      </c>
      <c r="I49" s="109">
        <f t="shared" si="0"/>
        <v>1</v>
      </c>
      <c r="J49" s="109">
        <v>0.9</v>
      </c>
      <c r="K49" s="82"/>
      <c r="L49" s="82"/>
    </row>
    <row r="50" spans="1:12" ht="15" customHeight="1">
      <c r="A50" s="253"/>
      <c r="B50" s="244"/>
      <c r="C50" s="248" t="s">
        <v>1196</v>
      </c>
      <c r="D50" s="132" t="s">
        <v>1194</v>
      </c>
      <c r="E50" s="158"/>
      <c r="F50" s="125" t="s">
        <v>1251</v>
      </c>
      <c r="G50" s="126"/>
      <c r="H50" s="127">
        <v>0.33333333333333298</v>
      </c>
      <c r="I50" s="134">
        <f t="shared" si="0"/>
        <v>1</v>
      </c>
      <c r="J50" s="134">
        <v>0.9</v>
      </c>
      <c r="K50" s="135"/>
      <c r="L50" s="137"/>
    </row>
    <row r="51" spans="1:12" ht="15" customHeight="1">
      <c r="A51" s="253"/>
      <c r="B51" s="244"/>
      <c r="C51" s="249"/>
      <c r="D51" s="132" t="s">
        <v>1194</v>
      </c>
      <c r="E51" s="158"/>
      <c r="F51" s="129" t="s">
        <v>1252</v>
      </c>
      <c r="G51" s="126"/>
      <c r="H51" s="127">
        <v>0.33333333333333298</v>
      </c>
      <c r="I51" s="134">
        <f t="shared" si="0"/>
        <v>1</v>
      </c>
      <c r="J51" s="134">
        <v>0.9</v>
      </c>
      <c r="K51" s="135"/>
      <c r="L51" s="136"/>
    </row>
    <row r="52" spans="1:12" ht="15" customHeight="1">
      <c r="A52" s="253"/>
      <c r="B52" s="244"/>
      <c r="C52" s="250"/>
      <c r="D52" s="132" t="s">
        <v>1194</v>
      </c>
      <c r="E52" s="133"/>
      <c r="F52" s="128" t="s">
        <v>1253</v>
      </c>
      <c r="G52" s="126"/>
      <c r="H52" s="127">
        <v>0.33333333333333298</v>
      </c>
      <c r="I52" s="134">
        <f t="shared" si="0"/>
        <v>1</v>
      </c>
      <c r="J52" s="134">
        <v>0.9</v>
      </c>
      <c r="K52" s="133"/>
      <c r="L52" s="136"/>
    </row>
    <row r="53" spans="1:12" ht="15" customHeight="1">
      <c r="A53" s="253"/>
      <c r="B53" s="244"/>
      <c r="C53" s="243" t="s">
        <v>1197</v>
      </c>
      <c r="D53" s="78" t="s">
        <v>1194</v>
      </c>
      <c r="E53" s="159"/>
      <c r="F53" s="111" t="s">
        <v>1251</v>
      </c>
      <c r="G53" s="107"/>
      <c r="H53" s="108">
        <v>0.33333333333333298</v>
      </c>
      <c r="I53" s="109">
        <f t="shared" si="0"/>
        <v>1</v>
      </c>
      <c r="J53" s="109">
        <v>0.9</v>
      </c>
      <c r="K53" s="82"/>
      <c r="L53" s="82"/>
    </row>
    <row r="54" spans="1:12" ht="15" customHeight="1">
      <c r="A54" s="253"/>
      <c r="B54" s="244"/>
      <c r="C54" s="244"/>
      <c r="D54" s="78" t="s">
        <v>1194</v>
      </c>
      <c r="E54" s="159"/>
      <c r="F54" s="106" t="s">
        <v>1252</v>
      </c>
      <c r="G54" s="107"/>
      <c r="H54" s="108">
        <v>0.33333333333333298</v>
      </c>
      <c r="I54" s="109">
        <f t="shared" si="0"/>
        <v>1</v>
      </c>
      <c r="J54" s="109">
        <v>0.9</v>
      </c>
      <c r="K54" s="82"/>
      <c r="L54" s="82"/>
    </row>
    <row r="55" spans="1:12" ht="15.6" customHeight="1" thickBot="1">
      <c r="A55" s="253"/>
      <c r="B55" s="245"/>
      <c r="C55" s="245"/>
      <c r="D55" s="78" t="s">
        <v>1194</v>
      </c>
      <c r="E55" s="113"/>
      <c r="F55" s="114" t="s">
        <v>1253</v>
      </c>
      <c r="G55" s="107"/>
      <c r="H55" s="123">
        <v>0.33333333333333298</v>
      </c>
      <c r="I55" s="109">
        <f t="shared" si="0"/>
        <v>1</v>
      </c>
      <c r="J55" s="109">
        <v>0.9</v>
      </c>
      <c r="K55" s="82"/>
      <c r="L55" s="82"/>
    </row>
    <row r="56" spans="1:12" ht="15.6" customHeight="1">
      <c r="A56" s="253"/>
      <c r="B56" s="251">
        <v>45753</v>
      </c>
      <c r="C56" s="243" t="s">
        <v>1198</v>
      </c>
      <c r="D56" s="78" t="s">
        <v>1192</v>
      </c>
      <c r="E56" s="159"/>
      <c r="F56" s="111" t="s">
        <v>1251</v>
      </c>
      <c r="G56" s="107"/>
      <c r="H56" s="108">
        <v>0.33333333333333298</v>
      </c>
      <c r="I56" s="109">
        <f t="shared" si="0"/>
        <v>1</v>
      </c>
      <c r="J56" s="109">
        <v>0.9</v>
      </c>
      <c r="K56" s="82"/>
      <c r="L56" s="112"/>
    </row>
    <row r="57" spans="1:12" ht="15.6" customHeight="1">
      <c r="A57" s="253"/>
      <c r="B57" s="244"/>
      <c r="C57" s="244"/>
      <c r="D57" s="78" t="s">
        <v>1192</v>
      </c>
      <c r="E57" s="159"/>
      <c r="F57" s="106" t="s">
        <v>1252</v>
      </c>
      <c r="G57" s="107"/>
      <c r="H57" s="108">
        <v>0.33333333333333298</v>
      </c>
      <c r="I57" s="109">
        <f t="shared" si="0"/>
        <v>1</v>
      </c>
      <c r="J57" s="109">
        <v>0.9</v>
      </c>
      <c r="K57" s="82"/>
      <c r="L57" s="82"/>
    </row>
    <row r="58" spans="1:12" ht="15.6" customHeight="1">
      <c r="A58" s="253"/>
      <c r="B58" s="244"/>
      <c r="C58" s="245"/>
      <c r="D58" s="78" t="s">
        <v>1192</v>
      </c>
      <c r="E58" s="113"/>
      <c r="F58" s="114" t="s">
        <v>1253</v>
      </c>
      <c r="G58" s="107"/>
      <c r="H58" s="123">
        <v>0.33333333333333298</v>
      </c>
      <c r="I58" s="109">
        <f t="shared" si="0"/>
        <v>1</v>
      </c>
      <c r="J58" s="109">
        <v>0.9</v>
      </c>
      <c r="K58" s="82"/>
      <c r="L58" s="82"/>
    </row>
    <row r="59" spans="1:12" ht="15.6" customHeight="1">
      <c r="A59" s="253"/>
      <c r="B59" s="244"/>
      <c r="C59" s="248" t="s">
        <v>1196</v>
      </c>
      <c r="D59" s="132" t="s">
        <v>1194</v>
      </c>
      <c r="E59" s="158"/>
      <c r="F59" s="125" t="s">
        <v>1251</v>
      </c>
      <c r="G59" s="126"/>
      <c r="H59" s="108">
        <v>0.33333333333333298</v>
      </c>
      <c r="I59" s="109">
        <f t="shared" si="0"/>
        <v>1</v>
      </c>
      <c r="J59" s="134">
        <v>0.9</v>
      </c>
      <c r="K59" s="135"/>
      <c r="L59" s="137"/>
    </row>
    <row r="60" spans="1:12" ht="15.6" customHeight="1">
      <c r="A60" s="253"/>
      <c r="B60" s="244"/>
      <c r="C60" s="249"/>
      <c r="D60" s="132" t="s">
        <v>1194</v>
      </c>
      <c r="E60" s="158"/>
      <c r="F60" s="129" t="s">
        <v>1252</v>
      </c>
      <c r="G60" s="126"/>
      <c r="H60" s="108">
        <v>0.33333333333333298</v>
      </c>
      <c r="I60" s="109">
        <f t="shared" si="0"/>
        <v>1</v>
      </c>
      <c r="J60" s="134">
        <v>0.9</v>
      </c>
      <c r="K60" s="135"/>
      <c r="L60" s="136"/>
    </row>
    <row r="61" spans="1:12" ht="15.6" customHeight="1">
      <c r="A61" s="253"/>
      <c r="B61" s="244"/>
      <c r="C61" s="250"/>
      <c r="D61" s="132" t="s">
        <v>1194</v>
      </c>
      <c r="E61" s="133"/>
      <c r="F61" s="128" t="s">
        <v>1253</v>
      </c>
      <c r="G61" s="126"/>
      <c r="H61" s="123">
        <v>0.33333333333333298</v>
      </c>
      <c r="I61" s="109">
        <f t="shared" si="0"/>
        <v>1</v>
      </c>
      <c r="J61" s="134">
        <v>0.9</v>
      </c>
      <c r="K61" s="135"/>
      <c r="L61" s="136"/>
    </row>
    <row r="62" spans="1:12" ht="15.6" customHeight="1">
      <c r="A62" s="253"/>
      <c r="B62" s="244"/>
      <c r="C62" s="243" t="s">
        <v>1197</v>
      </c>
      <c r="D62" s="78" t="s">
        <v>1193</v>
      </c>
      <c r="E62" s="159"/>
      <c r="F62" s="111" t="s">
        <v>1251</v>
      </c>
      <c r="G62" s="107"/>
      <c r="H62" s="108">
        <v>0.33333333333333298</v>
      </c>
      <c r="I62" s="109">
        <f t="shared" si="0"/>
        <v>1</v>
      </c>
      <c r="J62" s="109">
        <v>0.9</v>
      </c>
      <c r="K62" s="82"/>
      <c r="L62" s="82"/>
    </row>
    <row r="63" spans="1:12" ht="15.6" customHeight="1">
      <c r="A63" s="253"/>
      <c r="B63" s="244"/>
      <c r="C63" s="244"/>
      <c r="D63" s="78" t="s">
        <v>1193</v>
      </c>
      <c r="E63" s="159"/>
      <c r="F63" s="106" t="s">
        <v>1252</v>
      </c>
      <c r="G63" s="107"/>
      <c r="H63" s="108">
        <v>0.33333333333333298</v>
      </c>
      <c r="I63" s="109">
        <f t="shared" si="0"/>
        <v>1</v>
      </c>
      <c r="J63" s="109">
        <v>0.9</v>
      </c>
      <c r="K63" s="82"/>
      <c r="L63" s="82"/>
    </row>
    <row r="64" spans="1:12" ht="15.6" customHeight="1">
      <c r="A64" s="253"/>
      <c r="B64" s="245"/>
      <c r="C64" s="245"/>
      <c r="D64" s="78" t="s">
        <v>1193</v>
      </c>
      <c r="E64" s="113"/>
      <c r="F64" s="114" t="s">
        <v>1253</v>
      </c>
      <c r="G64" s="107"/>
      <c r="H64" s="123">
        <v>0.33333333333333298</v>
      </c>
      <c r="I64" s="109">
        <f t="shared" si="0"/>
        <v>1</v>
      </c>
      <c r="J64" s="109">
        <v>0.9</v>
      </c>
      <c r="K64" s="82"/>
      <c r="L64" s="82"/>
    </row>
    <row r="65" spans="1:12" ht="15.6" customHeight="1">
      <c r="A65" s="253"/>
      <c r="B65" s="117"/>
      <c r="C65" s="117"/>
      <c r="D65" s="118"/>
      <c r="E65" s="118"/>
      <c r="F65" s="119" t="s">
        <v>1251</v>
      </c>
      <c r="G65" s="124"/>
      <c r="H65" s="124"/>
      <c r="I65" s="120">
        <f>AVERAGEIF(F11:F55,F65,I11:I55)</f>
        <v>1</v>
      </c>
      <c r="J65" s="121">
        <v>0.9</v>
      </c>
      <c r="K65" s="118"/>
      <c r="L65" s="116"/>
    </row>
    <row r="66" spans="1:12" ht="15.6" customHeight="1">
      <c r="A66" s="253"/>
      <c r="B66" s="117"/>
      <c r="C66" s="117"/>
      <c r="D66" s="118"/>
      <c r="E66" s="118"/>
      <c r="F66" s="119" t="s">
        <v>1252</v>
      </c>
      <c r="G66" s="124"/>
      <c r="H66" s="124"/>
      <c r="I66" s="120">
        <f>AVERAGEIF(F12:F65,F66,I12:I65)</f>
        <v>1</v>
      </c>
      <c r="J66" s="121">
        <v>0.9</v>
      </c>
      <c r="K66" s="118"/>
      <c r="L66" s="116"/>
    </row>
    <row r="67" spans="1:12" ht="15.6" customHeight="1" thickBot="1">
      <c r="A67" s="253"/>
      <c r="B67" s="117"/>
      <c r="C67" s="117"/>
      <c r="D67" s="118"/>
      <c r="E67" s="118"/>
      <c r="F67" s="119" t="s">
        <v>1253</v>
      </c>
      <c r="G67" s="124"/>
      <c r="H67" s="124"/>
      <c r="I67" s="120">
        <f>AVERAGEIF(F13:F66,F67,I13:I66)</f>
        <v>0.88888888888888884</v>
      </c>
      <c r="J67" s="121">
        <v>0.9</v>
      </c>
      <c r="K67" s="118"/>
      <c r="L67" s="116"/>
    </row>
    <row r="68" spans="1:12" ht="14.4" customHeight="1">
      <c r="A68" s="252" t="s">
        <v>1362</v>
      </c>
      <c r="B68" s="251">
        <v>45754</v>
      </c>
      <c r="C68" s="243" t="s">
        <v>1198</v>
      </c>
      <c r="D68" s="110" t="s">
        <v>1201</v>
      </c>
      <c r="E68" s="156"/>
      <c r="F68" s="111" t="s">
        <v>1251</v>
      </c>
      <c r="G68" s="107"/>
      <c r="H68" s="108">
        <v>0.33333333333333331</v>
      </c>
      <c r="I68" s="109">
        <f>1-(G68/H68)</f>
        <v>1</v>
      </c>
      <c r="J68" s="109">
        <v>0.9</v>
      </c>
      <c r="K68" s="82"/>
      <c r="L68" s="82"/>
    </row>
    <row r="69" spans="1:12" ht="14.4" customHeight="1">
      <c r="A69" s="253"/>
      <c r="B69" s="244"/>
      <c r="C69" s="244"/>
      <c r="D69" s="110" t="s">
        <v>1201</v>
      </c>
      <c r="E69" s="156"/>
      <c r="F69" s="111" t="s">
        <v>1252</v>
      </c>
      <c r="G69" s="107"/>
      <c r="H69" s="108">
        <v>0.33333333333333331</v>
      </c>
      <c r="I69" s="109">
        <f>1-(G69/H69)</f>
        <v>1</v>
      </c>
      <c r="J69" s="109">
        <v>0.9</v>
      </c>
      <c r="K69" s="82"/>
      <c r="L69" s="82"/>
    </row>
    <row r="70" spans="1:12" ht="14.4" customHeight="1">
      <c r="A70" s="253"/>
      <c r="B70" s="244"/>
      <c r="C70" s="245"/>
      <c r="D70" s="110" t="s">
        <v>1201</v>
      </c>
      <c r="E70" s="157"/>
      <c r="F70" s="114" t="s">
        <v>1253</v>
      </c>
      <c r="G70" s="107"/>
      <c r="H70" s="108">
        <v>0.33333333333333298</v>
      </c>
      <c r="I70" s="109">
        <f t="shared" ref="I70:I112" si="1">1-(G70/H70)</f>
        <v>1</v>
      </c>
      <c r="J70" s="109">
        <v>0.9</v>
      </c>
      <c r="K70" s="82"/>
      <c r="L70" s="82"/>
    </row>
    <row r="71" spans="1:12" ht="14.4" customHeight="1">
      <c r="A71" s="253"/>
      <c r="B71" s="244"/>
      <c r="C71" s="248" t="s">
        <v>1196</v>
      </c>
      <c r="D71" s="132" t="s">
        <v>1192</v>
      </c>
      <c r="E71" s="158"/>
      <c r="F71" s="125" t="s">
        <v>1251</v>
      </c>
      <c r="G71" s="126"/>
      <c r="H71" s="127">
        <v>0.33333333333333298</v>
      </c>
      <c r="I71" s="109">
        <f t="shared" si="1"/>
        <v>1</v>
      </c>
      <c r="J71" s="134">
        <v>0.9</v>
      </c>
      <c r="K71" s="135"/>
      <c r="L71" s="136"/>
    </row>
    <row r="72" spans="1:12" ht="14.4" customHeight="1">
      <c r="A72" s="253"/>
      <c r="B72" s="244"/>
      <c r="C72" s="249"/>
      <c r="D72" s="132" t="s">
        <v>1192</v>
      </c>
      <c r="E72" s="158"/>
      <c r="F72" s="125" t="s">
        <v>1252</v>
      </c>
      <c r="G72" s="126"/>
      <c r="H72" s="127">
        <v>0.33333333333333298</v>
      </c>
      <c r="I72" s="109">
        <f t="shared" si="1"/>
        <v>1</v>
      </c>
      <c r="J72" s="134">
        <v>0.9</v>
      </c>
      <c r="K72" s="135"/>
      <c r="L72" s="136"/>
    </row>
    <row r="73" spans="1:12" ht="14.4" customHeight="1">
      <c r="A73" s="253"/>
      <c r="B73" s="244"/>
      <c r="C73" s="250"/>
      <c r="D73" s="132" t="s">
        <v>1192</v>
      </c>
      <c r="E73" s="133"/>
      <c r="F73" s="128" t="s">
        <v>1253</v>
      </c>
      <c r="G73" s="126"/>
      <c r="H73" s="127">
        <v>0.33333333333333298</v>
      </c>
      <c r="I73" s="109">
        <f t="shared" si="1"/>
        <v>1</v>
      </c>
      <c r="J73" s="134">
        <v>0.9</v>
      </c>
      <c r="K73" s="133"/>
      <c r="L73" s="136"/>
    </row>
    <row r="74" spans="1:12" ht="14.4" customHeight="1">
      <c r="A74" s="253"/>
      <c r="B74" s="244"/>
      <c r="C74" s="243" t="s">
        <v>1197</v>
      </c>
      <c r="D74" s="78" t="s">
        <v>1194</v>
      </c>
      <c r="E74" s="159"/>
      <c r="F74" s="111" t="s">
        <v>1251</v>
      </c>
      <c r="G74" s="107"/>
      <c r="H74" s="108">
        <v>0.33333333333333298</v>
      </c>
      <c r="I74" s="109">
        <f t="shared" si="1"/>
        <v>1</v>
      </c>
      <c r="J74" s="109">
        <v>0.9</v>
      </c>
      <c r="K74" s="82"/>
      <c r="L74" s="82"/>
    </row>
    <row r="75" spans="1:12" ht="14.4" customHeight="1">
      <c r="A75" s="253"/>
      <c r="B75" s="244"/>
      <c r="C75" s="244"/>
      <c r="D75" s="78" t="s">
        <v>1194</v>
      </c>
      <c r="E75" s="159"/>
      <c r="F75" s="111" t="s">
        <v>1252</v>
      </c>
      <c r="G75" s="107"/>
      <c r="H75" s="108">
        <v>0.33333333333333298</v>
      </c>
      <c r="I75" s="109">
        <f t="shared" si="1"/>
        <v>1</v>
      </c>
      <c r="J75" s="109">
        <v>0.9</v>
      </c>
      <c r="K75" s="82"/>
      <c r="L75" s="82"/>
    </row>
    <row r="76" spans="1:12" ht="15" customHeight="1" thickBot="1">
      <c r="A76" s="253"/>
      <c r="B76" s="245"/>
      <c r="C76" s="245"/>
      <c r="D76" s="78" t="s">
        <v>1194</v>
      </c>
      <c r="E76" s="113"/>
      <c r="F76" s="114" t="s">
        <v>1253</v>
      </c>
      <c r="G76" s="107"/>
      <c r="H76" s="108">
        <v>0.33333333333333298</v>
      </c>
      <c r="I76" s="109">
        <f t="shared" si="1"/>
        <v>1</v>
      </c>
      <c r="J76" s="109">
        <v>0.9</v>
      </c>
      <c r="K76" s="82"/>
      <c r="L76" s="82"/>
    </row>
    <row r="77" spans="1:12" ht="14.4" customHeight="1">
      <c r="A77" s="253"/>
      <c r="B77" s="251">
        <v>45755</v>
      </c>
      <c r="C77" s="248" t="s">
        <v>1198</v>
      </c>
      <c r="D77" s="132"/>
      <c r="E77" s="158"/>
      <c r="F77" s="125" t="s">
        <v>1251</v>
      </c>
      <c r="G77" s="126"/>
      <c r="H77" s="127">
        <v>0.33333333333333298</v>
      </c>
      <c r="I77" s="109">
        <f t="shared" si="1"/>
        <v>1</v>
      </c>
      <c r="J77" s="134">
        <v>0.9</v>
      </c>
      <c r="K77" s="135"/>
      <c r="L77" s="137"/>
    </row>
    <row r="78" spans="1:12" ht="14.4" customHeight="1">
      <c r="A78" s="253"/>
      <c r="B78" s="244"/>
      <c r="C78" s="249"/>
      <c r="D78" s="132"/>
      <c r="E78" s="158"/>
      <c r="F78" s="125" t="s">
        <v>1252</v>
      </c>
      <c r="G78" s="126"/>
      <c r="H78" s="127">
        <v>0.33333333333333298</v>
      </c>
      <c r="I78" s="109">
        <f t="shared" si="1"/>
        <v>1</v>
      </c>
      <c r="J78" s="134">
        <v>0.9</v>
      </c>
      <c r="K78" s="135"/>
      <c r="L78" s="136"/>
    </row>
    <row r="79" spans="1:12" ht="14.4" customHeight="1">
      <c r="A79" s="253"/>
      <c r="B79" s="244"/>
      <c r="C79" s="250"/>
      <c r="D79" s="132"/>
      <c r="E79" s="133"/>
      <c r="F79" s="128" t="s">
        <v>1253</v>
      </c>
      <c r="G79" s="126"/>
      <c r="H79" s="127">
        <v>0.33333333333333298</v>
      </c>
      <c r="I79" s="109">
        <f t="shared" si="1"/>
        <v>1</v>
      </c>
      <c r="J79" s="134">
        <v>0.9</v>
      </c>
      <c r="K79" s="133"/>
      <c r="L79" s="136"/>
    </row>
    <row r="80" spans="1:12" ht="14.4" customHeight="1">
      <c r="A80" s="253"/>
      <c r="B80" s="244"/>
      <c r="C80" s="243" t="s">
        <v>1196</v>
      </c>
      <c r="D80" s="78" t="s">
        <v>1192</v>
      </c>
      <c r="E80" s="159"/>
      <c r="F80" s="111" t="s">
        <v>1251</v>
      </c>
      <c r="G80" s="107"/>
      <c r="H80" s="108">
        <v>0.33333333333333298</v>
      </c>
      <c r="I80" s="109">
        <f t="shared" si="1"/>
        <v>1</v>
      </c>
      <c r="J80" s="109">
        <v>0.9</v>
      </c>
      <c r="K80" s="112"/>
      <c r="L80" s="112"/>
    </row>
    <row r="81" spans="1:12" ht="14.4" customHeight="1">
      <c r="A81" s="253"/>
      <c r="B81" s="244"/>
      <c r="C81" s="244"/>
      <c r="D81" s="78" t="s">
        <v>1192</v>
      </c>
      <c r="E81" s="159"/>
      <c r="F81" s="111" t="s">
        <v>1252</v>
      </c>
      <c r="G81" s="107"/>
      <c r="H81" s="108">
        <v>0.33333333333333298</v>
      </c>
      <c r="I81" s="109">
        <f t="shared" si="1"/>
        <v>1</v>
      </c>
      <c r="J81" s="109">
        <v>0.9</v>
      </c>
      <c r="K81" s="82"/>
      <c r="L81" s="82"/>
    </row>
    <row r="82" spans="1:12" ht="14.4" customHeight="1">
      <c r="A82" s="253"/>
      <c r="B82" s="244"/>
      <c r="C82" s="245"/>
      <c r="D82" s="78" t="s">
        <v>1192</v>
      </c>
      <c r="E82" s="113"/>
      <c r="F82" s="114" t="s">
        <v>1253</v>
      </c>
      <c r="G82" s="107"/>
      <c r="H82" s="108">
        <v>0.33333333333333298</v>
      </c>
      <c r="I82" s="109">
        <f t="shared" si="1"/>
        <v>1</v>
      </c>
      <c r="J82" s="109">
        <v>0.9</v>
      </c>
      <c r="K82" s="82"/>
      <c r="L82" s="82"/>
    </row>
    <row r="83" spans="1:12" ht="14.4" customHeight="1">
      <c r="A83" s="253"/>
      <c r="B83" s="244"/>
      <c r="C83" s="248" t="s">
        <v>1197</v>
      </c>
      <c r="D83" s="132" t="s">
        <v>1194</v>
      </c>
      <c r="E83" s="158"/>
      <c r="F83" s="125" t="s">
        <v>1251</v>
      </c>
      <c r="G83" s="126"/>
      <c r="H83" s="127">
        <v>0.33333333333333298</v>
      </c>
      <c r="I83" s="109">
        <f t="shared" si="1"/>
        <v>1</v>
      </c>
      <c r="J83" s="134">
        <v>0.9</v>
      </c>
      <c r="K83" s="146"/>
      <c r="L83" s="136"/>
    </row>
    <row r="84" spans="1:12" ht="14.4" customHeight="1">
      <c r="A84" s="253"/>
      <c r="B84" s="244"/>
      <c r="C84" s="249"/>
      <c r="D84" s="132" t="s">
        <v>1194</v>
      </c>
      <c r="E84" s="158"/>
      <c r="F84" s="129" t="s">
        <v>1252</v>
      </c>
      <c r="G84" s="126"/>
      <c r="H84" s="127">
        <v>0.33333333333333298</v>
      </c>
      <c r="I84" s="109">
        <f t="shared" si="1"/>
        <v>1</v>
      </c>
      <c r="J84" s="134">
        <v>0.9</v>
      </c>
      <c r="K84" s="136"/>
      <c r="L84" s="136"/>
    </row>
    <row r="85" spans="1:12" ht="15" customHeight="1" thickBot="1">
      <c r="A85" s="253"/>
      <c r="B85" s="245"/>
      <c r="C85" s="250"/>
      <c r="D85" s="132" t="s">
        <v>1194</v>
      </c>
      <c r="E85" s="133"/>
      <c r="F85" s="128" t="s">
        <v>1253</v>
      </c>
      <c r="G85" s="126"/>
      <c r="H85" s="131">
        <v>0.33333333333333298</v>
      </c>
      <c r="I85" s="115">
        <f t="shared" si="1"/>
        <v>1</v>
      </c>
      <c r="J85" s="134">
        <v>0.9</v>
      </c>
      <c r="K85" s="136"/>
      <c r="L85" s="136"/>
    </row>
    <row r="86" spans="1:12" ht="14.4" customHeight="1">
      <c r="A86" s="253"/>
      <c r="B86" s="251">
        <v>45756</v>
      </c>
      <c r="C86" s="243" t="s">
        <v>1198</v>
      </c>
      <c r="D86" s="78" t="s">
        <v>1193</v>
      </c>
      <c r="E86" s="159"/>
      <c r="F86" s="111" t="s">
        <v>1251</v>
      </c>
      <c r="G86" s="107"/>
      <c r="H86" s="108">
        <v>0.33333333333333298</v>
      </c>
      <c r="I86" s="109">
        <f t="shared" si="1"/>
        <v>1</v>
      </c>
      <c r="J86" s="109">
        <v>0.9</v>
      </c>
      <c r="K86" s="82"/>
      <c r="L86" s="112"/>
    </row>
    <row r="87" spans="1:12" ht="14.4" customHeight="1">
      <c r="A87" s="253"/>
      <c r="B87" s="244"/>
      <c r="C87" s="244"/>
      <c r="D87" s="78" t="s">
        <v>1193</v>
      </c>
      <c r="E87" s="159"/>
      <c r="F87" s="106" t="s">
        <v>1252</v>
      </c>
      <c r="G87" s="107"/>
      <c r="H87" s="108">
        <v>0.33333333333333298</v>
      </c>
      <c r="I87" s="109">
        <f t="shared" si="1"/>
        <v>1</v>
      </c>
      <c r="J87" s="109">
        <v>0.9</v>
      </c>
      <c r="K87" s="82"/>
      <c r="L87" s="82"/>
    </row>
    <row r="88" spans="1:12" ht="14.4" customHeight="1">
      <c r="A88" s="253"/>
      <c r="B88" s="244"/>
      <c r="C88" s="245"/>
      <c r="D88" s="78" t="s">
        <v>1193</v>
      </c>
      <c r="E88" s="113"/>
      <c r="F88" s="114" t="s">
        <v>1253</v>
      </c>
      <c r="G88" s="107"/>
      <c r="H88" s="108">
        <v>0.33333333333333298</v>
      </c>
      <c r="I88" s="109">
        <f t="shared" si="1"/>
        <v>1</v>
      </c>
      <c r="J88" s="109">
        <v>0.9</v>
      </c>
      <c r="K88" s="82"/>
      <c r="L88" s="82"/>
    </row>
    <row r="89" spans="1:12" ht="14.4" customHeight="1">
      <c r="A89" s="253"/>
      <c r="B89" s="244"/>
      <c r="C89" s="248" t="s">
        <v>1196</v>
      </c>
      <c r="D89" s="132"/>
      <c r="E89" s="158"/>
      <c r="F89" s="125" t="s">
        <v>1251</v>
      </c>
      <c r="G89" s="126"/>
      <c r="H89" s="127">
        <v>0.33333333333333298</v>
      </c>
      <c r="I89" s="109">
        <f t="shared" si="1"/>
        <v>1</v>
      </c>
      <c r="J89" s="134">
        <v>0.9</v>
      </c>
      <c r="K89" s="135"/>
      <c r="L89" s="136"/>
    </row>
    <row r="90" spans="1:12" ht="14.4" customHeight="1">
      <c r="A90" s="253"/>
      <c r="B90" s="244"/>
      <c r="C90" s="249"/>
      <c r="D90" s="132"/>
      <c r="E90" s="158"/>
      <c r="F90" s="129" t="s">
        <v>1252</v>
      </c>
      <c r="G90" s="126"/>
      <c r="H90" s="127">
        <v>0.33333333333333298</v>
      </c>
      <c r="I90" s="109">
        <f t="shared" si="1"/>
        <v>1</v>
      </c>
      <c r="J90" s="134">
        <v>0.9</v>
      </c>
      <c r="K90" s="135"/>
      <c r="L90" s="136"/>
    </row>
    <row r="91" spans="1:12" ht="14.4" customHeight="1">
      <c r="A91" s="253"/>
      <c r="B91" s="244"/>
      <c r="C91" s="250"/>
      <c r="D91" s="132"/>
      <c r="E91" s="133"/>
      <c r="F91" s="128" t="s">
        <v>1253</v>
      </c>
      <c r="G91" s="126"/>
      <c r="H91" s="127">
        <v>0.33333333333333298</v>
      </c>
      <c r="I91" s="109">
        <f t="shared" si="1"/>
        <v>1</v>
      </c>
      <c r="J91" s="134">
        <v>0.9</v>
      </c>
      <c r="K91" s="133"/>
      <c r="L91" s="136"/>
    </row>
    <row r="92" spans="1:12" ht="14.4" customHeight="1">
      <c r="A92" s="253"/>
      <c r="B92" s="244"/>
      <c r="C92" s="243" t="s">
        <v>1197</v>
      </c>
      <c r="D92" s="78" t="s">
        <v>1192</v>
      </c>
      <c r="E92" s="159"/>
      <c r="F92" s="111" t="s">
        <v>1251</v>
      </c>
      <c r="G92" s="107"/>
      <c r="H92" s="108">
        <v>0.33333333333333298</v>
      </c>
      <c r="I92" s="109">
        <f t="shared" si="1"/>
        <v>1</v>
      </c>
      <c r="J92" s="109">
        <v>0.9</v>
      </c>
      <c r="K92" s="82"/>
      <c r="L92" s="82"/>
    </row>
    <row r="93" spans="1:12" ht="14.4" customHeight="1">
      <c r="A93" s="253"/>
      <c r="B93" s="244"/>
      <c r="C93" s="244"/>
      <c r="D93" s="78" t="s">
        <v>1192</v>
      </c>
      <c r="E93" s="159"/>
      <c r="F93" s="106" t="s">
        <v>1252</v>
      </c>
      <c r="G93" s="107"/>
      <c r="H93" s="108">
        <v>0.33333333333333298</v>
      </c>
      <c r="I93" s="109">
        <f t="shared" si="1"/>
        <v>1</v>
      </c>
      <c r="J93" s="109">
        <v>0.9</v>
      </c>
      <c r="K93" s="82"/>
      <c r="L93" s="82"/>
    </row>
    <row r="94" spans="1:12" ht="15" customHeight="1" thickBot="1">
      <c r="A94" s="253"/>
      <c r="B94" s="245"/>
      <c r="C94" s="245"/>
      <c r="D94" s="78" t="s">
        <v>1192</v>
      </c>
      <c r="E94" s="113"/>
      <c r="F94" s="114" t="s">
        <v>1253</v>
      </c>
      <c r="G94" s="107"/>
      <c r="H94" s="108">
        <v>0.33333333333333331</v>
      </c>
      <c r="I94" s="109">
        <f t="shared" si="1"/>
        <v>1</v>
      </c>
      <c r="J94" s="109">
        <v>0.9</v>
      </c>
      <c r="K94" s="82"/>
      <c r="L94" s="82"/>
    </row>
    <row r="95" spans="1:12" ht="14.4" customHeight="1">
      <c r="A95" s="253"/>
      <c r="B95" s="251">
        <v>45757</v>
      </c>
      <c r="C95" s="248" t="s">
        <v>1198</v>
      </c>
      <c r="D95" s="132" t="s">
        <v>1193</v>
      </c>
      <c r="E95" s="158"/>
      <c r="F95" s="125" t="s">
        <v>1251</v>
      </c>
      <c r="G95" s="126"/>
      <c r="H95" s="127">
        <v>0.33333333333333298</v>
      </c>
      <c r="I95" s="109">
        <f>1-(G95/H95)</f>
        <v>1</v>
      </c>
      <c r="J95" s="134">
        <v>0.9</v>
      </c>
      <c r="K95" s="135"/>
      <c r="L95" s="137"/>
    </row>
    <row r="96" spans="1:12" ht="14.4" customHeight="1">
      <c r="A96" s="253"/>
      <c r="B96" s="244"/>
      <c r="C96" s="249"/>
      <c r="D96" s="132" t="s">
        <v>1193</v>
      </c>
      <c r="E96" s="158"/>
      <c r="F96" s="129" t="s">
        <v>1252</v>
      </c>
      <c r="G96" s="126"/>
      <c r="H96" s="127">
        <v>0.33333333333333298</v>
      </c>
      <c r="I96" s="109">
        <f>1-(G96/H96)</f>
        <v>1</v>
      </c>
      <c r="J96" s="134">
        <v>0.9</v>
      </c>
      <c r="K96" s="135"/>
      <c r="L96" s="136"/>
    </row>
    <row r="97" spans="1:12" ht="14.4" customHeight="1">
      <c r="A97" s="253"/>
      <c r="B97" s="244"/>
      <c r="C97" s="250"/>
      <c r="D97" s="132" t="s">
        <v>1193</v>
      </c>
      <c r="E97" s="133"/>
      <c r="F97" s="128" t="s">
        <v>1253</v>
      </c>
      <c r="G97" s="126">
        <v>5.5555555555555552E-2</v>
      </c>
      <c r="H97" s="127">
        <v>0.33333333333333298</v>
      </c>
      <c r="I97" s="109">
        <f t="shared" si="1"/>
        <v>0.83333333333333315</v>
      </c>
      <c r="J97" s="134">
        <v>0.9</v>
      </c>
      <c r="K97" s="133"/>
      <c r="L97" s="136"/>
    </row>
    <row r="98" spans="1:12" ht="14.4" customHeight="1">
      <c r="A98" s="253"/>
      <c r="B98" s="244"/>
      <c r="C98" s="243" t="s">
        <v>1196</v>
      </c>
      <c r="D98" s="78"/>
      <c r="E98" s="159"/>
      <c r="F98" s="111" t="s">
        <v>1251</v>
      </c>
      <c r="G98" s="107"/>
      <c r="H98" s="108">
        <v>0.33333333333333298</v>
      </c>
      <c r="I98" s="109">
        <f t="shared" si="1"/>
        <v>1</v>
      </c>
      <c r="J98" s="109">
        <v>0.9</v>
      </c>
      <c r="K98" s="82"/>
      <c r="L98" s="112"/>
    </row>
    <row r="99" spans="1:12" ht="14.4" customHeight="1">
      <c r="A99" s="253"/>
      <c r="B99" s="244"/>
      <c r="C99" s="244"/>
      <c r="D99" s="78"/>
      <c r="E99" s="159"/>
      <c r="F99" s="106" t="s">
        <v>1252</v>
      </c>
      <c r="G99" s="107"/>
      <c r="H99" s="108">
        <v>0.33333333333333298</v>
      </c>
      <c r="I99" s="109">
        <f t="shared" si="1"/>
        <v>1</v>
      </c>
      <c r="J99" s="109">
        <v>0.9</v>
      </c>
      <c r="K99" s="82"/>
      <c r="L99" s="82"/>
    </row>
    <row r="100" spans="1:12" ht="14.4" customHeight="1">
      <c r="A100" s="253"/>
      <c r="B100" s="244"/>
      <c r="C100" s="245"/>
      <c r="D100" s="78"/>
      <c r="E100" s="113"/>
      <c r="F100" s="114" t="s">
        <v>1253</v>
      </c>
      <c r="G100" s="107">
        <v>4.8611111111111112E-2</v>
      </c>
      <c r="H100" s="108">
        <v>0.33333333333333298</v>
      </c>
      <c r="I100" s="109">
        <f t="shared" si="1"/>
        <v>0.85416666666666652</v>
      </c>
      <c r="J100" s="109">
        <v>0.9</v>
      </c>
      <c r="K100" s="82"/>
      <c r="L100" s="82"/>
    </row>
    <row r="101" spans="1:12" ht="14.4" customHeight="1">
      <c r="A101" s="253"/>
      <c r="B101" s="244"/>
      <c r="C101" s="248" t="s">
        <v>1197</v>
      </c>
      <c r="D101" s="132" t="s">
        <v>1192</v>
      </c>
      <c r="E101" s="158"/>
      <c r="F101" s="125" t="s">
        <v>1251</v>
      </c>
      <c r="G101" s="126"/>
      <c r="H101" s="127">
        <v>0.33333333333333298</v>
      </c>
      <c r="I101" s="109">
        <f t="shared" si="1"/>
        <v>1</v>
      </c>
      <c r="J101" s="134">
        <v>0.9</v>
      </c>
      <c r="K101" s="135"/>
      <c r="L101" s="136"/>
    </row>
    <row r="102" spans="1:12" ht="14.4" customHeight="1">
      <c r="A102" s="253"/>
      <c r="B102" s="244"/>
      <c r="C102" s="249"/>
      <c r="D102" s="132" t="s">
        <v>1192</v>
      </c>
      <c r="E102" s="158"/>
      <c r="F102" s="129" t="s">
        <v>1252</v>
      </c>
      <c r="G102" s="126"/>
      <c r="H102" s="127">
        <v>0.33333333333333298</v>
      </c>
      <c r="I102" s="109">
        <f t="shared" si="1"/>
        <v>1</v>
      </c>
      <c r="J102" s="134">
        <v>0.9</v>
      </c>
      <c r="K102" s="135"/>
      <c r="L102" s="136"/>
    </row>
    <row r="103" spans="1:12" ht="15" customHeight="1" thickBot="1">
      <c r="A103" s="253"/>
      <c r="B103" s="245"/>
      <c r="C103" s="250"/>
      <c r="D103" s="132" t="s">
        <v>1192</v>
      </c>
      <c r="E103" s="133"/>
      <c r="F103" s="128" t="s">
        <v>1253</v>
      </c>
      <c r="G103" s="126"/>
      <c r="H103" s="127">
        <v>0.33333333333333298</v>
      </c>
      <c r="I103" s="109">
        <f t="shared" si="1"/>
        <v>1</v>
      </c>
      <c r="J103" s="134">
        <v>0.9</v>
      </c>
      <c r="K103" s="133"/>
      <c r="L103" s="136"/>
    </row>
    <row r="104" spans="1:12" ht="14.4" customHeight="1">
      <c r="A104" s="253"/>
      <c r="B104" s="251">
        <v>45758</v>
      </c>
      <c r="C104" s="243" t="s">
        <v>1198</v>
      </c>
      <c r="D104" s="78" t="s">
        <v>1194</v>
      </c>
      <c r="E104" s="159"/>
      <c r="F104" s="111" t="s">
        <v>1251</v>
      </c>
      <c r="G104" s="107">
        <v>1.3888888888888888E-2</v>
      </c>
      <c r="H104" s="108">
        <v>0.33333333333333298</v>
      </c>
      <c r="I104" s="109">
        <f t="shared" si="1"/>
        <v>0.95833333333333326</v>
      </c>
      <c r="J104" s="109">
        <v>0.9</v>
      </c>
      <c r="K104" s="82"/>
      <c r="L104" s="112"/>
    </row>
    <row r="105" spans="1:12" ht="14.4" customHeight="1">
      <c r="A105" s="253"/>
      <c r="B105" s="244"/>
      <c r="C105" s="244"/>
      <c r="D105" s="78" t="s">
        <v>1194</v>
      </c>
      <c r="E105" s="159"/>
      <c r="F105" s="106" t="s">
        <v>1252</v>
      </c>
      <c r="G105" s="107">
        <v>3.4027777777777775E-2</v>
      </c>
      <c r="H105" s="108">
        <v>0.33333333333333298</v>
      </c>
      <c r="I105" s="109">
        <f t="shared" si="1"/>
        <v>0.89791666666666659</v>
      </c>
      <c r="J105" s="109">
        <v>0.9</v>
      </c>
      <c r="K105" s="82"/>
      <c r="L105" s="82"/>
    </row>
    <row r="106" spans="1:12" ht="14.4" customHeight="1">
      <c r="A106" s="253"/>
      <c r="B106" s="244"/>
      <c r="C106" s="245"/>
      <c r="D106" s="78" t="s">
        <v>1194</v>
      </c>
      <c r="E106" s="113"/>
      <c r="F106" s="114" t="s">
        <v>1253</v>
      </c>
      <c r="G106" s="107"/>
      <c r="H106" s="108">
        <v>0.33333333333333298</v>
      </c>
      <c r="I106" s="109">
        <f t="shared" si="1"/>
        <v>1</v>
      </c>
      <c r="J106" s="109">
        <v>0.9</v>
      </c>
      <c r="K106" s="82"/>
      <c r="L106" s="82"/>
    </row>
    <row r="107" spans="1:12" ht="14.4" customHeight="1">
      <c r="A107" s="253"/>
      <c r="B107" s="244"/>
      <c r="C107" s="248" t="s">
        <v>1196</v>
      </c>
      <c r="D107" s="132" t="s">
        <v>1193</v>
      </c>
      <c r="E107" s="158"/>
      <c r="F107" s="125" t="s">
        <v>1251</v>
      </c>
      <c r="G107" s="126"/>
      <c r="H107" s="127">
        <v>0.33333333333333298</v>
      </c>
      <c r="I107" s="109">
        <f t="shared" si="1"/>
        <v>1</v>
      </c>
      <c r="J107" s="134">
        <v>0.9</v>
      </c>
      <c r="K107" s="137"/>
      <c r="L107" s="137"/>
    </row>
    <row r="108" spans="1:12" ht="14.4" customHeight="1">
      <c r="A108" s="253"/>
      <c r="B108" s="244"/>
      <c r="C108" s="249"/>
      <c r="D108" s="132" t="s">
        <v>1193</v>
      </c>
      <c r="E108" s="158"/>
      <c r="F108" s="129" t="s">
        <v>1252</v>
      </c>
      <c r="G108" s="126"/>
      <c r="H108" s="127">
        <v>0.33333333333333298</v>
      </c>
      <c r="I108" s="109">
        <f t="shared" si="1"/>
        <v>1</v>
      </c>
      <c r="J108" s="134">
        <v>0.9</v>
      </c>
      <c r="K108" s="135"/>
      <c r="L108" s="136"/>
    </row>
    <row r="109" spans="1:12" ht="14.4" customHeight="1">
      <c r="A109" s="253"/>
      <c r="B109" s="244"/>
      <c r="C109" s="250"/>
      <c r="D109" s="132" t="s">
        <v>1193</v>
      </c>
      <c r="E109" s="133"/>
      <c r="F109" s="128" t="s">
        <v>1253</v>
      </c>
      <c r="G109" s="126"/>
      <c r="H109" s="127">
        <v>0.33333333333333298</v>
      </c>
      <c r="I109" s="109">
        <f t="shared" si="1"/>
        <v>1</v>
      </c>
      <c r="J109" s="134">
        <v>0.9</v>
      </c>
      <c r="K109" s="133"/>
      <c r="L109" s="136"/>
    </row>
    <row r="110" spans="1:12" ht="14.4" customHeight="1">
      <c r="A110" s="253"/>
      <c r="B110" s="244"/>
      <c r="C110" s="243" t="s">
        <v>1197</v>
      </c>
      <c r="D110" s="78"/>
      <c r="E110" s="159"/>
      <c r="F110" s="111" t="s">
        <v>1251</v>
      </c>
      <c r="G110" s="107"/>
      <c r="H110" s="108">
        <v>0.33333333333333298</v>
      </c>
      <c r="I110" s="109">
        <f t="shared" si="1"/>
        <v>1</v>
      </c>
      <c r="J110" s="109">
        <v>0.9</v>
      </c>
      <c r="K110" s="82"/>
      <c r="L110" s="82"/>
    </row>
    <row r="111" spans="1:12" ht="14.4" customHeight="1">
      <c r="A111" s="253"/>
      <c r="B111" s="244"/>
      <c r="C111" s="244"/>
      <c r="D111" s="78"/>
      <c r="E111" s="159"/>
      <c r="F111" s="106" t="s">
        <v>1252</v>
      </c>
      <c r="G111" s="107"/>
      <c r="H111" s="108">
        <v>0.33333333333333298</v>
      </c>
      <c r="I111" s="109">
        <f t="shared" si="1"/>
        <v>1</v>
      </c>
      <c r="J111" s="109">
        <v>0.9</v>
      </c>
      <c r="K111" s="82"/>
      <c r="L111" s="82"/>
    </row>
    <row r="112" spans="1:12" ht="14.4" customHeight="1" thickBot="1">
      <c r="A112" s="253"/>
      <c r="B112" s="245"/>
      <c r="C112" s="245"/>
      <c r="D112" s="78"/>
      <c r="E112" s="113"/>
      <c r="F112" s="114" t="s">
        <v>1253</v>
      </c>
      <c r="G112" s="122"/>
      <c r="H112" s="123">
        <v>0.33333333333333298</v>
      </c>
      <c r="I112" s="109">
        <f t="shared" si="1"/>
        <v>1</v>
      </c>
      <c r="J112" s="109">
        <v>0.9</v>
      </c>
      <c r="K112" s="82"/>
      <c r="L112" s="82"/>
    </row>
    <row r="113" spans="1:12" ht="14.4" customHeight="1">
      <c r="A113" s="253"/>
      <c r="B113" s="251">
        <v>45759</v>
      </c>
      <c r="C113" s="248" t="s">
        <v>1198</v>
      </c>
      <c r="D113" s="132" t="s">
        <v>1194</v>
      </c>
      <c r="E113" s="158"/>
      <c r="F113" s="125" t="s">
        <v>1251</v>
      </c>
      <c r="G113" s="126"/>
      <c r="H113" s="127">
        <v>0.33333333333333298</v>
      </c>
      <c r="I113" s="109">
        <f>1-(G113/H113)</f>
        <v>1</v>
      </c>
      <c r="J113" s="134">
        <v>0.9</v>
      </c>
      <c r="K113" s="135"/>
      <c r="L113" s="137"/>
    </row>
    <row r="114" spans="1:12" ht="14.4" customHeight="1">
      <c r="A114" s="253"/>
      <c r="B114" s="244"/>
      <c r="C114" s="249"/>
      <c r="D114" s="132" t="s">
        <v>1194</v>
      </c>
      <c r="E114" s="158"/>
      <c r="F114" s="129" t="s">
        <v>1252</v>
      </c>
      <c r="G114" s="126">
        <v>3.6111111111111108E-2</v>
      </c>
      <c r="H114" s="127">
        <v>0.33333333333333298</v>
      </c>
      <c r="I114" s="109">
        <f>1-(G114/H114)</f>
        <v>0.89166666666666661</v>
      </c>
      <c r="J114" s="134">
        <v>0.9</v>
      </c>
      <c r="K114" s="135" t="s">
        <v>1370</v>
      </c>
      <c r="L114" s="136"/>
    </row>
    <row r="115" spans="1:12" ht="14.4" customHeight="1">
      <c r="A115" s="253"/>
      <c r="B115" s="244"/>
      <c r="C115" s="250"/>
      <c r="D115" s="132" t="s">
        <v>1194</v>
      </c>
      <c r="E115" s="133"/>
      <c r="F115" s="128" t="s">
        <v>1253</v>
      </c>
      <c r="G115" s="126"/>
      <c r="H115" s="127">
        <v>0.33333333333333298</v>
      </c>
      <c r="I115" s="109">
        <f t="shared" ref="I115:I130" si="2">1-(G115/H115)</f>
        <v>1</v>
      </c>
      <c r="J115" s="134">
        <v>0.9</v>
      </c>
      <c r="K115" s="133"/>
      <c r="L115" s="136"/>
    </row>
    <row r="116" spans="1:12" ht="14.4" customHeight="1">
      <c r="A116" s="253"/>
      <c r="B116" s="244"/>
      <c r="C116" s="243" t="s">
        <v>1196</v>
      </c>
      <c r="D116" s="78" t="s">
        <v>1193</v>
      </c>
      <c r="E116" s="159"/>
      <c r="F116" s="111" t="s">
        <v>1251</v>
      </c>
      <c r="G116" s="107"/>
      <c r="H116" s="108">
        <v>0.33333333333333298</v>
      </c>
      <c r="I116" s="109">
        <f t="shared" si="2"/>
        <v>1</v>
      </c>
      <c r="J116" s="109">
        <v>0.9</v>
      </c>
      <c r="K116" s="82"/>
      <c r="L116" s="112"/>
    </row>
    <row r="117" spans="1:12" ht="14.4" customHeight="1">
      <c r="A117" s="253"/>
      <c r="B117" s="244"/>
      <c r="C117" s="244"/>
      <c r="D117" s="78" t="s">
        <v>1193</v>
      </c>
      <c r="E117" s="159"/>
      <c r="F117" s="106" t="s">
        <v>1252</v>
      </c>
      <c r="G117" s="107">
        <v>5.4166666666666669E-2</v>
      </c>
      <c r="H117" s="108">
        <v>0.33333333333333298</v>
      </c>
      <c r="I117" s="109">
        <f t="shared" si="2"/>
        <v>0.8374999999999998</v>
      </c>
      <c r="J117" s="109">
        <v>0.9</v>
      </c>
      <c r="K117" s="82" t="s">
        <v>1371</v>
      </c>
      <c r="L117" s="82"/>
    </row>
    <row r="118" spans="1:12" ht="14.4" customHeight="1">
      <c r="A118" s="253"/>
      <c r="B118" s="244"/>
      <c r="C118" s="245"/>
      <c r="D118" s="78" t="s">
        <v>1193</v>
      </c>
      <c r="E118" s="113"/>
      <c r="F118" s="114" t="s">
        <v>1253</v>
      </c>
      <c r="G118" s="107"/>
      <c r="H118" s="108">
        <v>0.33333333333333298</v>
      </c>
      <c r="I118" s="109">
        <f t="shared" si="2"/>
        <v>1</v>
      </c>
      <c r="J118" s="109">
        <v>0.9</v>
      </c>
      <c r="K118" s="82"/>
      <c r="L118" s="82"/>
    </row>
    <row r="119" spans="1:12" ht="14.4" customHeight="1">
      <c r="A119" s="253"/>
      <c r="B119" s="244"/>
      <c r="C119" s="248" t="s">
        <v>1197</v>
      </c>
      <c r="D119" s="132"/>
      <c r="E119" s="158"/>
      <c r="F119" s="125" t="s">
        <v>1251</v>
      </c>
      <c r="G119" s="126"/>
      <c r="H119" s="127">
        <v>0.33333333333333298</v>
      </c>
      <c r="I119" s="109">
        <f t="shared" si="2"/>
        <v>1</v>
      </c>
      <c r="J119" s="134">
        <v>0.9</v>
      </c>
      <c r="K119" s="135"/>
      <c r="L119" s="136"/>
    </row>
    <row r="120" spans="1:12" ht="14.4" customHeight="1">
      <c r="A120" s="253"/>
      <c r="B120" s="244"/>
      <c r="C120" s="249"/>
      <c r="D120" s="132"/>
      <c r="E120" s="158"/>
      <c r="F120" s="129" t="s">
        <v>1252</v>
      </c>
      <c r="G120" s="126"/>
      <c r="H120" s="127">
        <v>0.33333333333333298</v>
      </c>
      <c r="I120" s="109">
        <f t="shared" si="2"/>
        <v>1</v>
      </c>
      <c r="J120" s="134">
        <v>0.9</v>
      </c>
      <c r="K120" s="135"/>
      <c r="L120" s="136"/>
    </row>
    <row r="121" spans="1:12" ht="14.4" customHeight="1" thickBot="1">
      <c r="A121" s="253"/>
      <c r="B121" s="245"/>
      <c r="C121" s="250"/>
      <c r="D121" s="132"/>
      <c r="E121" s="133"/>
      <c r="F121" s="128" t="s">
        <v>1253</v>
      </c>
      <c r="G121" s="126">
        <v>0.33333333333333331</v>
      </c>
      <c r="H121" s="127">
        <v>0.33333333333333298</v>
      </c>
      <c r="I121" s="109">
        <f t="shared" si="2"/>
        <v>0</v>
      </c>
      <c r="J121" s="134">
        <v>0.9</v>
      </c>
      <c r="K121" s="133" t="s">
        <v>1372</v>
      </c>
      <c r="L121" s="136"/>
    </row>
    <row r="122" spans="1:12" ht="14.4" customHeight="1">
      <c r="A122" s="253"/>
      <c r="B122" s="251">
        <v>45760</v>
      </c>
      <c r="C122" s="243" t="s">
        <v>1198</v>
      </c>
      <c r="D122" s="78" t="s">
        <v>1192</v>
      </c>
      <c r="E122" s="159"/>
      <c r="F122" s="111" t="s">
        <v>1251</v>
      </c>
      <c r="G122" s="107"/>
      <c r="H122" s="108">
        <v>0.33333333333333298</v>
      </c>
      <c r="I122" s="109">
        <f t="shared" si="2"/>
        <v>1</v>
      </c>
      <c r="J122" s="109">
        <v>0.9</v>
      </c>
      <c r="K122" s="82"/>
      <c r="L122" s="112"/>
    </row>
    <row r="123" spans="1:12" ht="14.4" customHeight="1">
      <c r="A123" s="253"/>
      <c r="B123" s="244"/>
      <c r="C123" s="244"/>
      <c r="D123" s="78" t="s">
        <v>1192</v>
      </c>
      <c r="E123" s="159"/>
      <c r="F123" s="106" t="s">
        <v>1252</v>
      </c>
      <c r="G123" s="107"/>
      <c r="H123" s="108">
        <v>0.33333333333333298</v>
      </c>
      <c r="I123" s="109">
        <f t="shared" si="2"/>
        <v>1</v>
      </c>
      <c r="J123" s="109">
        <v>0.9</v>
      </c>
      <c r="K123" s="82"/>
      <c r="L123" s="82"/>
    </row>
    <row r="124" spans="1:12" ht="14.4" customHeight="1">
      <c r="A124" s="253"/>
      <c r="B124" s="244"/>
      <c r="C124" s="245"/>
      <c r="D124" s="78" t="s">
        <v>1192</v>
      </c>
      <c r="E124" s="113"/>
      <c r="F124" s="114" t="s">
        <v>1253</v>
      </c>
      <c r="G124" s="107"/>
      <c r="H124" s="108">
        <v>0.33333333333333298</v>
      </c>
      <c r="I124" s="109">
        <f t="shared" si="2"/>
        <v>1</v>
      </c>
      <c r="J124" s="109">
        <v>0.9</v>
      </c>
      <c r="K124" s="82"/>
      <c r="L124" s="82"/>
    </row>
    <row r="125" spans="1:12" ht="14.4" customHeight="1">
      <c r="A125" s="253"/>
      <c r="B125" s="244"/>
      <c r="C125" s="248" t="s">
        <v>1196</v>
      </c>
      <c r="D125" s="132" t="s">
        <v>1194</v>
      </c>
      <c r="E125" s="158"/>
      <c r="F125" s="125" t="s">
        <v>1251</v>
      </c>
      <c r="G125" s="126">
        <v>5.2083333333333336E-2</v>
      </c>
      <c r="H125" s="127">
        <v>0.33333333333333298</v>
      </c>
      <c r="I125" s="109">
        <f t="shared" si="2"/>
        <v>0.84374999999999978</v>
      </c>
      <c r="J125" s="134">
        <v>0.9</v>
      </c>
      <c r="K125" s="137"/>
      <c r="L125" s="137"/>
    </row>
    <row r="126" spans="1:12" ht="14.4" customHeight="1">
      <c r="A126" s="253"/>
      <c r="B126" s="244"/>
      <c r="C126" s="249"/>
      <c r="D126" s="132" t="s">
        <v>1194</v>
      </c>
      <c r="E126" s="158"/>
      <c r="F126" s="129" t="s">
        <v>1252</v>
      </c>
      <c r="G126" s="126"/>
      <c r="H126" s="127">
        <v>0.33333333333333298</v>
      </c>
      <c r="I126" s="109">
        <f t="shared" si="2"/>
        <v>1</v>
      </c>
      <c r="J126" s="134">
        <v>0.9</v>
      </c>
      <c r="K126" s="135"/>
      <c r="L126" s="136"/>
    </row>
    <row r="127" spans="1:12" ht="14.4" customHeight="1">
      <c r="A127" s="253"/>
      <c r="B127" s="244"/>
      <c r="C127" s="250"/>
      <c r="D127" s="132" t="s">
        <v>1194</v>
      </c>
      <c r="E127" s="133"/>
      <c r="F127" s="128" t="s">
        <v>1253</v>
      </c>
      <c r="G127" s="126"/>
      <c r="H127" s="127">
        <v>0.33333333333333298</v>
      </c>
      <c r="I127" s="109">
        <f t="shared" si="2"/>
        <v>1</v>
      </c>
      <c r="J127" s="134">
        <v>0.9</v>
      </c>
      <c r="K127" s="133"/>
      <c r="L127" s="136"/>
    </row>
    <row r="128" spans="1:12" ht="14.4" customHeight="1">
      <c r="A128" s="253"/>
      <c r="B128" s="244"/>
      <c r="C128" s="243" t="s">
        <v>1197</v>
      </c>
      <c r="D128" s="78" t="s">
        <v>1193</v>
      </c>
      <c r="E128" s="159"/>
      <c r="F128" s="111" t="s">
        <v>1251</v>
      </c>
      <c r="G128" s="107"/>
      <c r="H128" s="108">
        <v>0.33333333333333298</v>
      </c>
      <c r="I128" s="109">
        <f t="shared" si="2"/>
        <v>1</v>
      </c>
      <c r="J128" s="109">
        <v>0.9</v>
      </c>
      <c r="K128" s="82"/>
      <c r="L128" s="82"/>
    </row>
    <row r="129" spans="1:12" ht="14.4" customHeight="1">
      <c r="A129" s="253"/>
      <c r="B129" s="244"/>
      <c r="C129" s="244"/>
      <c r="D129" s="78" t="s">
        <v>1193</v>
      </c>
      <c r="E129" s="159"/>
      <c r="F129" s="106" t="s">
        <v>1252</v>
      </c>
      <c r="G129" s="107"/>
      <c r="H129" s="108">
        <v>0.33333333333333298</v>
      </c>
      <c r="I129" s="109">
        <f t="shared" si="2"/>
        <v>1</v>
      </c>
      <c r="J129" s="109">
        <v>0.9</v>
      </c>
      <c r="K129" s="82"/>
      <c r="L129" s="82"/>
    </row>
    <row r="130" spans="1:12" ht="14.4" customHeight="1">
      <c r="A130" s="253"/>
      <c r="B130" s="245"/>
      <c r="C130" s="245"/>
      <c r="D130" s="78" t="s">
        <v>1193</v>
      </c>
      <c r="E130" s="113"/>
      <c r="F130" s="114" t="s">
        <v>1253</v>
      </c>
      <c r="G130" s="122">
        <v>0.33333333333333331</v>
      </c>
      <c r="H130" s="123">
        <v>0.33333333333333298</v>
      </c>
      <c r="I130" s="109">
        <f t="shared" si="2"/>
        <v>0</v>
      </c>
      <c r="J130" s="109">
        <v>0.9</v>
      </c>
      <c r="K130" s="82" t="s">
        <v>1373</v>
      </c>
      <c r="L130" s="82"/>
    </row>
    <row r="131" spans="1:12" ht="14.4" customHeight="1">
      <c r="A131" s="253"/>
      <c r="B131" s="117"/>
      <c r="C131" s="117"/>
      <c r="D131" s="118"/>
      <c r="E131" s="118"/>
      <c r="F131" s="119" t="s">
        <v>1251</v>
      </c>
      <c r="G131" s="124"/>
      <c r="H131" s="124"/>
      <c r="I131" s="120">
        <f>AVERAGEIF(F68:F112,F131,I68:I112)</f>
        <v>0.99722222222222223</v>
      </c>
      <c r="J131" s="121">
        <v>0.9</v>
      </c>
      <c r="K131" s="118"/>
      <c r="L131" s="116"/>
    </row>
    <row r="132" spans="1:12" ht="14.4" customHeight="1">
      <c r="A132" s="253"/>
      <c r="B132" s="117"/>
      <c r="C132" s="117"/>
      <c r="D132" s="118"/>
      <c r="E132" s="118"/>
      <c r="F132" s="119" t="s">
        <v>1252</v>
      </c>
      <c r="G132" s="124"/>
      <c r="H132" s="124"/>
      <c r="I132" s="120">
        <f>AVERAGEIF(F69:F131,F132,I69:I131)</f>
        <v>0.98224206349206344</v>
      </c>
      <c r="J132" s="121">
        <v>0.9</v>
      </c>
      <c r="K132" s="118"/>
      <c r="L132" s="116"/>
    </row>
    <row r="133" spans="1:12" ht="15" customHeight="1" thickBot="1">
      <c r="A133" s="253"/>
      <c r="B133" s="117"/>
      <c r="C133" s="117"/>
      <c r="D133" s="118"/>
      <c r="E133" s="118"/>
      <c r="F133" s="119" t="s">
        <v>1253</v>
      </c>
      <c r="G133" s="124"/>
      <c r="H133" s="124"/>
      <c r="I133" s="120">
        <f>AVERAGEIF(F70:F132,F133,I70:I132)</f>
        <v>0.88988095238095233</v>
      </c>
      <c r="J133" s="121">
        <v>0.9</v>
      </c>
      <c r="K133" s="118"/>
      <c r="L133" s="116"/>
    </row>
    <row r="134" spans="1:12" ht="14.4" customHeight="1">
      <c r="A134" s="252" t="s">
        <v>1363</v>
      </c>
      <c r="B134" s="251">
        <v>45761</v>
      </c>
      <c r="C134" s="243" t="s">
        <v>1198</v>
      </c>
      <c r="D134" s="110" t="s">
        <v>1192</v>
      </c>
      <c r="E134" s="156"/>
      <c r="F134" s="111" t="s">
        <v>1251</v>
      </c>
      <c r="G134" s="107"/>
      <c r="H134" s="108">
        <v>0.33333333333333331</v>
      </c>
      <c r="I134" s="109">
        <f>1-(G134/H134)</f>
        <v>1</v>
      </c>
      <c r="J134" s="109">
        <v>0.9</v>
      </c>
      <c r="K134" s="82"/>
      <c r="L134" s="82"/>
    </row>
    <row r="135" spans="1:12" ht="14.4" customHeight="1">
      <c r="A135" s="253"/>
      <c r="B135" s="244"/>
      <c r="C135" s="244"/>
      <c r="D135" s="110" t="s">
        <v>1192</v>
      </c>
      <c r="E135" s="156"/>
      <c r="F135" s="111" t="s">
        <v>1252</v>
      </c>
      <c r="G135" s="107"/>
      <c r="H135" s="108">
        <v>0.33333333333333331</v>
      </c>
      <c r="I135" s="109">
        <f>1-(G135/H135)</f>
        <v>1</v>
      </c>
      <c r="J135" s="109">
        <v>0.9</v>
      </c>
      <c r="K135" s="82"/>
      <c r="L135" s="82"/>
    </row>
    <row r="136" spans="1:12" ht="14.4" customHeight="1">
      <c r="A136" s="253"/>
      <c r="B136" s="244"/>
      <c r="C136" s="245"/>
      <c r="D136" s="110" t="s">
        <v>1192</v>
      </c>
      <c r="E136" s="157"/>
      <c r="F136" s="114" t="s">
        <v>1253</v>
      </c>
      <c r="G136" s="107"/>
      <c r="H136" s="108">
        <v>0.33333333333333298</v>
      </c>
      <c r="I136" s="109">
        <f t="shared" ref="I136:I196" si="3">1-(G136/H136)</f>
        <v>1</v>
      </c>
      <c r="J136" s="109">
        <v>0.9</v>
      </c>
      <c r="K136" s="82"/>
      <c r="L136" s="82"/>
    </row>
    <row r="137" spans="1:12" ht="14.4" customHeight="1">
      <c r="A137" s="253"/>
      <c r="B137" s="244"/>
      <c r="C137" s="248" t="s">
        <v>1196</v>
      </c>
      <c r="D137" s="132" t="s">
        <v>1194</v>
      </c>
      <c r="E137" s="158"/>
      <c r="F137" s="125" t="s">
        <v>1251</v>
      </c>
      <c r="G137" s="126"/>
      <c r="H137" s="127">
        <v>0.33333333333333298</v>
      </c>
      <c r="I137" s="109">
        <f t="shared" si="3"/>
        <v>1</v>
      </c>
      <c r="J137" s="134">
        <v>0.9</v>
      </c>
      <c r="K137" s="82"/>
      <c r="L137" s="136"/>
    </row>
    <row r="138" spans="1:12" ht="14.4" customHeight="1">
      <c r="A138" s="253"/>
      <c r="B138" s="244"/>
      <c r="C138" s="249"/>
      <c r="D138" s="132" t="s">
        <v>1194</v>
      </c>
      <c r="E138" s="158"/>
      <c r="F138" s="125" t="s">
        <v>1252</v>
      </c>
      <c r="G138" s="126"/>
      <c r="H138" s="127">
        <v>0.33333333333333298</v>
      </c>
      <c r="I138" s="109">
        <f t="shared" si="3"/>
        <v>1</v>
      </c>
      <c r="J138" s="134">
        <v>0.9</v>
      </c>
      <c r="K138" s="135"/>
      <c r="L138" s="136"/>
    </row>
    <row r="139" spans="1:12" ht="14.4" customHeight="1">
      <c r="A139" s="253"/>
      <c r="B139" s="244"/>
      <c r="C139" s="250"/>
      <c r="D139" s="132" t="s">
        <v>1194</v>
      </c>
      <c r="E139" s="133"/>
      <c r="F139" s="128" t="s">
        <v>1253</v>
      </c>
      <c r="G139" s="126"/>
      <c r="H139" s="127">
        <v>0.33333333333333298</v>
      </c>
      <c r="I139" s="109">
        <f t="shared" si="3"/>
        <v>1</v>
      </c>
      <c r="J139" s="134">
        <v>0.9</v>
      </c>
      <c r="K139" s="133"/>
      <c r="L139" s="136"/>
    </row>
    <row r="140" spans="1:12" ht="14.4" customHeight="1">
      <c r="A140" s="253"/>
      <c r="B140" s="244"/>
      <c r="C140" s="243" t="s">
        <v>1197</v>
      </c>
      <c r="D140" s="78" t="s">
        <v>1193</v>
      </c>
      <c r="E140" s="159"/>
      <c r="F140" s="111" t="s">
        <v>1251</v>
      </c>
      <c r="G140" s="107"/>
      <c r="H140" s="108">
        <v>0.33333333333333298</v>
      </c>
      <c r="I140" s="109">
        <f t="shared" si="3"/>
        <v>1</v>
      </c>
      <c r="J140" s="109">
        <v>0.9</v>
      </c>
      <c r="K140" s="82"/>
      <c r="L140" s="112"/>
    </row>
    <row r="141" spans="1:12" ht="14.4" customHeight="1">
      <c r="A141" s="253"/>
      <c r="B141" s="244"/>
      <c r="C141" s="244"/>
      <c r="D141" s="78" t="s">
        <v>1193</v>
      </c>
      <c r="E141" s="159"/>
      <c r="F141" s="111" t="s">
        <v>1252</v>
      </c>
      <c r="G141" s="107">
        <v>5.4166666666666669E-2</v>
      </c>
      <c r="H141" s="108">
        <v>0.33333333333333298</v>
      </c>
      <c r="I141" s="109">
        <f t="shared" si="3"/>
        <v>0.8374999999999998</v>
      </c>
      <c r="J141" s="109">
        <v>0.9</v>
      </c>
      <c r="K141" s="82" t="s">
        <v>1374</v>
      </c>
      <c r="L141" s="82"/>
    </row>
    <row r="142" spans="1:12" ht="15" customHeight="1" thickBot="1">
      <c r="A142" s="253"/>
      <c r="B142" s="245"/>
      <c r="C142" s="245"/>
      <c r="D142" s="78" t="s">
        <v>1193</v>
      </c>
      <c r="E142" s="113"/>
      <c r="F142" s="114" t="s">
        <v>1253</v>
      </c>
      <c r="G142" s="107">
        <v>5.4166666666666669E-2</v>
      </c>
      <c r="H142" s="108">
        <v>0.33333333333333298</v>
      </c>
      <c r="I142" s="109">
        <f t="shared" si="3"/>
        <v>0.8374999999999998</v>
      </c>
      <c r="J142" s="109">
        <v>0.9</v>
      </c>
      <c r="K142" s="82" t="s">
        <v>1374</v>
      </c>
      <c r="L142" s="82"/>
    </row>
    <row r="143" spans="1:12" ht="14.4" customHeight="1">
      <c r="A143" s="253"/>
      <c r="B143" s="251">
        <v>45762</v>
      </c>
      <c r="C143" s="248" t="s">
        <v>1198</v>
      </c>
      <c r="D143" s="132"/>
      <c r="E143" s="158"/>
      <c r="F143" s="125" t="s">
        <v>1251</v>
      </c>
      <c r="G143" s="126"/>
      <c r="H143" s="127">
        <v>0.33333333333333298</v>
      </c>
      <c r="I143" s="109">
        <f t="shared" si="3"/>
        <v>1</v>
      </c>
      <c r="J143" s="134">
        <v>0.9</v>
      </c>
      <c r="K143" s="135"/>
      <c r="L143" s="137"/>
    </row>
    <row r="144" spans="1:12" ht="14.4" customHeight="1">
      <c r="A144" s="253"/>
      <c r="B144" s="244"/>
      <c r="C144" s="249"/>
      <c r="D144" s="132"/>
      <c r="E144" s="158"/>
      <c r="F144" s="125" t="s">
        <v>1252</v>
      </c>
      <c r="G144" s="126"/>
      <c r="H144" s="127">
        <v>0.33333333333333298</v>
      </c>
      <c r="I144" s="109">
        <f t="shared" si="3"/>
        <v>1</v>
      </c>
      <c r="J144" s="134">
        <v>0.9</v>
      </c>
      <c r="K144" s="135"/>
      <c r="L144" s="136"/>
    </row>
    <row r="145" spans="1:12" ht="14.4" customHeight="1">
      <c r="A145" s="253"/>
      <c r="B145" s="244"/>
      <c r="C145" s="250"/>
      <c r="D145" s="132"/>
      <c r="E145" s="133"/>
      <c r="F145" s="128" t="s">
        <v>1253</v>
      </c>
      <c r="G145" s="126"/>
      <c r="H145" s="127">
        <v>0.33333333333333298</v>
      </c>
      <c r="I145" s="109">
        <f t="shared" si="3"/>
        <v>1</v>
      </c>
      <c r="J145" s="134">
        <v>0.9</v>
      </c>
      <c r="K145" s="133"/>
      <c r="L145" s="136"/>
    </row>
    <row r="146" spans="1:12" ht="14.4" customHeight="1">
      <c r="A146" s="253"/>
      <c r="B146" s="244"/>
      <c r="C146" s="243" t="s">
        <v>1196</v>
      </c>
      <c r="D146" s="78"/>
      <c r="E146" s="159"/>
      <c r="F146" s="111" t="s">
        <v>1251</v>
      </c>
      <c r="G146" s="107"/>
      <c r="H146" s="108">
        <v>0.33333333333333298</v>
      </c>
      <c r="I146" s="109">
        <f t="shared" si="3"/>
        <v>1</v>
      </c>
      <c r="J146" s="109">
        <v>0.9</v>
      </c>
      <c r="K146" s="82"/>
      <c r="L146" s="112"/>
    </row>
    <row r="147" spans="1:12" ht="14.4" customHeight="1">
      <c r="A147" s="253"/>
      <c r="B147" s="244"/>
      <c r="C147" s="244"/>
      <c r="D147" s="78"/>
      <c r="E147" s="159"/>
      <c r="F147" s="111" t="s">
        <v>1252</v>
      </c>
      <c r="G147" s="107"/>
      <c r="H147" s="108">
        <v>0.33333333333333298</v>
      </c>
      <c r="I147" s="109">
        <f t="shared" si="3"/>
        <v>1</v>
      </c>
      <c r="J147" s="109">
        <v>0.9</v>
      </c>
      <c r="K147" s="82"/>
      <c r="L147" s="82"/>
    </row>
    <row r="148" spans="1:12" ht="14.4" customHeight="1">
      <c r="A148" s="253"/>
      <c r="B148" s="244"/>
      <c r="C148" s="245"/>
      <c r="D148" s="78"/>
      <c r="E148" s="113"/>
      <c r="F148" s="114" t="s">
        <v>1253</v>
      </c>
      <c r="G148" s="107"/>
      <c r="H148" s="108">
        <v>0.33333333333333298</v>
      </c>
      <c r="I148" s="109">
        <f t="shared" si="3"/>
        <v>1</v>
      </c>
      <c r="J148" s="109">
        <v>0.9</v>
      </c>
      <c r="K148" s="82"/>
      <c r="L148" s="82"/>
    </row>
    <row r="149" spans="1:12" ht="14.4" customHeight="1">
      <c r="A149" s="253"/>
      <c r="B149" s="244"/>
      <c r="C149" s="248" t="s">
        <v>1197</v>
      </c>
      <c r="D149" s="132" t="s">
        <v>1194</v>
      </c>
      <c r="E149" s="158"/>
      <c r="F149" s="125" t="s">
        <v>1251</v>
      </c>
      <c r="G149" s="126"/>
      <c r="H149" s="127">
        <v>0.33333333333333298</v>
      </c>
      <c r="I149" s="109">
        <f t="shared" si="3"/>
        <v>1</v>
      </c>
      <c r="J149" s="134">
        <v>0.9</v>
      </c>
      <c r="K149" s="135"/>
      <c r="L149" s="137"/>
    </row>
    <row r="150" spans="1:12" ht="14.4" customHeight="1">
      <c r="A150" s="253"/>
      <c r="B150" s="244"/>
      <c r="C150" s="249"/>
      <c r="D150" s="132" t="s">
        <v>1194</v>
      </c>
      <c r="E150" s="158"/>
      <c r="F150" s="129" t="s">
        <v>1252</v>
      </c>
      <c r="G150" s="126"/>
      <c r="H150" s="127">
        <v>0.33333333333333298</v>
      </c>
      <c r="I150" s="109">
        <f t="shared" si="3"/>
        <v>1</v>
      </c>
      <c r="J150" s="134">
        <v>0.9</v>
      </c>
      <c r="K150" s="135"/>
      <c r="L150" s="136"/>
    </row>
    <row r="151" spans="1:12" ht="15" customHeight="1" thickBot="1">
      <c r="A151" s="253"/>
      <c r="B151" s="245"/>
      <c r="C151" s="250"/>
      <c r="D151" s="132" t="s">
        <v>1194</v>
      </c>
      <c r="E151" s="133"/>
      <c r="F151" s="128" t="s">
        <v>1253</v>
      </c>
      <c r="G151" s="126"/>
      <c r="H151" s="131">
        <v>0.33333333333333298</v>
      </c>
      <c r="I151" s="115">
        <f t="shared" si="3"/>
        <v>1</v>
      </c>
      <c r="J151" s="134">
        <v>0.9</v>
      </c>
      <c r="K151" s="133"/>
      <c r="L151" s="136"/>
    </row>
    <row r="152" spans="1:12" ht="14.4" customHeight="1">
      <c r="A152" s="253"/>
      <c r="B152" s="251">
        <v>45763</v>
      </c>
      <c r="C152" s="243" t="s">
        <v>1198</v>
      </c>
      <c r="D152" s="78"/>
      <c r="E152" s="159"/>
      <c r="F152" s="111" t="s">
        <v>1251</v>
      </c>
      <c r="G152" s="107">
        <v>3.125E-2</v>
      </c>
      <c r="H152" s="108">
        <v>0.33333333333333298</v>
      </c>
      <c r="I152" s="109">
        <f t="shared" si="3"/>
        <v>0.90624999999999989</v>
      </c>
      <c r="J152" s="109">
        <v>0.9</v>
      </c>
      <c r="K152" s="82" t="s">
        <v>1375</v>
      </c>
      <c r="L152" s="112"/>
    </row>
    <row r="153" spans="1:12" ht="14.4" customHeight="1">
      <c r="A153" s="253"/>
      <c r="B153" s="244"/>
      <c r="C153" s="244"/>
      <c r="D153" s="78"/>
      <c r="E153" s="159"/>
      <c r="F153" s="106" t="s">
        <v>1252</v>
      </c>
      <c r="G153" s="107">
        <v>3.125E-2</v>
      </c>
      <c r="H153" s="108">
        <v>0.33333333333333298</v>
      </c>
      <c r="I153" s="109">
        <f t="shared" si="3"/>
        <v>0.90624999999999989</v>
      </c>
      <c r="J153" s="109">
        <v>0.9</v>
      </c>
      <c r="K153" s="82" t="s">
        <v>1375</v>
      </c>
      <c r="L153" s="82"/>
    </row>
    <row r="154" spans="1:12" ht="14.4" customHeight="1">
      <c r="A154" s="253"/>
      <c r="B154" s="244"/>
      <c r="C154" s="245"/>
      <c r="D154" s="78"/>
      <c r="E154" s="113"/>
      <c r="F154" s="114" t="s">
        <v>1253</v>
      </c>
      <c r="G154" s="107">
        <v>3.125E-2</v>
      </c>
      <c r="H154" s="108">
        <v>0.33333333333333298</v>
      </c>
      <c r="I154" s="109">
        <f t="shared" si="3"/>
        <v>0.90624999999999989</v>
      </c>
      <c r="J154" s="109">
        <v>0.9</v>
      </c>
      <c r="K154" s="82" t="s">
        <v>1375</v>
      </c>
      <c r="L154" s="82"/>
    </row>
    <row r="155" spans="1:12" ht="14.4" customHeight="1">
      <c r="A155" s="253"/>
      <c r="B155" s="244"/>
      <c r="C155" s="248" t="s">
        <v>1196</v>
      </c>
      <c r="D155" s="132"/>
      <c r="E155" s="158"/>
      <c r="F155" s="125" t="s">
        <v>1251</v>
      </c>
      <c r="G155" s="126">
        <v>9.0277777777777776E-2</v>
      </c>
      <c r="H155" s="127">
        <v>0.33333333333333298</v>
      </c>
      <c r="I155" s="109">
        <f t="shared" si="3"/>
        <v>0.72916666666666641</v>
      </c>
      <c r="J155" s="134">
        <v>0.9</v>
      </c>
      <c r="K155" s="135" t="s">
        <v>1376</v>
      </c>
      <c r="L155" s="137" t="s">
        <v>1377</v>
      </c>
    </row>
    <row r="156" spans="1:12" ht="14.4" customHeight="1">
      <c r="A156" s="253"/>
      <c r="B156" s="244"/>
      <c r="C156" s="249"/>
      <c r="D156" s="132"/>
      <c r="E156" s="158"/>
      <c r="F156" s="129" t="s">
        <v>1252</v>
      </c>
      <c r="G156" s="126">
        <v>9.0277777777777776E-2</v>
      </c>
      <c r="H156" s="127">
        <v>0.33333333333333298</v>
      </c>
      <c r="I156" s="109">
        <f t="shared" si="3"/>
        <v>0.72916666666666641</v>
      </c>
      <c r="J156" s="134">
        <v>0.9</v>
      </c>
      <c r="K156" s="135" t="s">
        <v>1376</v>
      </c>
      <c r="L156" s="137" t="s">
        <v>1377</v>
      </c>
    </row>
    <row r="157" spans="1:12" ht="14.4" customHeight="1">
      <c r="A157" s="253"/>
      <c r="B157" s="244"/>
      <c r="C157" s="250"/>
      <c r="D157" s="132"/>
      <c r="E157" s="133"/>
      <c r="F157" s="128" t="s">
        <v>1253</v>
      </c>
      <c r="G157" s="126">
        <v>9.0277777777777776E-2</v>
      </c>
      <c r="H157" s="127">
        <v>0.33333333333333298</v>
      </c>
      <c r="I157" s="109">
        <f t="shared" si="3"/>
        <v>0.72916666666666641</v>
      </c>
      <c r="J157" s="134">
        <v>0.9</v>
      </c>
      <c r="K157" s="135" t="s">
        <v>1376</v>
      </c>
      <c r="L157" s="137" t="s">
        <v>1377</v>
      </c>
    </row>
    <row r="158" spans="1:12" ht="14.4" customHeight="1">
      <c r="A158" s="253"/>
      <c r="B158" s="244"/>
      <c r="C158" s="243" t="s">
        <v>1197</v>
      </c>
      <c r="D158" s="78" t="s">
        <v>1194</v>
      </c>
      <c r="E158" s="159"/>
      <c r="F158" s="111" t="s">
        <v>1251</v>
      </c>
      <c r="G158" s="107"/>
      <c r="H158" s="108">
        <v>0.33333333333333298</v>
      </c>
      <c r="I158" s="109">
        <f t="shared" si="3"/>
        <v>1</v>
      </c>
      <c r="J158" s="109">
        <v>0.9</v>
      </c>
      <c r="K158" s="82"/>
      <c r="L158" s="112"/>
    </row>
    <row r="159" spans="1:12" ht="14.4" customHeight="1">
      <c r="A159" s="253"/>
      <c r="B159" s="244"/>
      <c r="C159" s="244"/>
      <c r="D159" s="78" t="s">
        <v>1194</v>
      </c>
      <c r="E159" s="159"/>
      <c r="F159" s="106" t="s">
        <v>1252</v>
      </c>
      <c r="G159" s="107"/>
      <c r="H159" s="108">
        <v>0.33333333333333298</v>
      </c>
      <c r="I159" s="109">
        <f t="shared" si="3"/>
        <v>1</v>
      </c>
      <c r="J159" s="109">
        <v>0.9</v>
      </c>
      <c r="K159" s="82"/>
      <c r="L159" s="82"/>
    </row>
    <row r="160" spans="1:12" ht="15" customHeight="1" thickBot="1">
      <c r="A160" s="253"/>
      <c r="B160" s="245"/>
      <c r="C160" s="245"/>
      <c r="D160" s="78" t="s">
        <v>1194</v>
      </c>
      <c r="E160" s="113"/>
      <c r="F160" s="114" t="s">
        <v>1253</v>
      </c>
      <c r="G160" s="107"/>
      <c r="H160" s="108">
        <v>0.33333333333333298</v>
      </c>
      <c r="I160" s="109">
        <f t="shared" si="3"/>
        <v>1</v>
      </c>
      <c r="J160" s="109">
        <v>0.9</v>
      </c>
      <c r="K160" s="82"/>
      <c r="L160" s="82"/>
    </row>
    <row r="161" spans="1:12" ht="14.4" customHeight="1">
      <c r="A161" s="253"/>
      <c r="B161" s="251">
        <v>45764</v>
      </c>
      <c r="C161" s="248" t="s">
        <v>1198</v>
      </c>
      <c r="D161" s="132" t="s">
        <v>1193</v>
      </c>
      <c r="E161" s="158"/>
      <c r="F161" s="125" t="s">
        <v>1251</v>
      </c>
      <c r="G161" s="126"/>
      <c r="H161" s="127">
        <v>0.33333333333333298</v>
      </c>
      <c r="I161" s="109">
        <f t="shared" si="3"/>
        <v>1</v>
      </c>
      <c r="J161" s="134">
        <v>0.9</v>
      </c>
      <c r="K161" s="135"/>
      <c r="L161" s="137"/>
    </row>
    <row r="162" spans="1:12" ht="14.4" customHeight="1">
      <c r="A162" s="253"/>
      <c r="B162" s="244"/>
      <c r="C162" s="249"/>
      <c r="D162" s="132" t="s">
        <v>1193</v>
      </c>
      <c r="E162" s="158"/>
      <c r="F162" s="129" t="s">
        <v>1252</v>
      </c>
      <c r="G162" s="126"/>
      <c r="H162" s="127">
        <v>0.33333333333333298</v>
      </c>
      <c r="I162" s="109">
        <f t="shared" si="3"/>
        <v>1</v>
      </c>
      <c r="J162" s="134">
        <v>0.9</v>
      </c>
      <c r="K162" s="135"/>
      <c r="L162" s="136"/>
    </row>
    <row r="163" spans="1:12" ht="14.4" customHeight="1">
      <c r="A163" s="253"/>
      <c r="B163" s="244"/>
      <c r="C163" s="250"/>
      <c r="D163" s="132" t="s">
        <v>1193</v>
      </c>
      <c r="E163" s="133"/>
      <c r="F163" s="128" t="s">
        <v>1253</v>
      </c>
      <c r="G163" s="126"/>
      <c r="H163" s="127">
        <v>0.33333333333333298</v>
      </c>
      <c r="I163" s="109">
        <f t="shared" si="3"/>
        <v>1</v>
      </c>
      <c r="J163" s="134">
        <v>0.9</v>
      </c>
      <c r="K163" s="133"/>
      <c r="L163" s="136"/>
    </row>
    <row r="164" spans="1:12" ht="14.4" customHeight="1">
      <c r="A164" s="253"/>
      <c r="B164" s="244"/>
      <c r="C164" s="243" t="s">
        <v>1196</v>
      </c>
      <c r="D164" s="78"/>
      <c r="E164" s="159"/>
      <c r="F164" s="111" t="s">
        <v>1251</v>
      </c>
      <c r="G164" s="107"/>
      <c r="H164" s="108">
        <v>0.33333333333333298</v>
      </c>
      <c r="I164" s="109">
        <f t="shared" si="3"/>
        <v>1</v>
      </c>
      <c r="J164" s="109">
        <v>0.9</v>
      </c>
      <c r="K164" s="82"/>
      <c r="L164" s="112"/>
    </row>
    <row r="165" spans="1:12" ht="14.4" customHeight="1">
      <c r="A165" s="253"/>
      <c r="B165" s="244"/>
      <c r="C165" s="244"/>
      <c r="D165" s="78"/>
      <c r="E165" s="159"/>
      <c r="F165" s="106" t="s">
        <v>1252</v>
      </c>
      <c r="G165" s="107"/>
      <c r="H165" s="108">
        <v>0.33333333333333298</v>
      </c>
      <c r="I165" s="109">
        <f t="shared" si="3"/>
        <v>1</v>
      </c>
      <c r="J165" s="109">
        <v>0.9</v>
      </c>
      <c r="K165" s="82"/>
      <c r="L165" s="82"/>
    </row>
    <row r="166" spans="1:12" ht="14.4" customHeight="1">
      <c r="A166" s="253"/>
      <c r="B166" s="244"/>
      <c r="C166" s="245"/>
      <c r="D166" s="78"/>
      <c r="E166" s="113"/>
      <c r="F166" s="114" t="s">
        <v>1253</v>
      </c>
      <c r="G166" s="107"/>
      <c r="H166" s="108">
        <v>0.33333333333333298</v>
      </c>
      <c r="I166" s="109">
        <f t="shared" si="3"/>
        <v>1</v>
      </c>
      <c r="J166" s="109">
        <v>0.9</v>
      </c>
      <c r="K166" s="82"/>
      <c r="L166" s="82"/>
    </row>
    <row r="167" spans="1:12" ht="14.4" customHeight="1">
      <c r="A167" s="253"/>
      <c r="B167" s="244"/>
      <c r="C167" s="248" t="s">
        <v>1197</v>
      </c>
      <c r="D167" s="132"/>
      <c r="E167" s="158"/>
      <c r="F167" s="125" t="s">
        <v>1251</v>
      </c>
      <c r="G167" s="126"/>
      <c r="H167" s="127">
        <v>0.33333333333333298</v>
      </c>
      <c r="I167" s="109">
        <f t="shared" si="3"/>
        <v>1</v>
      </c>
      <c r="J167" s="134">
        <v>0.9</v>
      </c>
      <c r="K167" s="133"/>
      <c r="L167" s="137"/>
    </row>
    <row r="168" spans="1:12" ht="14.4" customHeight="1">
      <c r="A168" s="253"/>
      <c r="B168" s="244"/>
      <c r="C168" s="249"/>
      <c r="D168" s="132"/>
      <c r="E168" s="158"/>
      <c r="F168" s="129" t="s">
        <v>1252</v>
      </c>
      <c r="G168" s="126"/>
      <c r="H168" s="127">
        <v>0.33333333333333298</v>
      </c>
      <c r="I168" s="109">
        <f t="shared" si="3"/>
        <v>1</v>
      </c>
      <c r="J168" s="134">
        <v>0.9</v>
      </c>
      <c r="K168" s="135"/>
      <c r="L168" s="136"/>
    </row>
    <row r="169" spans="1:12" ht="15" customHeight="1" thickBot="1">
      <c r="A169" s="253"/>
      <c r="B169" s="245"/>
      <c r="C169" s="250"/>
      <c r="D169" s="132"/>
      <c r="E169" s="133"/>
      <c r="F169" s="128" t="s">
        <v>1253</v>
      </c>
      <c r="G169" s="126"/>
      <c r="H169" s="127">
        <v>0.33333333333333298</v>
      </c>
      <c r="I169" s="109">
        <f t="shared" si="3"/>
        <v>1</v>
      </c>
      <c r="J169" s="134">
        <v>0.9</v>
      </c>
      <c r="K169" s="133"/>
      <c r="L169" s="136"/>
    </row>
    <row r="170" spans="1:12" ht="14.4" customHeight="1">
      <c r="A170" s="253"/>
      <c r="B170" s="251">
        <v>45765</v>
      </c>
      <c r="C170" s="243" t="s">
        <v>1198</v>
      </c>
      <c r="D170" s="78" t="s">
        <v>1193</v>
      </c>
      <c r="E170" s="159"/>
      <c r="F170" s="111" t="s">
        <v>1251</v>
      </c>
      <c r="G170" s="107"/>
      <c r="H170" s="108">
        <v>0.33333333333333298</v>
      </c>
      <c r="I170" s="109">
        <f t="shared" si="3"/>
        <v>1</v>
      </c>
      <c r="J170" s="109">
        <v>0.9</v>
      </c>
      <c r="K170" s="82"/>
      <c r="L170" s="112"/>
    </row>
    <row r="171" spans="1:12" ht="14.4" customHeight="1">
      <c r="A171" s="253"/>
      <c r="B171" s="244"/>
      <c r="C171" s="244"/>
      <c r="D171" s="78" t="s">
        <v>1193</v>
      </c>
      <c r="E171" s="159"/>
      <c r="F171" s="106" t="s">
        <v>1252</v>
      </c>
      <c r="G171" s="107"/>
      <c r="H171" s="108">
        <v>0.33333333333333298</v>
      </c>
      <c r="I171" s="109">
        <f t="shared" si="3"/>
        <v>1</v>
      </c>
      <c r="J171" s="109">
        <v>0.9</v>
      </c>
      <c r="K171" s="82"/>
      <c r="L171" s="82"/>
    </row>
    <row r="172" spans="1:12" ht="14.4" customHeight="1">
      <c r="A172" s="253"/>
      <c r="B172" s="244"/>
      <c r="C172" s="245"/>
      <c r="D172" s="78" t="s">
        <v>1193</v>
      </c>
      <c r="E172" s="113"/>
      <c r="F172" s="114" t="s">
        <v>1253</v>
      </c>
      <c r="G172" s="107"/>
      <c r="H172" s="108">
        <v>0.33333333333333298</v>
      </c>
      <c r="I172" s="109">
        <f t="shared" si="3"/>
        <v>1</v>
      </c>
      <c r="J172" s="109">
        <v>0.9</v>
      </c>
      <c r="K172" s="82"/>
      <c r="L172" s="82"/>
    </row>
    <row r="173" spans="1:12" ht="14.4" customHeight="1">
      <c r="A173" s="253"/>
      <c r="B173" s="244"/>
      <c r="C173" s="248" t="s">
        <v>1196</v>
      </c>
      <c r="D173" s="132"/>
      <c r="E173" s="158"/>
      <c r="F173" s="125" t="s">
        <v>1251</v>
      </c>
      <c r="G173" s="126"/>
      <c r="H173" s="127">
        <v>0.33333333333333298</v>
      </c>
      <c r="I173" s="109">
        <f t="shared" si="3"/>
        <v>1</v>
      </c>
      <c r="J173" s="134">
        <v>0.9</v>
      </c>
      <c r="K173" s="135"/>
      <c r="L173" s="137"/>
    </row>
    <row r="174" spans="1:12" ht="14.4" customHeight="1">
      <c r="A174" s="253"/>
      <c r="B174" s="244"/>
      <c r="C174" s="249"/>
      <c r="D174" s="132"/>
      <c r="E174" s="158"/>
      <c r="F174" s="129" t="s">
        <v>1252</v>
      </c>
      <c r="G174" s="126"/>
      <c r="H174" s="127">
        <v>0.33333333333333298</v>
      </c>
      <c r="I174" s="109">
        <f t="shared" si="3"/>
        <v>1</v>
      </c>
      <c r="J174" s="134">
        <v>0.9</v>
      </c>
      <c r="K174" s="135"/>
      <c r="L174" s="136"/>
    </row>
    <row r="175" spans="1:12" ht="14.4" customHeight="1">
      <c r="A175" s="253"/>
      <c r="B175" s="244"/>
      <c r="C175" s="250"/>
      <c r="D175" s="132"/>
      <c r="E175" s="133"/>
      <c r="F175" s="128" t="s">
        <v>1253</v>
      </c>
      <c r="G175" s="126"/>
      <c r="H175" s="127">
        <v>0.33333333333333298</v>
      </c>
      <c r="I175" s="109">
        <f t="shared" si="3"/>
        <v>1</v>
      </c>
      <c r="J175" s="134">
        <v>0.9</v>
      </c>
      <c r="K175" s="133"/>
      <c r="L175" s="136"/>
    </row>
    <row r="176" spans="1:12" ht="14.4" customHeight="1">
      <c r="A176" s="253"/>
      <c r="B176" s="244"/>
      <c r="C176" s="243" t="s">
        <v>1197</v>
      </c>
      <c r="D176" s="78" t="s">
        <v>1192</v>
      </c>
      <c r="E176" s="159"/>
      <c r="F176" s="111" t="s">
        <v>1251</v>
      </c>
      <c r="G176" s="107"/>
      <c r="H176" s="108">
        <v>0.33333333333333298</v>
      </c>
      <c r="I176" s="109">
        <f t="shared" si="3"/>
        <v>1</v>
      </c>
      <c r="J176" s="109">
        <v>0.9</v>
      </c>
      <c r="K176" s="82"/>
      <c r="L176" s="82"/>
    </row>
    <row r="177" spans="1:12" ht="14.4" customHeight="1">
      <c r="A177" s="253"/>
      <c r="B177" s="244"/>
      <c r="C177" s="244"/>
      <c r="D177" s="78" t="s">
        <v>1192</v>
      </c>
      <c r="E177" s="159"/>
      <c r="F177" s="106" t="s">
        <v>1252</v>
      </c>
      <c r="G177" s="107"/>
      <c r="H177" s="108">
        <v>0.33333333333333298</v>
      </c>
      <c r="I177" s="109">
        <f t="shared" si="3"/>
        <v>1</v>
      </c>
      <c r="J177" s="109">
        <v>0.9</v>
      </c>
      <c r="K177" s="82"/>
      <c r="L177" s="82"/>
    </row>
    <row r="178" spans="1:12" ht="14.4" customHeight="1" thickBot="1">
      <c r="A178" s="253"/>
      <c r="B178" s="245"/>
      <c r="C178" s="245"/>
      <c r="D178" s="78" t="s">
        <v>1192</v>
      </c>
      <c r="E178" s="113"/>
      <c r="F178" s="114" t="s">
        <v>1253</v>
      </c>
      <c r="G178" s="107">
        <v>0.30208333333333331</v>
      </c>
      <c r="H178" s="123">
        <v>0.33333333333333331</v>
      </c>
      <c r="I178" s="109">
        <f t="shared" si="3"/>
        <v>9.375E-2</v>
      </c>
      <c r="J178" s="109">
        <v>0.9</v>
      </c>
      <c r="K178" s="82" t="s">
        <v>1378</v>
      </c>
      <c r="L178" s="82"/>
    </row>
    <row r="179" spans="1:12" ht="14.4" customHeight="1">
      <c r="A179" s="253"/>
      <c r="B179" s="251">
        <v>45766</v>
      </c>
      <c r="C179" s="243" t="s">
        <v>1198</v>
      </c>
      <c r="D179" s="78" t="s">
        <v>1194</v>
      </c>
      <c r="E179" s="159"/>
      <c r="F179" s="111" t="s">
        <v>1251</v>
      </c>
      <c r="G179" s="107">
        <v>6.805555555555555E-2</v>
      </c>
      <c r="H179" s="108">
        <v>0.33333333333333298</v>
      </c>
      <c r="I179" s="109">
        <f t="shared" si="3"/>
        <v>0.79583333333333317</v>
      </c>
      <c r="J179" s="109">
        <v>0.9</v>
      </c>
      <c r="K179" s="82" t="s">
        <v>1378</v>
      </c>
      <c r="L179" s="112"/>
    </row>
    <row r="180" spans="1:12" ht="14.4" customHeight="1">
      <c r="A180" s="253"/>
      <c r="B180" s="244"/>
      <c r="C180" s="244"/>
      <c r="D180" s="78" t="s">
        <v>1194</v>
      </c>
      <c r="E180" s="159"/>
      <c r="F180" s="106" t="s">
        <v>1252</v>
      </c>
      <c r="G180" s="107">
        <v>6.805555555555555E-2</v>
      </c>
      <c r="H180" s="108">
        <v>0.33333333333333298</v>
      </c>
      <c r="I180" s="109">
        <f t="shared" si="3"/>
        <v>0.79583333333333317</v>
      </c>
      <c r="J180" s="109">
        <v>0.9</v>
      </c>
      <c r="K180" s="82" t="s">
        <v>1378</v>
      </c>
      <c r="L180" s="82"/>
    </row>
    <row r="181" spans="1:12" ht="14.4" customHeight="1">
      <c r="A181" s="253"/>
      <c r="B181" s="244"/>
      <c r="C181" s="245"/>
      <c r="D181" s="78" t="s">
        <v>1194</v>
      </c>
      <c r="E181" s="113"/>
      <c r="F181" s="114" t="s">
        <v>1253</v>
      </c>
      <c r="G181" s="107">
        <v>6.805555555555555E-2</v>
      </c>
      <c r="H181" s="108">
        <v>0.33333333333333298</v>
      </c>
      <c r="I181" s="109">
        <f t="shared" si="3"/>
        <v>0.79583333333333317</v>
      </c>
      <c r="J181" s="109">
        <v>0.9</v>
      </c>
      <c r="K181" s="82" t="s">
        <v>1378</v>
      </c>
      <c r="L181" s="82"/>
    </row>
    <row r="182" spans="1:12" ht="14.4" customHeight="1">
      <c r="A182" s="253"/>
      <c r="B182" s="244"/>
      <c r="C182" s="248" t="s">
        <v>1196</v>
      </c>
      <c r="D182" s="132" t="s">
        <v>1193</v>
      </c>
      <c r="E182" s="158"/>
      <c r="F182" s="125" t="s">
        <v>1251</v>
      </c>
      <c r="G182" s="126">
        <v>6.25E-2</v>
      </c>
      <c r="H182" s="127">
        <v>0.33333333333333298</v>
      </c>
      <c r="I182" s="109">
        <f t="shared" si="3"/>
        <v>0.81249999999999978</v>
      </c>
      <c r="J182" s="134">
        <v>0.9</v>
      </c>
      <c r="K182" s="135" t="s">
        <v>1378</v>
      </c>
      <c r="L182" s="137"/>
    </row>
    <row r="183" spans="1:12" ht="14.4" customHeight="1">
      <c r="A183" s="253"/>
      <c r="B183" s="244"/>
      <c r="C183" s="249"/>
      <c r="D183" s="132" t="s">
        <v>1193</v>
      </c>
      <c r="E183" s="158"/>
      <c r="F183" s="129" t="s">
        <v>1252</v>
      </c>
      <c r="G183" s="126">
        <v>6.25E-2</v>
      </c>
      <c r="H183" s="127">
        <v>0.33333333333333298</v>
      </c>
      <c r="I183" s="109">
        <f t="shared" si="3"/>
        <v>0.81249999999999978</v>
      </c>
      <c r="J183" s="134">
        <v>0.9</v>
      </c>
      <c r="K183" s="135" t="s">
        <v>1378</v>
      </c>
      <c r="L183" s="136"/>
    </row>
    <row r="184" spans="1:12" ht="14.4" customHeight="1">
      <c r="A184" s="253"/>
      <c r="B184" s="244"/>
      <c r="C184" s="250"/>
      <c r="D184" s="132" t="s">
        <v>1193</v>
      </c>
      <c r="E184" s="133"/>
      <c r="F184" s="128" t="s">
        <v>1253</v>
      </c>
      <c r="G184" s="126">
        <v>6.25E-2</v>
      </c>
      <c r="H184" s="127">
        <v>0.33333333333333298</v>
      </c>
      <c r="I184" s="109">
        <f t="shared" si="3"/>
        <v>0.81249999999999978</v>
      </c>
      <c r="J184" s="134">
        <v>0.9</v>
      </c>
      <c r="K184" s="135" t="s">
        <v>1378</v>
      </c>
      <c r="L184" s="136"/>
    </row>
    <row r="185" spans="1:12" ht="14.4" customHeight="1">
      <c r="A185" s="253"/>
      <c r="B185" s="244"/>
      <c r="C185" s="243" t="s">
        <v>1197</v>
      </c>
      <c r="D185" s="78"/>
      <c r="E185" s="159"/>
      <c r="F185" s="111" t="s">
        <v>1251</v>
      </c>
      <c r="G185" s="107"/>
      <c r="H185" s="108">
        <v>0.33333333333333298</v>
      </c>
      <c r="I185" s="109">
        <f t="shared" si="3"/>
        <v>1</v>
      </c>
      <c r="J185" s="109">
        <v>0.9</v>
      </c>
      <c r="K185" s="82"/>
      <c r="L185" s="82"/>
    </row>
    <row r="186" spans="1:12" ht="14.4" customHeight="1">
      <c r="A186" s="253"/>
      <c r="B186" s="244"/>
      <c r="C186" s="244"/>
      <c r="D186" s="78"/>
      <c r="E186" s="159"/>
      <c r="F186" s="106" t="s">
        <v>1252</v>
      </c>
      <c r="G186" s="107"/>
      <c r="H186" s="108">
        <v>0.33333333333333298</v>
      </c>
      <c r="I186" s="109">
        <f t="shared" si="3"/>
        <v>1</v>
      </c>
      <c r="J186" s="109">
        <v>0.9</v>
      </c>
      <c r="K186" s="82"/>
      <c r="L186" s="82"/>
    </row>
    <row r="187" spans="1:12" ht="14.4" customHeight="1" thickBot="1">
      <c r="A187" s="253"/>
      <c r="B187" s="245"/>
      <c r="C187" s="245"/>
      <c r="D187" s="78"/>
      <c r="E187" s="113"/>
      <c r="F187" s="114" t="s">
        <v>1253</v>
      </c>
      <c r="G187" s="107"/>
      <c r="H187" s="123">
        <v>0.33333333333333298</v>
      </c>
      <c r="I187" s="109">
        <f t="shared" si="3"/>
        <v>1</v>
      </c>
      <c r="J187" s="109">
        <v>0.9</v>
      </c>
      <c r="K187" s="82"/>
      <c r="L187" s="82"/>
    </row>
    <row r="188" spans="1:12" ht="14.4" customHeight="1">
      <c r="A188" s="253"/>
      <c r="B188" s="251">
        <v>45767</v>
      </c>
      <c r="C188" s="243" t="s">
        <v>1198</v>
      </c>
      <c r="D188" s="78"/>
      <c r="E188" s="159"/>
      <c r="F188" s="111" t="s">
        <v>1251</v>
      </c>
      <c r="G188" s="107"/>
      <c r="H188" s="108">
        <v>0.33333333333333298</v>
      </c>
      <c r="I188" s="109">
        <f t="shared" si="3"/>
        <v>1</v>
      </c>
      <c r="J188" s="109">
        <v>0.9</v>
      </c>
      <c r="K188" s="82"/>
      <c r="L188" s="112"/>
    </row>
    <row r="189" spans="1:12" ht="14.4" customHeight="1">
      <c r="A189" s="253"/>
      <c r="B189" s="244"/>
      <c r="C189" s="244"/>
      <c r="D189" s="78"/>
      <c r="E189" s="159"/>
      <c r="F189" s="106" t="s">
        <v>1252</v>
      </c>
      <c r="G189" s="107"/>
      <c r="H189" s="108">
        <v>0.33333333333333298</v>
      </c>
      <c r="I189" s="109">
        <f t="shared" si="3"/>
        <v>1</v>
      </c>
      <c r="J189" s="109">
        <v>0.9</v>
      </c>
      <c r="K189" s="82"/>
      <c r="L189" s="82"/>
    </row>
    <row r="190" spans="1:12" ht="14.4" customHeight="1">
      <c r="A190" s="253"/>
      <c r="B190" s="244"/>
      <c r="C190" s="245"/>
      <c r="D190" s="78"/>
      <c r="E190" s="113"/>
      <c r="F190" s="114" t="s">
        <v>1253</v>
      </c>
      <c r="G190" s="107"/>
      <c r="H190" s="108">
        <v>0.33333333333333298</v>
      </c>
      <c r="I190" s="109">
        <f t="shared" si="3"/>
        <v>1</v>
      </c>
      <c r="J190" s="109">
        <v>0.9</v>
      </c>
      <c r="K190" s="82"/>
      <c r="L190" s="82"/>
    </row>
    <row r="191" spans="1:12" ht="14.4" customHeight="1">
      <c r="A191" s="253"/>
      <c r="B191" s="244"/>
      <c r="C191" s="248" t="s">
        <v>1196</v>
      </c>
      <c r="D191" s="132"/>
      <c r="E191" s="158"/>
      <c r="F191" s="125" t="s">
        <v>1251</v>
      </c>
      <c r="G191" s="126"/>
      <c r="H191" s="127">
        <v>0.33333333333333298</v>
      </c>
      <c r="I191" s="109">
        <f t="shared" si="3"/>
        <v>1</v>
      </c>
      <c r="J191" s="134">
        <v>0.9</v>
      </c>
      <c r="K191" s="135"/>
      <c r="L191" s="137"/>
    </row>
    <row r="192" spans="1:12" ht="14.4" customHeight="1">
      <c r="A192" s="253"/>
      <c r="B192" s="244"/>
      <c r="C192" s="249"/>
      <c r="D192" s="132"/>
      <c r="E192" s="158"/>
      <c r="F192" s="129" t="s">
        <v>1252</v>
      </c>
      <c r="G192" s="126"/>
      <c r="H192" s="127">
        <v>0.33333333333333298</v>
      </c>
      <c r="I192" s="109">
        <f t="shared" si="3"/>
        <v>1</v>
      </c>
      <c r="J192" s="134">
        <v>0.9</v>
      </c>
      <c r="K192" s="135"/>
      <c r="L192" s="137"/>
    </row>
    <row r="193" spans="1:12" ht="14.4" customHeight="1">
      <c r="A193" s="253"/>
      <c r="B193" s="244"/>
      <c r="C193" s="250"/>
      <c r="D193" s="132"/>
      <c r="E193" s="133"/>
      <c r="F193" s="128" t="s">
        <v>1253</v>
      </c>
      <c r="G193" s="126"/>
      <c r="H193" s="127">
        <v>0.33333333333333298</v>
      </c>
      <c r="I193" s="109">
        <f t="shared" si="3"/>
        <v>1</v>
      </c>
      <c r="J193" s="134">
        <v>0.9</v>
      </c>
      <c r="K193" s="135"/>
      <c r="L193" s="137"/>
    </row>
    <row r="194" spans="1:12" ht="14.4" customHeight="1">
      <c r="A194" s="253"/>
      <c r="B194" s="244"/>
      <c r="C194" s="243" t="s">
        <v>1197</v>
      </c>
      <c r="D194" s="78"/>
      <c r="E194" s="159"/>
      <c r="F194" s="111" t="s">
        <v>1251</v>
      </c>
      <c r="G194" s="107"/>
      <c r="H194" s="108">
        <v>0.33333333333333298</v>
      </c>
      <c r="I194" s="109">
        <f t="shared" si="3"/>
        <v>1</v>
      </c>
      <c r="J194" s="109">
        <v>0.9</v>
      </c>
      <c r="K194" s="82"/>
      <c r="L194" s="82"/>
    </row>
    <row r="195" spans="1:12" ht="14.4" customHeight="1">
      <c r="A195" s="253"/>
      <c r="B195" s="244"/>
      <c r="C195" s="244"/>
      <c r="D195" s="78"/>
      <c r="E195" s="159"/>
      <c r="F195" s="106" t="s">
        <v>1252</v>
      </c>
      <c r="G195" s="107"/>
      <c r="H195" s="108">
        <v>0.33333333333333298</v>
      </c>
      <c r="I195" s="109">
        <f t="shared" si="3"/>
        <v>1</v>
      </c>
      <c r="J195" s="109">
        <v>0.9</v>
      </c>
      <c r="K195" s="82"/>
      <c r="L195" s="82"/>
    </row>
    <row r="196" spans="1:12" ht="14.4" customHeight="1">
      <c r="A196" s="253"/>
      <c r="B196" s="245"/>
      <c r="C196" s="245"/>
      <c r="D196" s="78"/>
      <c r="E196" s="113"/>
      <c r="F196" s="114" t="s">
        <v>1253</v>
      </c>
      <c r="G196" s="107"/>
      <c r="H196" s="123">
        <v>0.33333333333333298</v>
      </c>
      <c r="I196" s="109">
        <f t="shared" si="3"/>
        <v>1</v>
      </c>
      <c r="J196" s="109">
        <v>0.9</v>
      </c>
      <c r="K196" s="82"/>
      <c r="L196" s="82"/>
    </row>
    <row r="197" spans="1:12" ht="14.4" customHeight="1">
      <c r="A197" s="253"/>
      <c r="B197" s="117"/>
      <c r="C197" s="117"/>
      <c r="D197" s="118"/>
      <c r="E197" s="118"/>
      <c r="F197" s="119" t="s">
        <v>1251</v>
      </c>
      <c r="G197" s="124"/>
      <c r="H197" s="124"/>
      <c r="I197" s="120">
        <f>AVERAGEIF(F134:F178,F197,I134:I178)</f>
        <v>0.97569444444444442</v>
      </c>
      <c r="J197" s="121">
        <v>0.9</v>
      </c>
      <c r="K197" s="118"/>
      <c r="L197" s="116"/>
    </row>
    <row r="198" spans="1:12" ht="14.4" customHeight="1">
      <c r="A198" s="253"/>
      <c r="B198" s="117"/>
      <c r="C198" s="117"/>
      <c r="D198" s="118"/>
      <c r="E198" s="118"/>
      <c r="F198" s="119" t="s">
        <v>1252</v>
      </c>
      <c r="G198" s="124"/>
      <c r="H198" s="124"/>
      <c r="I198" s="120">
        <f>AVERAGEIF(F135:F197,F198,I135:I197)</f>
        <v>0.95624999999999982</v>
      </c>
      <c r="J198" s="121">
        <v>0.9</v>
      </c>
      <c r="K198" s="118"/>
      <c r="L198" s="116"/>
    </row>
    <row r="199" spans="1:12" ht="14.4" customHeight="1" thickBot="1">
      <c r="A199" s="253"/>
      <c r="B199" s="117"/>
      <c r="C199" s="117"/>
      <c r="D199" s="118"/>
      <c r="E199" s="118"/>
      <c r="F199" s="119" t="s">
        <v>1253</v>
      </c>
      <c r="G199" s="124"/>
      <c r="H199" s="124"/>
      <c r="I199" s="120">
        <f>AVERAGEIF(F136:F198,F199,I136:I198)</f>
        <v>0.91309523809523796</v>
      </c>
      <c r="J199" s="121">
        <v>0.9</v>
      </c>
      <c r="K199" s="118"/>
      <c r="L199" s="116"/>
    </row>
    <row r="200" spans="1:12" ht="14.4" customHeight="1">
      <c r="A200" s="252" t="s">
        <v>1364</v>
      </c>
      <c r="B200" s="251">
        <v>45768</v>
      </c>
      <c r="C200" s="243" t="s">
        <v>1198</v>
      </c>
      <c r="D200" s="110"/>
      <c r="E200" s="156"/>
      <c r="F200" s="111" t="s">
        <v>1251</v>
      </c>
      <c r="G200" s="107"/>
      <c r="H200" s="108">
        <v>0.33333333333333331</v>
      </c>
      <c r="I200" s="109">
        <f>1-(G200/H200)</f>
        <v>1</v>
      </c>
      <c r="J200" s="109">
        <v>0.9</v>
      </c>
      <c r="K200" s="82"/>
      <c r="L200" s="82"/>
    </row>
    <row r="201" spans="1:12" ht="14.4" customHeight="1">
      <c r="A201" s="253"/>
      <c r="B201" s="244"/>
      <c r="C201" s="244"/>
      <c r="D201" s="110"/>
      <c r="E201" s="156"/>
      <c r="F201" s="111" t="s">
        <v>1252</v>
      </c>
      <c r="G201" s="107"/>
      <c r="H201" s="108">
        <v>0.33333333333333331</v>
      </c>
      <c r="I201" s="109">
        <f>1-(G201/H201)</f>
        <v>1</v>
      </c>
      <c r="J201" s="109">
        <v>0.9</v>
      </c>
      <c r="K201" s="82"/>
      <c r="L201" s="82"/>
    </row>
    <row r="202" spans="1:12" ht="14.4" customHeight="1">
      <c r="A202" s="253"/>
      <c r="B202" s="244"/>
      <c r="C202" s="245"/>
      <c r="D202" s="110"/>
      <c r="E202" s="157"/>
      <c r="F202" s="114" t="s">
        <v>1253</v>
      </c>
      <c r="G202" s="107"/>
      <c r="H202" s="108">
        <v>0.33333333333333298</v>
      </c>
      <c r="I202" s="109">
        <f t="shared" ref="I202:I262" si="4">1-(G202/H202)</f>
        <v>1</v>
      </c>
      <c r="J202" s="109">
        <v>0.9</v>
      </c>
      <c r="K202" s="82"/>
      <c r="L202" s="82"/>
    </row>
    <row r="203" spans="1:12" ht="14.4" customHeight="1">
      <c r="A203" s="253"/>
      <c r="B203" s="244"/>
      <c r="C203" s="248" t="s">
        <v>1196</v>
      </c>
      <c r="D203" s="132"/>
      <c r="E203" s="158"/>
      <c r="F203" s="125" t="s">
        <v>1251</v>
      </c>
      <c r="G203" s="126"/>
      <c r="H203" s="127">
        <v>0.33333333333333331</v>
      </c>
      <c r="I203" s="109">
        <f t="shared" si="4"/>
        <v>1</v>
      </c>
      <c r="J203" s="134">
        <v>0.9</v>
      </c>
      <c r="K203" s="135"/>
      <c r="L203" s="136"/>
    </row>
    <row r="204" spans="1:12" ht="14.4" customHeight="1">
      <c r="A204" s="253"/>
      <c r="B204" s="244"/>
      <c r="C204" s="249"/>
      <c r="D204" s="132"/>
      <c r="E204" s="158"/>
      <c r="F204" s="125" t="s">
        <v>1252</v>
      </c>
      <c r="G204" s="126"/>
      <c r="H204" s="127">
        <v>0.33333333333333298</v>
      </c>
      <c r="I204" s="109">
        <f t="shared" si="4"/>
        <v>1</v>
      </c>
      <c r="J204" s="134">
        <v>0.9</v>
      </c>
      <c r="K204" s="135"/>
      <c r="L204" s="136"/>
    </row>
    <row r="205" spans="1:12" ht="14.4" customHeight="1">
      <c r="A205" s="253"/>
      <c r="B205" s="244"/>
      <c r="C205" s="250"/>
      <c r="D205" s="132"/>
      <c r="E205" s="133"/>
      <c r="F205" s="128" t="s">
        <v>1253</v>
      </c>
      <c r="G205" s="126"/>
      <c r="H205" s="127">
        <v>0.33333333333333298</v>
      </c>
      <c r="I205" s="109">
        <f t="shared" si="4"/>
        <v>1</v>
      </c>
      <c r="J205" s="134">
        <v>0.9</v>
      </c>
      <c r="K205" s="133"/>
      <c r="L205" s="136"/>
    </row>
    <row r="206" spans="1:12" ht="14.4" customHeight="1">
      <c r="A206" s="253"/>
      <c r="B206" s="244"/>
      <c r="C206" s="243" t="s">
        <v>1197</v>
      </c>
      <c r="D206" s="78"/>
      <c r="E206" s="159"/>
      <c r="F206" s="111" t="s">
        <v>1251</v>
      </c>
      <c r="G206" s="107"/>
      <c r="H206" s="108">
        <v>0.33333333333333298</v>
      </c>
      <c r="I206" s="109">
        <f t="shared" si="4"/>
        <v>1</v>
      </c>
      <c r="J206" s="109">
        <v>0.9</v>
      </c>
      <c r="K206" s="82"/>
      <c r="L206" s="112"/>
    </row>
    <row r="207" spans="1:12" ht="14.4" customHeight="1">
      <c r="A207" s="253"/>
      <c r="B207" s="244"/>
      <c r="C207" s="244"/>
      <c r="D207" s="78"/>
      <c r="E207" s="159"/>
      <c r="F207" s="111" t="s">
        <v>1252</v>
      </c>
      <c r="G207" s="107"/>
      <c r="H207" s="108">
        <v>0.33333333333333298</v>
      </c>
      <c r="I207" s="109">
        <f t="shared" si="4"/>
        <v>1</v>
      </c>
      <c r="J207" s="109">
        <v>0.9</v>
      </c>
      <c r="K207" s="82"/>
      <c r="L207" s="82"/>
    </row>
    <row r="208" spans="1:12" ht="15" customHeight="1" thickBot="1">
      <c r="A208" s="253"/>
      <c r="B208" s="245"/>
      <c r="C208" s="245"/>
      <c r="D208" s="78"/>
      <c r="E208" s="113"/>
      <c r="F208" s="114" t="s">
        <v>1253</v>
      </c>
      <c r="G208" s="107"/>
      <c r="H208" s="108">
        <v>0.33333333333333298</v>
      </c>
      <c r="I208" s="109">
        <f t="shared" si="4"/>
        <v>1</v>
      </c>
      <c r="J208" s="109">
        <v>0.9</v>
      </c>
      <c r="K208" s="82"/>
      <c r="L208" s="82"/>
    </row>
    <row r="209" spans="1:12" ht="14.4" customHeight="1">
      <c r="A209" s="253"/>
      <c r="B209" s="251">
        <v>45769</v>
      </c>
      <c r="C209" s="248" t="s">
        <v>1198</v>
      </c>
      <c r="D209" s="132"/>
      <c r="E209" s="158"/>
      <c r="F209" s="125" t="s">
        <v>1251</v>
      </c>
      <c r="G209" s="126"/>
      <c r="H209" s="127">
        <v>0.33333333333333331</v>
      </c>
      <c r="I209" s="109">
        <f t="shared" si="4"/>
        <v>1</v>
      </c>
      <c r="J209" s="134">
        <v>0.9</v>
      </c>
      <c r="K209" s="135"/>
      <c r="L209" s="137"/>
    </row>
    <row r="210" spans="1:12" ht="14.4" customHeight="1">
      <c r="A210" s="253"/>
      <c r="B210" s="244"/>
      <c r="C210" s="249"/>
      <c r="D210" s="132"/>
      <c r="E210" s="158"/>
      <c r="F210" s="125" t="s">
        <v>1252</v>
      </c>
      <c r="G210" s="126"/>
      <c r="H210" s="127">
        <v>0.33333333333333298</v>
      </c>
      <c r="I210" s="109">
        <f t="shared" si="4"/>
        <v>1</v>
      </c>
      <c r="J210" s="134">
        <v>0.9</v>
      </c>
      <c r="K210" s="135"/>
      <c r="L210" s="136"/>
    </row>
    <row r="211" spans="1:12" ht="14.4" customHeight="1">
      <c r="A211" s="253"/>
      <c r="B211" s="244"/>
      <c r="C211" s="250"/>
      <c r="D211" s="132"/>
      <c r="E211" s="133"/>
      <c r="F211" s="128" t="s">
        <v>1253</v>
      </c>
      <c r="G211" s="126"/>
      <c r="H211" s="127">
        <v>0.33333333333333298</v>
      </c>
      <c r="I211" s="109">
        <f t="shared" si="4"/>
        <v>1</v>
      </c>
      <c r="J211" s="134">
        <v>0.9</v>
      </c>
      <c r="K211" s="133"/>
      <c r="L211" s="136"/>
    </row>
    <row r="212" spans="1:12" ht="14.4" customHeight="1">
      <c r="A212" s="253"/>
      <c r="B212" s="244"/>
      <c r="C212" s="243" t="s">
        <v>1196</v>
      </c>
      <c r="D212" s="78" t="s">
        <v>1194</v>
      </c>
      <c r="E212" s="159"/>
      <c r="F212" s="111" t="s">
        <v>1251</v>
      </c>
      <c r="G212" s="107">
        <v>0.20833333333333334</v>
      </c>
      <c r="H212" s="108">
        <v>0.33333333333333298</v>
      </c>
      <c r="I212" s="109">
        <f t="shared" si="4"/>
        <v>0.37499999999999933</v>
      </c>
      <c r="J212" s="109">
        <v>0.9</v>
      </c>
      <c r="K212" s="82" t="s">
        <v>1379</v>
      </c>
      <c r="L212" s="112"/>
    </row>
    <row r="213" spans="1:12" ht="14.4" customHeight="1">
      <c r="A213" s="253"/>
      <c r="B213" s="244"/>
      <c r="C213" s="244"/>
      <c r="D213" s="78" t="s">
        <v>1194</v>
      </c>
      <c r="E213" s="159"/>
      <c r="F213" s="111" t="s">
        <v>1252</v>
      </c>
      <c r="G213" s="107">
        <v>0.20833333333333334</v>
      </c>
      <c r="H213" s="108">
        <v>0.33333333333333298</v>
      </c>
      <c r="I213" s="109">
        <f t="shared" si="4"/>
        <v>0.37499999999999933</v>
      </c>
      <c r="J213" s="109">
        <v>0.9</v>
      </c>
      <c r="K213" s="82" t="s">
        <v>1379</v>
      </c>
      <c r="L213" s="82"/>
    </row>
    <row r="214" spans="1:12" ht="14.4" customHeight="1">
      <c r="A214" s="253"/>
      <c r="B214" s="244"/>
      <c r="C214" s="245"/>
      <c r="D214" s="78" t="s">
        <v>1194</v>
      </c>
      <c r="E214" s="113"/>
      <c r="F214" s="114" t="s">
        <v>1253</v>
      </c>
      <c r="G214" s="107">
        <v>0.20833333333333334</v>
      </c>
      <c r="H214" s="108">
        <v>0.33333333333333298</v>
      </c>
      <c r="I214" s="109">
        <f t="shared" si="4"/>
        <v>0.37499999999999933</v>
      </c>
      <c r="J214" s="109">
        <v>0.9</v>
      </c>
      <c r="K214" s="82" t="s">
        <v>1379</v>
      </c>
      <c r="L214" s="82"/>
    </row>
    <row r="215" spans="1:12" ht="14.4" customHeight="1">
      <c r="A215" s="253"/>
      <c r="B215" s="244"/>
      <c r="C215" s="248" t="s">
        <v>1197</v>
      </c>
      <c r="D215" s="132" t="s">
        <v>1193</v>
      </c>
      <c r="E215" s="158"/>
      <c r="F215" s="125" t="s">
        <v>1251</v>
      </c>
      <c r="G215" s="126"/>
      <c r="H215" s="127">
        <v>0.33333333333333298</v>
      </c>
      <c r="I215" s="109">
        <f t="shared" si="4"/>
        <v>1</v>
      </c>
      <c r="J215" s="134">
        <v>0.9</v>
      </c>
      <c r="K215" s="135"/>
      <c r="L215" s="137"/>
    </row>
    <row r="216" spans="1:12" ht="14.4" customHeight="1">
      <c r="A216" s="253"/>
      <c r="B216" s="244"/>
      <c r="C216" s="249"/>
      <c r="D216" s="132" t="s">
        <v>1193</v>
      </c>
      <c r="E216" s="158"/>
      <c r="F216" s="129" t="s">
        <v>1252</v>
      </c>
      <c r="G216" s="126"/>
      <c r="H216" s="127">
        <v>0.33333333333333298</v>
      </c>
      <c r="I216" s="109">
        <f t="shared" si="4"/>
        <v>1</v>
      </c>
      <c r="J216" s="134">
        <v>0.9</v>
      </c>
      <c r="K216" s="135"/>
      <c r="L216" s="136"/>
    </row>
    <row r="217" spans="1:12" ht="15" customHeight="1" thickBot="1">
      <c r="A217" s="253"/>
      <c r="B217" s="245"/>
      <c r="C217" s="250"/>
      <c r="D217" s="132" t="s">
        <v>1193</v>
      </c>
      <c r="E217" s="133"/>
      <c r="F217" s="128" t="s">
        <v>1253</v>
      </c>
      <c r="G217" s="126"/>
      <c r="H217" s="131">
        <v>0.33333333333333298</v>
      </c>
      <c r="I217" s="115">
        <f t="shared" si="4"/>
        <v>1</v>
      </c>
      <c r="J217" s="134">
        <v>0.9</v>
      </c>
      <c r="K217" s="133"/>
      <c r="L217" s="136"/>
    </row>
    <row r="218" spans="1:12" ht="14.4" customHeight="1">
      <c r="A218" s="253"/>
      <c r="B218" s="251">
        <v>45770</v>
      </c>
      <c r="C218" s="243" t="s">
        <v>1198</v>
      </c>
      <c r="D218" s="78"/>
      <c r="E218" s="159"/>
      <c r="F218" s="111" t="s">
        <v>1251</v>
      </c>
      <c r="G218" s="107"/>
      <c r="H218" s="108">
        <v>0.33333333333333298</v>
      </c>
      <c r="I218" s="109">
        <f t="shared" si="4"/>
        <v>1</v>
      </c>
      <c r="J218" s="109">
        <v>0.9</v>
      </c>
      <c r="K218" s="82"/>
      <c r="L218" s="112"/>
    </row>
    <row r="219" spans="1:12" ht="14.4" customHeight="1">
      <c r="A219" s="253"/>
      <c r="B219" s="244"/>
      <c r="C219" s="244"/>
      <c r="D219" s="78"/>
      <c r="E219" s="159"/>
      <c r="F219" s="106" t="s">
        <v>1252</v>
      </c>
      <c r="G219" s="107"/>
      <c r="H219" s="108">
        <v>0.33333333333333298</v>
      </c>
      <c r="I219" s="109">
        <f t="shared" si="4"/>
        <v>1</v>
      </c>
      <c r="J219" s="109">
        <v>0.9</v>
      </c>
      <c r="K219" s="82"/>
      <c r="L219" s="82"/>
    </row>
    <row r="220" spans="1:12" ht="14.4" customHeight="1">
      <c r="A220" s="253"/>
      <c r="B220" s="244"/>
      <c r="C220" s="245"/>
      <c r="D220" s="78"/>
      <c r="E220" s="113"/>
      <c r="F220" s="114" t="s">
        <v>1253</v>
      </c>
      <c r="G220" s="107"/>
      <c r="H220" s="108">
        <v>0.33333333333333298</v>
      </c>
      <c r="I220" s="109">
        <f t="shared" si="4"/>
        <v>1</v>
      </c>
      <c r="J220" s="109">
        <v>0.9</v>
      </c>
      <c r="K220" s="82"/>
      <c r="L220" s="82"/>
    </row>
    <row r="221" spans="1:12" ht="14.4" customHeight="1">
      <c r="A221" s="253"/>
      <c r="B221" s="244"/>
      <c r="C221" s="248" t="s">
        <v>1196</v>
      </c>
      <c r="D221" s="132" t="s">
        <v>1192</v>
      </c>
      <c r="E221" s="158"/>
      <c r="F221" s="125" t="s">
        <v>1251</v>
      </c>
      <c r="G221" s="126"/>
      <c r="H221" s="127">
        <v>0.33333333333333298</v>
      </c>
      <c r="I221" s="109">
        <f t="shared" si="4"/>
        <v>1</v>
      </c>
      <c r="J221" s="134">
        <v>0.9</v>
      </c>
      <c r="K221" s="135"/>
      <c r="L221" s="137"/>
    </row>
    <row r="222" spans="1:12" ht="14.4" customHeight="1">
      <c r="A222" s="253"/>
      <c r="B222" s="244"/>
      <c r="C222" s="249"/>
      <c r="D222" s="132" t="s">
        <v>1192</v>
      </c>
      <c r="E222" s="158"/>
      <c r="F222" s="129" t="s">
        <v>1252</v>
      </c>
      <c r="G222" s="126"/>
      <c r="H222" s="127">
        <v>0.33333333333333298</v>
      </c>
      <c r="I222" s="109">
        <f t="shared" si="4"/>
        <v>1</v>
      </c>
      <c r="J222" s="134">
        <v>0.9</v>
      </c>
      <c r="K222" s="135"/>
      <c r="L222" s="136"/>
    </row>
    <row r="223" spans="1:12" ht="14.4" customHeight="1">
      <c r="A223" s="253"/>
      <c r="B223" s="244"/>
      <c r="C223" s="250"/>
      <c r="D223" s="132" t="s">
        <v>1192</v>
      </c>
      <c r="E223" s="133"/>
      <c r="F223" s="128" t="s">
        <v>1253</v>
      </c>
      <c r="G223" s="126"/>
      <c r="H223" s="127">
        <v>0.33333333333333298</v>
      </c>
      <c r="I223" s="109">
        <f t="shared" si="4"/>
        <v>1</v>
      </c>
      <c r="J223" s="134">
        <v>0.9</v>
      </c>
      <c r="K223" s="133"/>
      <c r="L223" s="136"/>
    </row>
    <row r="224" spans="1:12" ht="14.4" customHeight="1">
      <c r="A224" s="253"/>
      <c r="B224" s="244"/>
      <c r="C224" s="243" t="s">
        <v>1197</v>
      </c>
      <c r="D224" s="78" t="s">
        <v>1194</v>
      </c>
      <c r="E224" s="159"/>
      <c r="F224" s="111" t="s">
        <v>1251</v>
      </c>
      <c r="G224" s="167">
        <v>9.375E-2</v>
      </c>
      <c r="H224" s="108">
        <v>0.33333333333333331</v>
      </c>
      <c r="I224" s="109">
        <f>1-(G225/H224)</f>
        <v>0.84375</v>
      </c>
      <c r="J224" s="109">
        <v>0.9</v>
      </c>
      <c r="K224" s="82" t="s">
        <v>1307</v>
      </c>
      <c r="L224" s="112"/>
    </row>
    <row r="225" spans="1:12" ht="14.4" customHeight="1">
      <c r="A225" s="253"/>
      <c r="B225" s="244"/>
      <c r="C225" s="244"/>
      <c r="D225" s="78" t="s">
        <v>1194</v>
      </c>
      <c r="E225" s="159"/>
      <c r="F225" s="106" t="s">
        <v>1252</v>
      </c>
      <c r="G225" s="107">
        <v>5.2083333333333336E-2</v>
      </c>
      <c r="H225" s="108">
        <v>0.33333333333333298</v>
      </c>
      <c r="I225" s="109">
        <f>1-(G226/H225)</f>
        <v>0.77083333333333304</v>
      </c>
      <c r="J225" s="109">
        <v>0.9</v>
      </c>
      <c r="K225" s="82" t="s">
        <v>1307</v>
      </c>
      <c r="L225" s="82"/>
    </row>
    <row r="226" spans="1:12" ht="15" customHeight="1" thickBot="1">
      <c r="A226" s="253"/>
      <c r="B226" s="245"/>
      <c r="C226" s="245"/>
      <c r="D226" s="78" t="s">
        <v>1194</v>
      </c>
      <c r="E226" s="113"/>
      <c r="F226" s="114" t="s">
        <v>1253</v>
      </c>
      <c r="G226" s="107">
        <v>7.6388888888888895E-2</v>
      </c>
      <c r="H226" s="108">
        <v>0.33333333333333298</v>
      </c>
      <c r="I226" s="109">
        <f t="shared" si="4"/>
        <v>0.77083333333333304</v>
      </c>
      <c r="J226" s="109">
        <v>0.9</v>
      </c>
      <c r="K226" s="82" t="s">
        <v>1307</v>
      </c>
      <c r="L226" s="82"/>
    </row>
    <row r="227" spans="1:12" ht="14.4" customHeight="1">
      <c r="A227" s="253"/>
      <c r="B227" s="251">
        <v>45771</v>
      </c>
      <c r="C227" s="248" t="s">
        <v>1198</v>
      </c>
      <c r="D227" s="132"/>
      <c r="E227" s="158"/>
      <c r="F227" s="125" t="s">
        <v>1251</v>
      </c>
      <c r="G227" s="126"/>
      <c r="H227" s="127">
        <v>0.33333333333333298</v>
      </c>
      <c r="I227" s="109">
        <f t="shared" si="4"/>
        <v>1</v>
      </c>
      <c r="J227" s="134">
        <v>0.9</v>
      </c>
      <c r="K227" s="135"/>
      <c r="L227" s="137"/>
    </row>
    <row r="228" spans="1:12" ht="14.4" customHeight="1">
      <c r="A228" s="253"/>
      <c r="B228" s="244"/>
      <c r="C228" s="249"/>
      <c r="D228" s="132"/>
      <c r="E228" s="158"/>
      <c r="F228" s="129" t="s">
        <v>1252</v>
      </c>
      <c r="G228" s="126"/>
      <c r="H228" s="127">
        <v>0.33333333333333298</v>
      </c>
      <c r="I228" s="109">
        <f t="shared" si="4"/>
        <v>1</v>
      </c>
      <c r="J228" s="134">
        <v>0.9</v>
      </c>
      <c r="K228" s="135"/>
      <c r="L228" s="136"/>
    </row>
    <row r="229" spans="1:12" ht="14.4" customHeight="1">
      <c r="A229" s="253"/>
      <c r="B229" s="244"/>
      <c r="C229" s="250"/>
      <c r="D229" s="132"/>
      <c r="E229" s="133"/>
      <c r="F229" s="128" t="s">
        <v>1253</v>
      </c>
      <c r="G229" s="126"/>
      <c r="H229" s="127">
        <v>0.33333333333333298</v>
      </c>
      <c r="I229" s="109">
        <f t="shared" si="4"/>
        <v>1</v>
      </c>
      <c r="J229" s="134">
        <v>0.9</v>
      </c>
      <c r="K229" s="133"/>
      <c r="L229" s="136"/>
    </row>
    <row r="230" spans="1:12" ht="14.4" customHeight="1">
      <c r="A230" s="253"/>
      <c r="B230" s="244"/>
      <c r="C230" s="243" t="s">
        <v>1196</v>
      </c>
      <c r="D230" s="78" t="s">
        <v>1192</v>
      </c>
      <c r="E230" s="159"/>
      <c r="F230" s="111" t="s">
        <v>1251</v>
      </c>
      <c r="G230" s="107"/>
      <c r="H230" s="108">
        <v>0.33333333333333298</v>
      </c>
      <c r="I230" s="109">
        <f t="shared" si="4"/>
        <v>1</v>
      </c>
      <c r="J230" s="109">
        <v>0.9</v>
      </c>
      <c r="K230" s="82"/>
      <c r="L230" s="112"/>
    </row>
    <row r="231" spans="1:12" ht="14.4" customHeight="1">
      <c r="A231" s="253"/>
      <c r="B231" s="244"/>
      <c r="C231" s="244"/>
      <c r="D231" s="78" t="s">
        <v>1192</v>
      </c>
      <c r="E231" s="159"/>
      <c r="F231" s="106" t="s">
        <v>1252</v>
      </c>
      <c r="G231" s="107"/>
      <c r="H231" s="108">
        <v>0.33333333333333298</v>
      </c>
      <c r="I231" s="109">
        <f t="shared" si="4"/>
        <v>1</v>
      </c>
      <c r="J231" s="109">
        <v>0.9</v>
      </c>
      <c r="K231" s="82"/>
      <c r="L231" s="82"/>
    </row>
    <row r="232" spans="1:12" ht="14.4" customHeight="1">
      <c r="A232" s="253"/>
      <c r="B232" s="244"/>
      <c r="C232" s="245"/>
      <c r="D232" s="78" t="s">
        <v>1192</v>
      </c>
      <c r="E232" s="113"/>
      <c r="F232" s="114" t="s">
        <v>1253</v>
      </c>
      <c r="G232" s="108">
        <v>0.33333333333333331</v>
      </c>
      <c r="H232" s="108">
        <v>0.33333333333333298</v>
      </c>
      <c r="I232" s="109">
        <f t="shared" si="4"/>
        <v>0</v>
      </c>
      <c r="J232" s="109">
        <v>0.9</v>
      </c>
      <c r="K232" s="82" t="s">
        <v>1307</v>
      </c>
      <c r="L232" s="82"/>
    </row>
    <row r="233" spans="1:12" ht="14.4" customHeight="1">
      <c r="A233" s="253"/>
      <c r="B233" s="244"/>
      <c r="C233" s="248" t="s">
        <v>1197</v>
      </c>
      <c r="D233" s="132" t="s">
        <v>1194</v>
      </c>
      <c r="E233" s="158"/>
      <c r="F233" s="125" t="s">
        <v>1251</v>
      </c>
      <c r="G233" s="126">
        <v>3.4722222222222224E-2</v>
      </c>
      <c r="H233" s="127">
        <v>0.33333333333333298</v>
      </c>
      <c r="I233" s="109">
        <f t="shared" si="4"/>
        <v>0.89583333333333326</v>
      </c>
      <c r="J233" s="134">
        <v>0.9</v>
      </c>
      <c r="K233" s="133"/>
      <c r="L233" s="137"/>
    </row>
    <row r="234" spans="1:12" ht="14.4" customHeight="1">
      <c r="A234" s="253"/>
      <c r="B234" s="244"/>
      <c r="C234" s="249"/>
      <c r="D234" s="132" t="s">
        <v>1194</v>
      </c>
      <c r="E234" s="158"/>
      <c r="F234" s="129" t="s">
        <v>1252</v>
      </c>
      <c r="G234" s="126"/>
      <c r="H234" s="127">
        <v>0.33333333333333298</v>
      </c>
      <c r="I234" s="109">
        <f t="shared" si="4"/>
        <v>1</v>
      </c>
      <c r="J234" s="134">
        <v>0.9</v>
      </c>
      <c r="K234" s="135"/>
      <c r="L234" s="136"/>
    </row>
    <row r="235" spans="1:12" ht="15" customHeight="1" thickBot="1">
      <c r="A235" s="253"/>
      <c r="B235" s="245"/>
      <c r="C235" s="250"/>
      <c r="D235" s="132" t="s">
        <v>1194</v>
      </c>
      <c r="E235" s="133"/>
      <c r="F235" s="128" t="s">
        <v>1253</v>
      </c>
      <c r="G235" s="126">
        <v>0.33333333333333331</v>
      </c>
      <c r="H235" s="127">
        <v>0.33333333333333298</v>
      </c>
      <c r="I235" s="109">
        <f t="shared" si="4"/>
        <v>0</v>
      </c>
      <c r="J235" s="134">
        <v>0.9</v>
      </c>
      <c r="K235" s="133" t="s">
        <v>1307</v>
      </c>
      <c r="L235" s="136"/>
    </row>
    <row r="236" spans="1:12" ht="14.4" customHeight="1">
      <c r="A236" s="253"/>
      <c r="B236" s="251">
        <v>45772</v>
      </c>
      <c r="C236" s="248" t="s">
        <v>1198</v>
      </c>
      <c r="D236" s="132" t="s">
        <v>1193</v>
      </c>
      <c r="E236" s="158"/>
      <c r="F236" s="125" t="s">
        <v>1251</v>
      </c>
      <c r="G236" s="126"/>
      <c r="H236" s="127">
        <v>0.33333333333333298</v>
      </c>
      <c r="I236" s="109">
        <f t="shared" si="4"/>
        <v>1</v>
      </c>
      <c r="J236" s="134">
        <v>0.9</v>
      </c>
      <c r="K236" s="135"/>
      <c r="L236" s="137"/>
    </row>
    <row r="237" spans="1:12" ht="14.4" customHeight="1">
      <c r="A237" s="253"/>
      <c r="B237" s="244"/>
      <c r="C237" s="249"/>
      <c r="D237" s="132" t="s">
        <v>1193</v>
      </c>
      <c r="E237" s="158"/>
      <c r="F237" s="129" t="s">
        <v>1252</v>
      </c>
      <c r="G237" s="126"/>
      <c r="H237" s="127">
        <v>0.33333333333333298</v>
      </c>
      <c r="I237" s="109">
        <f t="shared" si="4"/>
        <v>1</v>
      </c>
      <c r="J237" s="134">
        <v>0.9</v>
      </c>
      <c r="K237" s="135"/>
      <c r="L237" s="136"/>
    </row>
    <row r="238" spans="1:12" ht="14.4" customHeight="1">
      <c r="A238" s="253"/>
      <c r="B238" s="244"/>
      <c r="C238" s="250"/>
      <c r="D238" s="132" t="s">
        <v>1193</v>
      </c>
      <c r="E238" s="133"/>
      <c r="F238" s="128" t="s">
        <v>1253</v>
      </c>
      <c r="G238" s="126">
        <v>0.29166666666666669</v>
      </c>
      <c r="H238" s="127">
        <v>0.33333333333333298</v>
      </c>
      <c r="I238" s="109">
        <f t="shared" si="4"/>
        <v>0.124999999999999</v>
      </c>
      <c r="J238" s="134">
        <v>0.9</v>
      </c>
      <c r="K238" s="133"/>
      <c r="L238" s="136"/>
    </row>
    <row r="239" spans="1:12" ht="14.4" customHeight="1">
      <c r="A239" s="253"/>
      <c r="B239" s="244"/>
      <c r="C239" s="243" t="s">
        <v>1196</v>
      </c>
      <c r="D239" s="78"/>
      <c r="E239" s="159"/>
      <c r="F239" s="111" t="s">
        <v>1251</v>
      </c>
      <c r="G239" s="107"/>
      <c r="H239" s="108">
        <v>0.33333333333333298</v>
      </c>
      <c r="I239" s="109">
        <f t="shared" si="4"/>
        <v>1</v>
      </c>
      <c r="J239" s="109">
        <v>0.9</v>
      </c>
      <c r="K239" s="82"/>
      <c r="L239" s="112"/>
    </row>
    <row r="240" spans="1:12" ht="14.4" customHeight="1">
      <c r="A240" s="253"/>
      <c r="B240" s="244"/>
      <c r="C240" s="244"/>
      <c r="D240" s="78"/>
      <c r="E240" s="159"/>
      <c r="F240" s="106" t="s">
        <v>1252</v>
      </c>
      <c r="G240" s="107"/>
      <c r="H240" s="108">
        <v>0.33333333333333298</v>
      </c>
      <c r="I240" s="109">
        <f t="shared" si="4"/>
        <v>1</v>
      </c>
      <c r="J240" s="109">
        <v>0.9</v>
      </c>
      <c r="K240" s="82"/>
      <c r="L240" s="82"/>
    </row>
    <row r="241" spans="1:12" ht="14.4" customHeight="1">
      <c r="A241" s="253"/>
      <c r="B241" s="244"/>
      <c r="C241" s="245"/>
      <c r="D241" s="78"/>
      <c r="E241" s="113"/>
      <c r="F241" s="114" t="s">
        <v>1253</v>
      </c>
      <c r="G241" s="107">
        <v>0.33333333333333331</v>
      </c>
      <c r="H241" s="108">
        <v>0.33333333333333298</v>
      </c>
      <c r="I241" s="109">
        <f t="shared" si="4"/>
        <v>0</v>
      </c>
      <c r="J241" s="109">
        <v>0.9</v>
      </c>
      <c r="K241" s="82" t="s">
        <v>1326</v>
      </c>
      <c r="L241" s="82"/>
    </row>
    <row r="242" spans="1:12" ht="14.4" customHeight="1">
      <c r="A242" s="253"/>
      <c r="B242" s="244"/>
      <c r="C242" s="248" t="s">
        <v>1197</v>
      </c>
      <c r="D242" s="132" t="s">
        <v>1192</v>
      </c>
      <c r="E242" s="158"/>
      <c r="F242" s="125" t="s">
        <v>1251</v>
      </c>
      <c r="G242" s="126"/>
      <c r="H242" s="127">
        <v>0.33333333333333298</v>
      </c>
      <c r="I242" s="109">
        <f t="shared" si="4"/>
        <v>1</v>
      </c>
      <c r="J242" s="134">
        <v>0.9</v>
      </c>
      <c r="K242" s="133"/>
      <c r="L242" s="137"/>
    </row>
    <row r="243" spans="1:12" ht="14.4" customHeight="1">
      <c r="A243" s="253"/>
      <c r="B243" s="244"/>
      <c r="C243" s="249"/>
      <c r="D243" s="132" t="s">
        <v>1192</v>
      </c>
      <c r="E243" s="158"/>
      <c r="F243" s="129" t="s">
        <v>1252</v>
      </c>
      <c r="G243" s="126"/>
      <c r="H243" s="127">
        <v>0.33333333333333298</v>
      </c>
      <c r="I243" s="109">
        <f t="shared" si="4"/>
        <v>1</v>
      </c>
      <c r="J243" s="134">
        <v>0.9</v>
      </c>
      <c r="K243" s="135"/>
      <c r="L243" s="136"/>
    </row>
    <row r="244" spans="1:12" ht="15" customHeight="1" thickBot="1">
      <c r="A244" s="253"/>
      <c r="B244" s="245"/>
      <c r="C244" s="250"/>
      <c r="D244" s="132" t="s">
        <v>1192</v>
      </c>
      <c r="E244" s="133"/>
      <c r="F244" s="128" t="s">
        <v>1253</v>
      </c>
      <c r="G244" s="126">
        <v>0.29166666666666669</v>
      </c>
      <c r="H244" s="127">
        <v>0.33333333333333298</v>
      </c>
      <c r="I244" s="109">
        <f t="shared" si="4"/>
        <v>0.124999999999999</v>
      </c>
      <c r="J244" s="134">
        <v>0.9</v>
      </c>
      <c r="K244" s="133" t="s">
        <v>1326</v>
      </c>
      <c r="L244" s="136"/>
    </row>
    <row r="245" spans="1:12" ht="14.4" customHeight="1">
      <c r="A245" s="253"/>
      <c r="B245" s="251">
        <v>45773</v>
      </c>
      <c r="C245" s="248" t="s">
        <v>1198</v>
      </c>
      <c r="D245" s="132" t="s">
        <v>1193</v>
      </c>
      <c r="E245" s="158"/>
      <c r="F245" s="125" t="s">
        <v>1251</v>
      </c>
      <c r="G245" s="126"/>
      <c r="H245" s="127">
        <v>0.33333333333333298</v>
      </c>
      <c r="I245" s="109">
        <f t="shared" si="4"/>
        <v>1</v>
      </c>
      <c r="J245" s="134">
        <v>0.9</v>
      </c>
      <c r="K245" s="135"/>
      <c r="L245" s="137" t="s">
        <v>1380</v>
      </c>
    </row>
    <row r="246" spans="1:12" ht="14.4" customHeight="1">
      <c r="A246" s="253"/>
      <c r="B246" s="244"/>
      <c r="C246" s="249"/>
      <c r="D246" s="132" t="s">
        <v>1193</v>
      </c>
      <c r="E246" s="158"/>
      <c r="F246" s="129" t="s">
        <v>1252</v>
      </c>
      <c r="G246" s="126"/>
      <c r="H246" s="127">
        <v>0.33333333333333298</v>
      </c>
      <c r="I246" s="109">
        <f t="shared" si="4"/>
        <v>1</v>
      </c>
      <c r="J246" s="134">
        <v>0.9</v>
      </c>
      <c r="K246" s="135"/>
      <c r="L246" s="137" t="s">
        <v>1380</v>
      </c>
    </row>
    <row r="247" spans="1:12" ht="14.4" customHeight="1">
      <c r="A247" s="253"/>
      <c r="B247" s="244"/>
      <c r="C247" s="250"/>
      <c r="D247" s="132" t="s">
        <v>1193</v>
      </c>
      <c r="E247" s="133"/>
      <c r="F247" s="128" t="s">
        <v>1253</v>
      </c>
      <c r="G247" s="126">
        <v>0.33333333333333331</v>
      </c>
      <c r="H247" s="127">
        <v>0.33333333333333298</v>
      </c>
      <c r="I247" s="109">
        <f t="shared" si="4"/>
        <v>0</v>
      </c>
      <c r="J247" s="134">
        <v>0.9</v>
      </c>
      <c r="K247" s="133" t="s">
        <v>1326</v>
      </c>
      <c r="L247" s="137" t="s">
        <v>1380</v>
      </c>
    </row>
    <row r="248" spans="1:12" ht="14.4" customHeight="1">
      <c r="A248" s="253"/>
      <c r="B248" s="244"/>
      <c r="C248" s="243" t="s">
        <v>1196</v>
      </c>
      <c r="D248" s="78"/>
      <c r="E248" s="159"/>
      <c r="F248" s="111" t="s">
        <v>1251</v>
      </c>
      <c r="G248" s="107"/>
      <c r="H248" s="108">
        <v>0.33333333333333298</v>
      </c>
      <c r="I248" s="109">
        <f t="shared" si="4"/>
        <v>1</v>
      </c>
      <c r="J248" s="109">
        <v>0.9</v>
      </c>
      <c r="K248" s="82"/>
      <c r="L248" s="112"/>
    </row>
    <row r="249" spans="1:12" ht="14.4" customHeight="1">
      <c r="A249" s="253"/>
      <c r="B249" s="244"/>
      <c r="C249" s="244"/>
      <c r="D249" s="78"/>
      <c r="E249" s="159"/>
      <c r="F249" s="106" t="s">
        <v>1252</v>
      </c>
      <c r="G249" s="107"/>
      <c r="H249" s="108">
        <v>0.33333333333333298</v>
      </c>
      <c r="I249" s="109">
        <f t="shared" si="4"/>
        <v>1</v>
      </c>
      <c r="J249" s="109">
        <v>0.9</v>
      </c>
      <c r="K249" s="82"/>
      <c r="L249" s="82"/>
    </row>
    <row r="250" spans="1:12" ht="14.4" customHeight="1">
      <c r="A250" s="253"/>
      <c r="B250" s="244"/>
      <c r="C250" s="245"/>
      <c r="D250" s="78"/>
      <c r="E250" s="113"/>
      <c r="F250" s="114" t="s">
        <v>1253</v>
      </c>
      <c r="G250" s="107">
        <v>0.33333333333333331</v>
      </c>
      <c r="H250" s="108">
        <v>0.33333333333333298</v>
      </c>
      <c r="I250" s="109">
        <f t="shared" si="4"/>
        <v>0</v>
      </c>
      <c r="J250" s="109">
        <v>0.9</v>
      </c>
      <c r="K250" s="133" t="s">
        <v>1326</v>
      </c>
      <c r="L250" s="82"/>
    </row>
    <row r="251" spans="1:12" ht="14.4" customHeight="1">
      <c r="A251" s="253"/>
      <c r="B251" s="244"/>
      <c r="C251" s="248" t="s">
        <v>1197</v>
      </c>
      <c r="D251" s="132" t="s">
        <v>1192</v>
      </c>
      <c r="E251" s="158"/>
      <c r="F251" s="125" t="s">
        <v>1251</v>
      </c>
      <c r="G251" s="126"/>
      <c r="H251" s="127">
        <v>0.33333333333333298</v>
      </c>
      <c r="I251" s="109">
        <f t="shared" si="4"/>
        <v>1</v>
      </c>
      <c r="J251" s="134">
        <v>0.9</v>
      </c>
      <c r="K251" s="133"/>
      <c r="L251" s="137"/>
    </row>
    <row r="252" spans="1:12" ht="14.4" customHeight="1">
      <c r="A252" s="253"/>
      <c r="B252" s="244"/>
      <c r="C252" s="249"/>
      <c r="D252" s="132" t="s">
        <v>1192</v>
      </c>
      <c r="E252" s="158"/>
      <c r="F252" s="129" t="s">
        <v>1252</v>
      </c>
      <c r="G252" s="126"/>
      <c r="H252" s="127">
        <v>0.33333333333333298</v>
      </c>
      <c r="I252" s="109">
        <f t="shared" si="4"/>
        <v>1</v>
      </c>
      <c r="J252" s="134">
        <v>0.9</v>
      </c>
      <c r="K252" s="135"/>
      <c r="L252" s="136"/>
    </row>
    <row r="253" spans="1:12" ht="15" customHeight="1" thickBot="1">
      <c r="A253" s="253"/>
      <c r="B253" s="245"/>
      <c r="C253" s="250"/>
      <c r="D253" s="132" t="s">
        <v>1192</v>
      </c>
      <c r="E253" s="133"/>
      <c r="F253" s="128" t="s">
        <v>1253</v>
      </c>
      <c r="G253" s="126">
        <v>0.33333333333333331</v>
      </c>
      <c r="H253" s="127">
        <v>0.33333333333333298</v>
      </c>
      <c r="I253" s="109">
        <f t="shared" si="4"/>
        <v>0</v>
      </c>
      <c r="J253" s="134">
        <v>0.9</v>
      </c>
      <c r="K253" s="133" t="s">
        <v>1326</v>
      </c>
      <c r="L253" s="136"/>
    </row>
    <row r="254" spans="1:12" ht="14.4" customHeight="1">
      <c r="A254" s="253"/>
      <c r="B254" s="251">
        <v>45774</v>
      </c>
      <c r="C254" s="248" t="s">
        <v>1198</v>
      </c>
      <c r="D254" s="132" t="s">
        <v>1194</v>
      </c>
      <c r="E254" s="158"/>
      <c r="F254" s="125" t="s">
        <v>1251</v>
      </c>
      <c r="G254" s="126">
        <v>2.0833333333333332E-2</v>
      </c>
      <c r="H254" s="127">
        <v>0.33333333333333298</v>
      </c>
      <c r="I254" s="109">
        <f t="shared" si="4"/>
        <v>0.93749999999999989</v>
      </c>
      <c r="J254" s="134">
        <v>0.9</v>
      </c>
      <c r="K254" s="135" t="s">
        <v>1381</v>
      </c>
      <c r="L254" s="137"/>
    </row>
    <row r="255" spans="1:12" ht="14.4" customHeight="1">
      <c r="A255" s="253"/>
      <c r="B255" s="244"/>
      <c r="C255" s="249"/>
      <c r="D255" s="132" t="s">
        <v>1194</v>
      </c>
      <c r="E255" s="158"/>
      <c r="F255" s="129" t="s">
        <v>1252</v>
      </c>
      <c r="G255" s="126"/>
      <c r="H255" s="127">
        <v>0.33333333333333298</v>
      </c>
      <c r="I255" s="109">
        <f t="shared" si="4"/>
        <v>1</v>
      </c>
      <c r="J255" s="134">
        <v>0.9</v>
      </c>
      <c r="K255" s="135"/>
      <c r="L255" s="136"/>
    </row>
    <row r="256" spans="1:12" ht="14.4" customHeight="1">
      <c r="A256" s="253"/>
      <c r="B256" s="244"/>
      <c r="C256" s="250"/>
      <c r="D256" s="132" t="s">
        <v>1194</v>
      </c>
      <c r="E256" s="133"/>
      <c r="F256" s="128" t="s">
        <v>1253</v>
      </c>
      <c r="G256" s="126">
        <v>0.33333333333333331</v>
      </c>
      <c r="H256" s="127">
        <v>0.33333333333333298</v>
      </c>
      <c r="I256" s="109">
        <f t="shared" si="4"/>
        <v>0</v>
      </c>
      <c r="J256" s="134">
        <v>0.9</v>
      </c>
      <c r="K256" s="133" t="s">
        <v>1326</v>
      </c>
      <c r="L256" s="136"/>
    </row>
    <row r="257" spans="1:12" ht="14.4" customHeight="1">
      <c r="A257" s="253"/>
      <c r="B257" s="244"/>
      <c r="C257" s="243" t="s">
        <v>1196</v>
      </c>
      <c r="D257" s="78"/>
      <c r="E257" s="159"/>
      <c r="F257" s="111" t="s">
        <v>1251</v>
      </c>
      <c r="G257" s="107"/>
      <c r="H257" s="108">
        <v>0.33333333333333298</v>
      </c>
      <c r="I257" s="109">
        <f t="shared" si="4"/>
        <v>1</v>
      </c>
      <c r="J257" s="109">
        <v>0.9</v>
      </c>
      <c r="K257" s="82"/>
      <c r="L257" s="112"/>
    </row>
    <row r="258" spans="1:12" ht="14.4" customHeight="1">
      <c r="A258" s="253"/>
      <c r="B258" s="244"/>
      <c r="C258" s="244"/>
      <c r="D258" s="78"/>
      <c r="E258" s="159"/>
      <c r="F258" s="106" t="s">
        <v>1252</v>
      </c>
      <c r="G258" s="107"/>
      <c r="H258" s="108">
        <v>0.33333333333333298</v>
      </c>
      <c r="I258" s="109">
        <f t="shared" si="4"/>
        <v>1</v>
      </c>
      <c r="J258" s="109">
        <v>0.9</v>
      </c>
      <c r="K258" s="82"/>
      <c r="L258" s="82"/>
    </row>
    <row r="259" spans="1:12" ht="14.4" customHeight="1">
      <c r="A259" s="253"/>
      <c r="B259" s="244"/>
      <c r="C259" s="245"/>
      <c r="D259" s="78"/>
      <c r="E259" s="113"/>
      <c r="F259" s="114" t="s">
        <v>1253</v>
      </c>
      <c r="G259" s="107">
        <v>0.33333333333333331</v>
      </c>
      <c r="H259" s="108">
        <v>0.33333333333333298</v>
      </c>
      <c r="I259" s="109">
        <f t="shared" si="4"/>
        <v>0</v>
      </c>
      <c r="J259" s="109">
        <v>0.9</v>
      </c>
      <c r="K259" s="133" t="s">
        <v>1326</v>
      </c>
      <c r="L259" s="82"/>
    </row>
    <row r="260" spans="1:12" ht="14.4" customHeight="1">
      <c r="A260" s="253"/>
      <c r="B260" s="244"/>
      <c r="C260" s="248" t="s">
        <v>1197</v>
      </c>
      <c r="D260" s="132"/>
      <c r="E260" s="158"/>
      <c r="F260" s="125" t="s">
        <v>1251</v>
      </c>
      <c r="G260" s="126"/>
      <c r="H260" s="127">
        <v>0.33333333333333298</v>
      </c>
      <c r="I260" s="109">
        <f t="shared" si="4"/>
        <v>1</v>
      </c>
      <c r="J260" s="134">
        <v>0.9</v>
      </c>
      <c r="K260" s="133"/>
      <c r="L260" s="137"/>
    </row>
    <row r="261" spans="1:12" ht="14.4" customHeight="1">
      <c r="A261" s="253"/>
      <c r="B261" s="244"/>
      <c r="C261" s="249"/>
      <c r="D261" s="132"/>
      <c r="E261" s="158"/>
      <c r="F261" s="129" t="s">
        <v>1252</v>
      </c>
      <c r="G261" s="126"/>
      <c r="H261" s="127">
        <v>0.33333333333333298</v>
      </c>
      <c r="I261" s="109">
        <f t="shared" si="4"/>
        <v>1</v>
      </c>
      <c r="J261" s="134">
        <v>0.9</v>
      </c>
      <c r="K261" s="135"/>
      <c r="L261" s="136"/>
    </row>
    <row r="262" spans="1:12" ht="14.4" customHeight="1">
      <c r="A262" s="253"/>
      <c r="B262" s="245"/>
      <c r="C262" s="250"/>
      <c r="D262" s="132"/>
      <c r="E262" s="133"/>
      <c r="F262" s="128" t="s">
        <v>1253</v>
      </c>
      <c r="G262" s="126">
        <v>0.33333333333333331</v>
      </c>
      <c r="H262" s="127">
        <v>0.33333333333333298</v>
      </c>
      <c r="I262" s="109">
        <f t="shared" si="4"/>
        <v>0</v>
      </c>
      <c r="J262" s="134">
        <v>0.9</v>
      </c>
      <c r="K262" s="133" t="s">
        <v>1326</v>
      </c>
      <c r="L262" s="136"/>
    </row>
    <row r="263" spans="1:12" ht="14.4" customHeight="1">
      <c r="A263" s="253"/>
      <c r="B263" s="117"/>
      <c r="C263" s="117"/>
      <c r="D263" s="118"/>
      <c r="E263" s="118"/>
      <c r="F263" s="119" t="s">
        <v>1251</v>
      </c>
      <c r="G263" s="124"/>
      <c r="H263" s="124"/>
      <c r="I263" s="120">
        <f>AVERAGEIF(F200:F262,F263,I200:I262)</f>
        <v>0.95486111111111127</v>
      </c>
      <c r="J263" s="121">
        <v>0.9</v>
      </c>
      <c r="K263" s="118"/>
      <c r="L263" s="116"/>
    </row>
    <row r="264" spans="1:12" ht="14.4" customHeight="1">
      <c r="A264" s="253"/>
      <c r="B264" s="117"/>
      <c r="C264" s="117"/>
      <c r="D264" s="118"/>
      <c r="E264" s="118"/>
      <c r="F264" s="119" t="s">
        <v>1252</v>
      </c>
      <c r="G264" s="124"/>
      <c r="H264" s="124"/>
      <c r="I264" s="120">
        <f>AVERAGEIF(F201:F263,F264,I201:I263)</f>
        <v>0.95932539682539675</v>
      </c>
      <c r="J264" s="121">
        <v>0.9</v>
      </c>
      <c r="K264" s="118"/>
      <c r="L264" s="116"/>
    </row>
    <row r="265" spans="1:12" ht="15" customHeight="1" thickBot="1">
      <c r="A265" s="253"/>
      <c r="B265" s="117"/>
      <c r="C265" s="117"/>
      <c r="D265" s="118"/>
      <c r="E265" s="118"/>
      <c r="F265" s="119" t="s">
        <v>1253</v>
      </c>
      <c r="G265" s="124"/>
      <c r="H265" s="124"/>
      <c r="I265" s="120">
        <f>AVERAGEIF(F202:F264,F265,I202:I264)</f>
        <v>0.44742063492063472</v>
      </c>
      <c r="J265" s="121">
        <v>0.9</v>
      </c>
      <c r="K265" s="118"/>
      <c r="L265" s="116"/>
    </row>
    <row r="266" spans="1:12" ht="14.4" customHeight="1">
      <c r="A266" s="252" t="s">
        <v>1365</v>
      </c>
      <c r="B266" s="251">
        <v>45775</v>
      </c>
      <c r="C266" s="243" t="s">
        <v>1198</v>
      </c>
      <c r="D266" s="110" t="s">
        <v>1194</v>
      </c>
      <c r="E266" s="156"/>
      <c r="F266" s="111" t="s">
        <v>1251</v>
      </c>
      <c r="G266" s="107"/>
      <c r="H266" s="108">
        <v>0.33333333333333331</v>
      </c>
      <c r="I266" s="109">
        <f>1-(G266/H266)</f>
        <v>1</v>
      </c>
      <c r="J266" s="109">
        <v>0.9</v>
      </c>
      <c r="K266" s="82"/>
      <c r="L266" s="82"/>
    </row>
    <row r="267" spans="1:12" ht="14.4" customHeight="1">
      <c r="A267" s="253"/>
      <c r="B267" s="244"/>
      <c r="C267" s="244"/>
      <c r="D267" s="110" t="s">
        <v>1194</v>
      </c>
      <c r="E267" s="156"/>
      <c r="F267" s="111" t="s">
        <v>1252</v>
      </c>
      <c r="G267" s="107"/>
      <c r="H267" s="108">
        <v>0.33333333333333331</v>
      </c>
      <c r="I267" s="109">
        <f>1-(G267/H267)</f>
        <v>1</v>
      </c>
      <c r="J267" s="109">
        <v>0.9</v>
      </c>
      <c r="K267" s="82"/>
      <c r="L267" s="82"/>
    </row>
    <row r="268" spans="1:12" ht="14.4" customHeight="1">
      <c r="A268" s="253"/>
      <c r="B268" s="244"/>
      <c r="C268" s="245"/>
      <c r="D268" s="110" t="s">
        <v>1194</v>
      </c>
      <c r="E268" s="157"/>
      <c r="F268" s="114" t="s">
        <v>1253</v>
      </c>
      <c r="G268" s="107"/>
      <c r="H268" s="108">
        <v>0.33333333333333298</v>
      </c>
      <c r="I268" s="109">
        <f t="shared" ref="I268:I292" si="5">1-(G268/H268)</f>
        <v>1</v>
      </c>
      <c r="J268" s="109">
        <v>0.9</v>
      </c>
      <c r="K268" s="82"/>
      <c r="L268" s="82"/>
    </row>
    <row r="269" spans="1:12" ht="14.4" customHeight="1">
      <c r="A269" s="253"/>
      <c r="B269" s="244"/>
      <c r="C269" s="248" t="s">
        <v>1196</v>
      </c>
      <c r="D269" s="132"/>
      <c r="E269" s="158"/>
      <c r="F269" s="125" t="s">
        <v>1251</v>
      </c>
      <c r="G269" s="126"/>
      <c r="H269" s="127">
        <v>0.33333333333333298</v>
      </c>
      <c r="I269" s="109">
        <f t="shared" si="5"/>
        <v>1</v>
      </c>
      <c r="J269" s="134">
        <v>0.9</v>
      </c>
      <c r="K269" s="135"/>
      <c r="L269" s="136"/>
    </row>
    <row r="270" spans="1:12" ht="14.4" customHeight="1">
      <c r="A270" s="253"/>
      <c r="B270" s="244"/>
      <c r="C270" s="249"/>
      <c r="D270" s="132"/>
      <c r="E270" s="158"/>
      <c r="F270" s="125" t="s">
        <v>1252</v>
      </c>
      <c r="G270" s="126"/>
      <c r="H270" s="127">
        <v>0.33333333333333298</v>
      </c>
      <c r="I270" s="109">
        <f t="shared" si="5"/>
        <v>1</v>
      </c>
      <c r="J270" s="134">
        <v>0.9</v>
      </c>
      <c r="K270" s="135"/>
      <c r="L270" s="136"/>
    </row>
    <row r="271" spans="1:12" ht="14.4" customHeight="1">
      <c r="A271" s="253"/>
      <c r="B271" s="244"/>
      <c r="C271" s="250"/>
      <c r="D271" s="132"/>
      <c r="E271" s="133"/>
      <c r="F271" s="128" t="s">
        <v>1253</v>
      </c>
      <c r="G271" s="126"/>
      <c r="H271" s="127">
        <v>0.33333333333333298</v>
      </c>
      <c r="I271" s="109">
        <f t="shared" si="5"/>
        <v>1</v>
      </c>
      <c r="J271" s="134">
        <v>0.9</v>
      </c>
      <c r="K271" s="133"/>
      <c r="L271" s="136"/>
    </row>
    <row r="272" spans="1:12" ht="14.4" customHeight="1">
      <c r="A272" s="253"/>
      <c r="B272" s="244"/>
      <c r="C272" s="243" t="s">
        <v>1197</v>
      </c>
      <c r="D272" s="78"/>
      <c r="E272" s="159"/>
      <c r="F272" s="111" t="s">
        <v>1251</v>
      </c>
      <c r="G272" s="107"/>
      <c r="H272" s="108">
        <v>0.33333333333333298</v>
      </c>
      <c r="I272" s="109">
        <f t="shared" si="5"/>
        <v>1</v>
      </c>
      <c r="J272" s="109">
        <v>0.9</v>
      </c>
      <c r="K272" s="82"/>
      <c r="L272" s="112"/>
    </row>
    <row r="273" spans="1:12" ht="14.4" customHeight="1">
      <c r="A273" s="253"/>
      <c r="B273" s="244"/>
      <c r="C273" s="244"/>
      <c r="D273" s="78"/>
      <c r="E273" s="159"/>
      <c r="F273" s="111" t="s">
        <v>1252</v>
      </c>
      <c r="G273" s="107"/>
      <c r="H273" s="108">
        <v>0.33333333333333298</v>
      </c>
      <c r="I273" s="109">
        <f t="shared" si="5"/>
        <v>1</v>
      </c>
      <c r="J273" s="109">
        <v>0.9</v>
      </c>
      <c r="K273" s="82"/>
      <c r="L273" s="82"/>
    </row>
    <row r="274" spans="1:12" ht="15" customHeight="1" thickBot="1">
      <c r="A274" s="253"/>
      <c r="B274" s="263"/>
      <c r="C274" s="245"/>
      <c r="D274" s="78"/>
      <c r="E274" s="113"/>
      <c r="F274" s="114" t="s">
        <v>1253</v>
      </c>
      <c r="G274" s="107">
        <v>0.33333333333333331</v>
      </c>
      <c r="H274" s="108">
        <v>0.33333333333333298</v>
      </c>
      <c r="I274" s="109">
        <f t="shared" si="5"/>
        <v>0</v>
      </c>
      <c r="J274" s="109">
        <v>0.9</v>
      </c>
      <c r="K274" s="133" t="s">
        <v>1326</v>
      </c>
      <c r="L274" s="82"/>
    </row>
    <row r="275" spans="1:12" ht="14.4" customHeight="1">
      <c r="A275" s="253"/>
      <c r="B275" s="251">
        <v>45776</v>
      </c>
      <c r="C275" s="248" t="s">
        <v>1198</v>
      </c>
      <c r="D275" s="132" t="s">
        <v>1192</v>
      </c>
      <c r="E275" s="158"/>
      <c r="F275" s="125" t="s">
        <v>1251</v>
      </c>
      <c r="G275" s="126"/>
      <c r="H275" s="127">
        <v>0.33333333333333298</v>
      </c>
      <c r="I275" s="109">
        <f t="shared" si="5"/>
        <v>1</v>
      </c>
      <c r="J275" s="134">
        <v>0.9</v>
      </c>
      <c r="K275" s="135"/>
      <c r="L275" s="137"/>
    </row>
    <row r="276" spans="1:12" ht="14.4" customHeight="1">
      <c r="A276" s="253"/>
      <c r="B276" s="244"/>
      <c r="C276" s="249"/>
      <c r="D276" s="132" t="s">
        <v>1192</v>
      </c>
      <c r="E276" s="158"/>
      <c r="F276" s="125" t="s">
        <v>1252</v>
      </c>
      <c r="G276" s="126"/>
      <c r="H276" s="127">
        <v>0.33333333333333298</v>
      </c>
      <c r="I276" s="109">
        <f t="shared" si="5"/>
        <v>1</v>
      </c>
      <c r="J276" s="134">
        <v>0.9</v>
      </c>
      <c r="K276" s="135"/>
      <c r="L276" s="136"/>
    </row>
    <row r="277" spans="1:12" ht="14.4" customHeight="1">
      <c r="A277" s="253"/>
      <c r="B277" s="244"/>
      <c r="C277" s="250"/>
      <c r="D277" s="132" t="s">
        <v>1192</v>
      </c>
      <c r="E277" s="133"/>
      <c r="F277" s="128" t="s">
        <v>1253</v>
      </c>
      <c r="G277" s="126">
        <v>0.33333333333333331</v>
      </c>
      <c r="H277" s="127">
        <v>0.33333333333333298</v>
      </c>
      <c r="I277" s="109">
        <f t="shared" si="5"/>
        <v>0</v>
      </c>
      <c r="J277" s="134">
        <v>0.9</v>
      </c>
      <c r="K277" s="133" t="s">
        <v>1326</v>
      </c>
      <c r="L277" s="136"/>
    </row>
    <row r="278" spans="1:12" ht="14.4" customHeight="1">
      <c r="A278" s="253"/>
      <c r="B278" s="244"/>
      <c r="C278" s="243" t="s">
        <v>1196</v>
      </c>
      <c r="D278" s="78" t="s">
        <v>1194</v>
      </c>
      <c r="E278" s="159"/>
      <c r="F278" s="111" t="s">
        <v>1251</v>
      </c>
      <c r="G278" s="107"/>
      <c r="H278" s="108">
        <v>0.33333333333333298</v>
      </c>
      <c r="I278" s="109">
        <f t="shared" si="5"/>
        <v>1</v>
      </c>
      <c r="J278" s="109">
        <v>0.9</v>
      </c>
      <c r="K278" s="82"/>
      <c r="L278" s="112"/>
    </row>
    <row r="279" spans="1:12" ht="14.4" customHeight="1">
      <c r="A279" s="253"/>
      <c r="B279" s="244"/>
      <c r="C279" s="244"/>
      <c r="D279" s="78" t="s">
        <v>1194</v>
      </c>
      <c r="E279" s="159"/>
      <c r="F279" s="111" t="s">
        <v>1252</v>
      </c>
      <c r="G279" s="107"/>
      <c r="H279" s="108">
        <v>0.33333333333333298</v>
      </c>
      <c r="I279" s="109">
        <f t="shared" si="5"/>
        <v>1</v>
      </c>
      <c r="J279" s="109">
        <v>0.9</v>
      </c>
      <c r="K279" s="82"/>
      <c r="L279" s="82"/>
    </row>
    <row r="280" spans="1:12" ht="14.4" customHeight="1">
      <c r="A280" s="253"/>
      <c r="B280" s="244"/>
      <c r="C280" s="245"/>
      <c r="D280" s="78" t="s">
        <v>1194</v>
      </c>
      <c r="E280" s="113"/>
      <c r="F280" s="114" t="s">
        <v>1253</v>
      </c>
      <c r="G280" s="107"/>
      <c r="H280" s="108">
        <v>0.33333333333333298</v>
      </c>
      <c r="I280" s="109">
        <f t="shared" si="5"/>
        <v>1</v>
      </c>
      <c r="J280" s="109">
        <v>0.9</v>
      </c>
      <c r="K280" s="82" t="s">
        <v>1326</v>
      </c>
      <c r="L280" s="82"/>
    </row>
    <row r="281" spans="1:12" ht="14.4" customHeight="1">
      <c r="A281" s="253"/>
      <c r="B281" s="244"/>
      <c r="C281" s="248" t="s">
        <v>1197</v>
      </c>
      <c r="D281" s="132"/>
      <c r="E281" s="158"/>
      <c r="F281" s="125" t="s">
        <v>1251</v>
      </c>
      <c r="G281" s="126"/>
      <c r="H281" s="127">
        <v>0.33333333333333298</v>
      </c>
      <c r="I281" s="109">
        <f t="shared" si="5"/>
        <v>1</v>
      </c>
      <c r="J281" s="134">
        <v>0.9</v>
      </c>
      <c r="K281" s="135"/>
      <c r="L281" s="137"/>
    </row>
    <row r="282" spans="1:12" ht="14.4" customHeight="1">
      <c r="A282" s="253"/>
      <c r="B282" s="244"/>
      <c r="C282" s="249"/>
      <c r="D282" s="132"/>
      <c r="E282" s="158"/>
      <c r="F282" s="129" t="s">
        <v>1252</v>
      </c>
      <c r="G282" s="126"/>
      <c r="H282" s="127">
        <v>0.33333333333333298</v>
      </c>
      <c r="I282" s="109">
        <f t="shared" si="5"/>
        <v>1</v>
      </c>
      <c r="J282" s="134">
        <v>0.9</v>
      </c>
      <c r="K282" s="135"/>
      <c r="L282" s="136"/>
    </row>
    <row r="283" spans="1:12" ht="15" customHeight="1" thickBot="1">
      <c r="A283" s="253"/>
      <c r="B283" s="263"/>
      <c r="C283" s="250"/>
      <c r="D283" s="132"/>
      <c r="E283" s="133"/>
      <c r="F283" s="128" t="s">
        <v>1253</v>
      </c>
      <c r="G283" s="126">
        <v>0.33333333333333331</v>
      </c>
      <c r="H283" s="131">
        <v>0.33333333333333298</v>
      </c>
      <c r="I283" s="115">
        <f t="shared" si="5"/>
        <v>0</v>
      </c>
      <c r="J283" s="134">
        <v>0.9</v>
      </c>
      <c r="K283" s="133" t="s">
        <v>1326</v>
      </c>
      <c r="L283" s="136"/>
    </row>
    <row r="284" spans="1:12" ht="14.4" customHeight="1">
      <c r="A284" s="253"/>
      <c r="B284" s="251">
        <v>45777</v>
      </c>
      <c r="C284" s="243" t="s">
        <v>1198</v>
      </c>
      <c r="D284" s="78" t="s">
        <v>1192</v>
      </c>
      <c r="E284" s="159"/>
      <c r="F284" s="111" t="s">
        <v>1251</v>
      </c>
      <c r="G284" s="107"/>
      <c r="H284" s="108">
        <v>0.33333333333333298</v>
      </c>
      <c r="I284" s="109">
        <f t="shared" si="5"/>
        <v>1</v>
      </c>
      <c r="J284" s="109">
        <v>0.9</v>
      </c>
      <c r="K284" s="82"/>
      <c r="L284" s="112"/>
    </row>
    <row r="285" spans="1:12" ht="14.4" customHeight="1">
      <c r="A285" s="253"/>
      <c r="B285" s="244"/>
      <c r="C285" s="244"/>
      <c r="D285" s="78" t="s">
        <v>1192</v>
      </c>
      <c r="E285" s="159"/>
      <c r="F285" s="106" t="s">
        <v>1252</v>
      </c>
      <c r="G285" s="107"/>
      <c r="H285" s="108">
        <v>0.33333333333333298</v>
      </c>
      <c r="I285" s="109">
        <f t="shared" si="5"/>
        <v>1</v>
      </c>
      <c r="J285" s="109">
        <v>0.9</v>
      </c>
      <c r="K285" s="82"/>
      <c r="L285" s="82"/>
    </row>
    <row r="286" spans="1:12" ht="14.4" customHeight="1">
      <c r="A286" s="253"/>
      <c r="B286" s="244"/>
      <c r="C286" s="245"/>
      <c r="D286" s="78" t="s">
        <v>1192</v>
      </c>
      <c r="E286" s="113"/>
      <c r="F286" s="114" t="s">
        <v>1253</v>
      </c>
      <c r="G286" s="107">
        <v>0.33333333333333331</v>
      </c>
      <c r="H286" s="108">
        <v>0.33333333333333298</v>
      </c>
      <c r="I286" s="109">
        <f t="shared" si="5"/>
        <v>0</v>
      </c>
      <c r="J286" s="109">
        <v>0.9</v>
      </c>
      <c r="K286" s="82" t="s">
        <v>1326</v>
      </c>
      <c r="L286" s="82"/>
    </row>
    <row r="287" spans="1:12" ht="14.4" customHeight="1">
      <c r="A287" s="253"/>
      <c r="B287" s="244"/>
      <c r="C287" s="248" t="s">
        <v>1196</v>
      </c>
      <c r="D287" s="132" t="s">
        <v>1194</v>
      </c>
      <c r="E287" s="158"/>
      <c r="F287" s="125" t="s">
        <v>1251</v>
      </c>
      <c r="G287" s="126"/>
      <c r="H287" s="127">
        <v>0.33333333333333298</v>
      </c>
      <c r="I287" s="109">
        <f t="shared" si="5"/>
        <v>1</v>
      </c>
      <c r="J287" s="134">
        <v>0.9</v>
      </c>
      <c r="K287" s="135"/>
      <c r="L287" s="137"/>
    </row>
    <row r="288" spans="1:12" ht="14.4" customHeight="1">
      <c r="A288" s="253"/>
      <c r="B288" s="244"/>
      <c r="C288" s="249"/>
      <c r="D288" s="132" t="s">
        <v>1194</v>
      </c>
      <c r="E288" s="158"/>
      <c r="F288" s="129" t="s">
        <v>1252</v>
      </c>
      <c r="G288" s="126"/>
      <c r="H288" s="127">
        <v>0.33333333333333298</v>
      </c>
      <c r="I288" s="109">
        <f t="shared" si="5"/>
        <v>1</v>
      </c>
      <c r="J288" s="134">
        <v>0.9</v>
      </c>
      <c r="K288" s="135"/>
      <c r="L288" s="136"/>
    </row>
    <row r="289" spans="1:12" ht="14.4" customHeight="1">
      <c r="A289" s="253"/>
      <c r="B289" s="244"/>
      <c r="C289" s="250"/>
      <c r="D289" s="132" t="s">
        <v>1194</v>
      </c>
      <c r="E289" s="133"/>
      <c r="F289" s="128" t="s">
        <v>1253</v>
      </c>
      <c r="G289" s="126">
        <v>0.27083333333333331</v>
      </c>
      <c r="H289" s="127">
        <v>0.33333333333333298</v>
      </c>
      <c r="I289" s="109">
        <f t="shared" si="5"/>
        <v>0.18749999999999922</v>
      </c>
      <c r="J289" s="134">
        <v>0.9</v>
      </c>
      <c r="K289" s="133" t="s">
        <v>1326</v>
      </c>
      <c r="L289" s="136"/>
    </row>
    <row r="290" spans="1:12" ht="14.4" customHeight="1">
      <c r="A290" s="253"/>
      <c r="B290" s="244"/>
      <c r="C290" s="243" t="s">
        <v>1197</v>
      </c>
      <c r="D290" s="78" t="s">
        <v>1193</v>
      </c>
      <c r="E290" s="159"/>
      <c r="F290" s="111" t="s">
        <v>1251</v>
      </c>
      <c r="G290" s="107"/>
      <c r="H290" s="108">
        <v>0.33333333333333298</v>
      </c>
      <c r="I290" s="109">
        <f t="shared" si="5"/>
        <v>1</v>
      </c>
      <c r="J290" s="109">
        <v>0.9</v>
      </c>
      <c r="K290" s="82"/>
      <c r="L290" s="112"/>
    </row>
    <row r="291" spans="1:12" ht="14.4" customHeight="1">
      <c r="A291" s="253"/>
      <c r="B291" s="244"/>
      <c r="C291" s="244"/>
      <c r="D291" s="78" t="s">
        <v>1193</v>
      </c>
      <c r="E291" s="159"/>
      <c r="F291" s="106" t="s">
        <v>1252</v>
      </c>
      <c r="G291" s="107"/>
      <c r="H291" s="108">
        <v>0.33333333333333298</v>
      </c>
      <c r="I291" s="109">
        <f t="shared" si="5"/>
        <v>1</v>
      </c>
      <c r="J291" s="109">
        <v>0.9</v>
      </c>
      <c r="K291" s="82"/>
      <c r="L291" s="82"/>
    </row>
    <row r="292" spans="1:12" ht="15" customHeight="1">
      <c r="A292" s="253"/>
      <c r="B292" s="245"/>
      <c r="C292" s="245"/>
      <c r="D292" s="78" t="s">
        <v>1193</v>
      </c>
      <c r="E292" s="113"/>
      <c r="F292" s="114" t="s">
        <v>1253</v>
      </c>
      <c r="G292" s="107">
        <v>0.33333333333333331</v>
      </c>
      <c r="H292" s="108">
        <v>0.33333333333333298</v>
      </c>
      <c r="I292" s="109">
        <f t="shared" si="5"/>
        <v>0</v>
      </c>
      <c r="J292" s="109">
        <v>0.9</v>
      </c>
      <c r="K292" s="82" t="s">
        <v>1326</v>
      </c>
      <c r="L292" s="82"/>
    </row>
    <row r="293" spans="1:12" ht="14.4" customHeight="1">
      <c r="A293" s="253"/>
      <c r="B293" s="117"/>
      <c r="C293" s="117"/>
      <c r="D293" s="118"/>
      <c r="E293" s="118"/>
      <c r="F293" s="119" t="s">
        <v>1251</v>
      </c>
      <c r="G293" s="124"/>
      <c r="H293" s="124"/>
      <c r="I293" s="120">
        <f>AVERAGEIF(F266:F292,F293,I266:I292)</f>
        <v>1</v>
      </c>
      <c r="J293" s="121">
        <v>0.9</v>
      </c>
      <c r="K293" s="118"/>
      <c r="L293" s="116"/>
    </row>
    <row r="294" spans="1:12" ht="14.4" customHeight="1">
      <c r="A294" s="253"/>
      <c r="B294" s="117"/>
      <c r="C294" s="117"/>
      <c r="D294" s="118"/>
      <c r="E294" s="118"/>
      <c r="F294" s="119" t="s">
        <v>1252</v>
      </c>
      <c r="G294" s="124"/>
      <c r="H294" s="124"/>
      <c r="I294" s="120">
        <f>AVERAGEIF(F267:F293,F294,I267:I293)</f>
        <v>1</v>
      </c>
      <c r="J294" s="121">
        <v>0.9</v>
      </c>
      <c r="K294" s="118"/>
      <c r="L294" s="116"/>
    </row>
    <row r="295" spans="1:12" ht="14.4" customHeight="1">
      <c r="A295" s="253"/>
      <c r="B295" s="117"/>
      <c r="C295" s="117"/>
      <c r="D295" s="118"/>
      <c r="E295" s="118"/>
      <c r="F295" s="119" t="s">
        <v>1253</v>
      </c>
      <c r="G295" s="124"/>
      <c r="H295" s="124"/>
      <c r="I295" s="120">
        <f>AVERAGEIF(F268:F294,F295,I268:I294)</f>
        <v>0.35416666666666657</v>
      </c>
      <c r="J295" s="121">
        <v>0.9</v>
      </c>
      <c r="K295" s="118"/>
      <c r="L295" s="116"/>
    </row>
  </sheetData>
  <mergeCells count="166">
    <mergeCell ref="A266:A295"/>
    <mergeCell ref="B266:B274"/>
    <mergeCell ref="C266:C268"/>
    <mergeCell ref="C269:C271"/>
    <mergeCell ref="C272:C274"/>
    <mergeCell ref="B275:B283"/>
    <mergeCell ref="C275:C277"/>
    <mergeCell ref="C278:C280"/>
    <mergeCell ref="C281:C283"/>
    <mergeCell ref="B284:B292"/>
    <mergeCell ref="C284:C286"/>
    <mergeCell ref="C287:C289"/>
    <mergeCell ref="C290:C292"/>
    <mergeCell ref="B236:B244"/>
    <mergeCell ref="C236:C238"/>
    <mergeCell ref="C239:C241"/>
    <mergeCell ref="C242:C244"/>
    <mergeCell ref="A200:A265"/>
    <mergeCell ref="B200:B208"/>
    <mergeCell ref="C200:C202"/>
    <mergeCell ref="C203:C205"/>
    <mergeCell ref="C206:C208"/>
    <mergeCell ref="B209:B217"/>
    <mergeCell ref="C212:C214"/>
    <mergeCell ref="C215:C217"/>
    <mergeCell ref="B218:B226"/>
    <mergeCell ref="C218:C220"/>
    <mergeCell ref="C221:C223"/>
    <mergeCell ref="C224:C226"/>
    <mergeCell ref="B245:B253"/>
    <mergeCell ref="C245:C247"/>
    <mergeCell ref="C248:C250"/>
    <mergeCell ref="C251:C253"/>
    <mergeCell ref="B254:B262"/>
    <mergeCell ref="C254:C256"/>
    <mergeCell ref="C257:C259"/>
    <mergeCell ref="C260:C262"/>
    <mergeCell ref="C182:C184"/>
    <mergeCell ref="C185:C187"/>
    <mergeCell ref="C209:C211"/>
    <mergeCell ref="B188:B196"/>
    <mergeCell ref="C188:C190"/>
    <mergeCell ref="C191:C193"/>
    <mergeCell ref="B227:B235"/>
    <mergeCell ref="C227:C229"/>
    <mergeCell ref="C230:C232"/>
    <mergeCell ref="C233:C235"/>
    <mergeCell ref="C152:C154"/>
    <mergeCell ref="C155:C157"/>
    <mergeCell ref="C158:C160"/>
    <mergeCell ref="B161:B169"/>
    <mergeCell ref="C161:C163"/>
    <mergeCell ref="C164:C166"/>
    <mergeCell ref="C167:C169"/>
    <mergeCell ref="A134:A199"/>
    <mergeCell ref="B134:B142"/>
    <mergeCell ref="C134:C136"/>
    <mergeCell ref="C137:C139"/>
    <mergeCell ref="C140:C142"/>
    <mergeCell ref="B143:B151"/>
    <mergeCell ref="C143:C145"/>
    <mergeCell ref="C146:C148"/>
    <mergeCell ref="C149:C151"/>
    <mergeCell ref="B152:B160"/>
    <mergeCell ref="C194:C196"/>
    <mergeCell ref="B170:B178"/>
    <mergeCell ref="C170:C172"/>
    <mergeCell ref="C173:C175"/>
    <mergeCell ref="C176:C178"/>
    <mergeCell ref="B179:B187"/>
    <mergeCell ref="C179:C181"/>
    <mergeCell ref="C119:C121"/>
    <mergeCell ref="B122:B130"/>
    <mergeCell ref="C122:C124"/>
    <mergeCell ref="C125:C127"/>
    <mergeCell ref="C128:C130"/>
    <mergeCell ref="B95:B103"/>
    <mergeCell ref="C95:C97"/>
    <mergeCell ref="C98:C100"/>
    <mergeCell ref="C101:C103"/>
    <mergeCell ref="B104:B112"/>
    <mergeCell ref="C104:C106"/>
    <mergeCell ref="C107:C109"/>
    <mergeCell ref="C110:C112"/>
    <mergeCell ref="A68:A133"/>
    <mergeCell ref="B68:B76"/>
    <mergeCell ref="C68:C70"/>
    <mergeCell ref="C71:C73"/>
    <mergeCell ref="C74:C76"/>
    <mergeCell ref="B77:B85"/>
    <mergeCell ref="B47:B55"/>
    <mergeCell ref="C47:C49"/>
    <mergeCell ref="C50:C52"/>
    <mergeCell ref="C53:C55"/>
    <mergeCell ref="B56:B64"/>
    <mergeCell ref="C56:C58"/>
    <mergeCell ref="C59:C61"/>
    <mergeCell ref="C62:C64"/>
    <mergeCell ref="C77:C79"/>
    <mergeCell ref="C80:C82"/>
    <mergeCell ref="C83:C85"/>
    <mergeCell ref="B86:B94"/>
    <mergeCell ref="C86:C88"/>
    <mergeCell ref="C89:C91"/>
    <mergeCell ref="C92:C94"/>
    <mergeCell ref="B113:B121"/>
    <mergeCell ref="C113:C115"/>
    <mergeCell ref="C116:C118"/>
    <mergeCell ref="P38:P41"/>
    <mergeCell ref="Q38:Q41"/>
    <mergeCell ref="C41:C43"/>
    <mergeCell ref="C29:C31"/>
    <mergeCell ref="N29:N30"/>
    <mergeCell ref="O29:O30"/>
    <mergeCell ref="P29:P30"/>
    <mergeCell ref="Q29:Q30"/>
    <mergeCell ref="P31:P34"/>
    <mergeCell ref="Q31:Q34"/>
    <mergeCell ref="C32:C34"/>
    <mergeCell ref="N43:N44"/>
    <mergeCell ref="O43:O44"/>
    <mergeCell ref="P43:P44"/>
    <mergeCell ref="Q43:Q44"/>
    <mergeCell ref="C44:C46"/>
    <mergeCell ref="P45:P48"/>
    <mergeCell ref="Q45:Q48"/>
    <mergeCell ref="C35:C37"/>
    <mergeCell ref="N36:N37"/>
    <mergeCell ref="O36:O37"/>
    <mergeCell ref="P36:P37"/>
    <mergeCell ref="Q36:Q37"/>
    <mergeCell ref="P22:P23"/>
    <mergeCell ref="Q22:Q23"/>
    <mergeCell ref="C23:C25"/>
    <mergeCell ref="P24:P27"/>
    <mergeCell ref="Q24:Q27"/>
    <mergeCell ref="C26:C28"/>
    <mergeCell ref="N15:N16"/>
    <mergeCell ref="O15:O16"/>
    <mergeCell ref="P15:P16"/>
    <mergeCell ref="Q15:Q16"/>
    <mergeCell ref="C17:C19"/>
    <mergeCell ref="P17:P19"/>
    <mergeCell ref="Q17:Q19"/>
    <mergeCell ref="A11:A67"/>
    <mergeCell ref="B11:B19"/>
    <mergeCell ref="C11:C13"/>
    <mergeCell ref="C14:C16"/>
    <mergeCell ref="B20:B28"/>
    <mergeCell ref="C20:C22"/>
    <mergeCell ref="B29:B37"/>
    <mergeCell ref="N22:N23"/>
    <mergeCell ref="O22:O23"/>
    <mergeCell ref="B38:B46"/>
    <mergeCell ref="C38:C40"/>
    <mergeCell ref="N13:O13"/>
    <mergeCell ref="A1:F1"/>
    <mergeCell ref="G1:J1"/>
    <mergeCell ref="K1:L1"/>
    <mergeCell ref="A2:L2"/>
    <mergeCell ref="A3:F3"/>
    <mergeCell ref="G3:J3"/>
    <mergeCell ref="K3:L3"/>
    <mergeCell ref="A4:F4"/>
    <mergeCell ref="G4:J4"/>
    <mergeCell ref="K4:L4"/>
  </mergeCells>
  <phoneticPr fontId="13" type="noConversion"/>
  <conditionalFormatting sqref="F11:F64">
    <cfRule type="containsText" dxfId="138" priority="1" operator="containsText" text="P'SUP">
      <formula>NOT(ISERROR(SEARCH("P'SUP",F11)))</formula>
    </cfRule>
    <cfRule type="containsText" dxfId="137" priority="2" operator="containsText" text="P'NUT">
      <formula>NOT(ISERROR(SEARCH("P'NUT",F11)))</formula>
    </cfRule>
  </conditionalFormatting>
  <conditionalFormatting sqref="F11:F295">
    <cfRule type="containsText" dxfId="136" priority="3" operator="containsText" text="P'SUP">
      <formula>NOT(ISERROR(SEARCH("P'SUP",F11)))</formula>
    </cfRule>
  </conditionalFormatting>
  <conditionalFormatting sqref="F65:F295">
    <cfRule type="containsText" dxfId="135" priority="12" operator="containsText" text="P'NUT">
      <formula>NOT(ISERROR(SEARCH("P'NUT",F65)))</formula>
    </cfRule>
    <cfRule type="containsText" dxfId="134" priority="13" operator="containsText" text="P'SUP">
      <formula>NOT(ISERROR(SEARCH("P'SUP",F65)))</formula>
    </cfRule>
  </conditionalFormatting>
  <conditionalFormatting sqref="I11:I295">
    <cfRule type="cellIs" dxfId="133" priority="10" operator="greaterThan">
      <formula>0.85</formula>
    </cfRule>
    <cfRule type="cellIs" dxfId="132" priority="11" operator="lessThan">
      <formula>0.85</formula>
    </cfRule>
  </conditionalFormatting>
  <conditionalFormatting sqref="O25:O27">
    <cfRule type="cellIs" dxfId="131" priority="6" operator="lessThan">
      <formula>0.85</formula>
    </cfRule>
  </conditionalFormatting>
  <conditionalFormatting sqref="O17:P19">
    <cfRule type="cellIs" dxfId="130" priority="9" operator="lessThan">
      <formula>0.85</formula>
    </cfRule>
  </conditionalFormatting>
  <conditionalFormatting sqref="O24:P24">
    <cfRule type="cellIs" dxfId="129" priority="8" operator="lessThan">
      <formula>0.85</formula>
    </cfRule>
  </conditionalFormatting>
  <conditionalFormatting sqref="O31:P31 O32:O34">
    <cfRule type="cellIs" dxfId="128" priority="7" operator="lessThan">
      <formula>0.85</formula>
    </cfRule>
  </conditionalFormatting>
  <conditionalFormatting sqref="O38:P38 O39:O41">
    <cfRule type="cellIs" dxfId="127" priority="5" operator="lessThan">
      <formula>0.85</formula>
    </cfRule>
  </conditionalFormatting>
  <conditionalFormatting sqref="O45:P45 O46:O48">
    <cfRule type="cellIs" dxfId="126" priority="4" operator="lessThan">
      <formula>0.85</formula>
    </cfRule>
  </conditionalFormatting>
  <pageMargins left="0.7" right="0.7" top="0.75" bottom="0.75" header="0.3" footer="0.3"/>
  <pageSetup paperSize="9" scale="41" fitToHeight="0"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7C7C2B07-5777-4BB8-9EFC-AD5FFFF68215}">
          <x14:formula1>
            <xm:f>n!$A$2:$A$6</xm:f>
          </x14:formula1>
          <xm:sqref>P31 P24 P38 P45</xm:sqref>
        </x14:dataValidation>
        <x14:dataValidation type="list" allowBlank="1" showInputMessage="1" showErrorMessage="1" xr:uid="{E32F9982-DC3C-41B2-969D-BD407B496184}">
          <x14:formula1>
            <xm:f>n!$B$2:$B$4</xm:f>
          </x14:formula1>
          <xm:sqref>C11:C295</xm:sqref>
        </x14:dataValidation>
        <x14:dataValidation type="list" allowBlank="1" showInputMessage="1" showErrorMessage="1" xr:uid="{25498B00-C0BC-43ED-ABE1-76E84E05AC99}">
          <x14:formula1>
            <xm:f>n!$A$1:$A$6</xm:f>
          </x14:formula1>
          <xm:sqref>D11:E295</xm:sqref>
        </x14:dataValidation>
        <x14:dataValidation type="list" allowBlank="1" showInputMessage="1" showErrorMessage="1" xr:uid="{2E8D78AD-5EAC-4FAE-87D3-8E4C8C9EC7C1}">
          <x14:formula1>
            <xm:f>n!$A$8:$A$10</xm:f>
          </x14:formula1>
          <xm:sqref>F11:F295</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6E27D-EF68-4714-9BD9-3FFE7218CECE}">
  <sheetPr>
    <pageSetUpPr fitToPage="1"/>
  </sheetPr>
  <dimension ref="A1:Q304"/>
  <sheetViews>
    <sheetView topLeftCell="A9" zoomScale="80" zoomScaleNormal="80" workbookViewId="0">
      <selection activeCell="O25" sqref="O25"/>
    </sheetView>
  </sheetViews>
  <sheetFormatPr baseColWidth="10" defaultRowHeight="14.4"/>
  <cols>
    <col min="2" max="3" width="13.21875" customWidth="1"/>
    <col min="4" max="4" width="14.88671875" customWidth="1"/>
    <col min="5" max="5" width="14.33203125" customWidth="1"/>
    <col min="7" max="7" width="14.21875" customWidth="1"/>
    <col min="9" max="10" width="14.5546875" customWidth="1"/>
    <col min="11" max="11" width="25.77734375" customWidth="1"/>
    <col min="12" max="12" width="25" customWidth="1"/>
    <col min="14" max="14" width="11.6640625" customWidth="1"/>
    <col min="15" max="15" width="16.77734375" customWidth="1"/>
    <col min="16" max="16" width="15.21875" customWidth="1"/>
    <col min="17" max="17" width="58.5546875" customWidth="1"/>
  </cols>
  <sheetData>
    <row r="1" spans="1:17" ht="38.4" customHeight="1">
      <c r="A1" s="201"/>
      <c r="B1" s="201"/>
      <c r="C1" s="201"/>
      <c r="D1" s="201"/>
      <c r="E1" s="201"/>
      <c r="F1" s="201"/>
      <c r="G1" s="201"/>
      <c r="H1" s="201"/>
      <c r="I1" s="201"/>
      <c r="J1" s="201"/>
      <c r="K1" s="246" t="s">
        <v>1228</v>
      </c>
      <c r="L1" s="246"/>
    </row>
    <row r="2" spans="1:17" ht="26.4" customHeight="1">
      <c r="A2" s="210" t="s">
        <v>1227</v>
      </c>
      <c r="B2" s="210"/>
      <c r="C2" s="210"/>
      <c r="D2" s="210"/>
      <c r="E2" s="210"/>
      <c r="F2" s="210"/>
      <c r="G2" s="210"/>
      <c r="H2" s="210"/>
      <c r="I2" s="210"/>
      <c r="J2" s="210"/>
      <c r="K2" s="210"/>
      <c r="L2" s="210"/>
    </row>
    <row r="3" spans="1:17" ht="26.4" customHeight="1">
      <c r="A3" s="221" t="s">
        <v>1210</v>
      </c>
      <c r="B3" s="222"/>
      <c r="C3" s="222"/>
      <c r="D3" s="222"/>
      <c r="E3" s="222"/>
      <c r="F3" s="222"/>
      <c r="G3" s="221" t="s">
        <v>1209</v>
      </c>
      <c r="H3" s="222"/>
      <c r="I3" s="222"/>
      <c r="J3" s="222"/>
      <c r="K3" s="247" t="s">
        <v>1230</v>
      </c>
      <c r="L3" s="247"/>
      <c r="N3" s="67"/>
    </row>
    <row r="4" spans="1:17" ht="63" customHeight="1">
      <c r="A4" s="221" t="s">
        <v>1224</v>
      </c>
      <c r="B4" s="222"/>
      <c r="C4" s="222"/>
      <c r="D4" s="222"/>
      <c r="E4" s="222"/>
      <c r="F4" s="222"/>
      <c r="G4" s="221" t="s">
        <v>1225</v>
      </c>
      <c r="H4" s="222"/>
      <c r="I4" s="222"/>
      <c r="J4" s="222"/>
      <c r="K4" s="221" t="s">
        <v>1226</v>
      </c>
      <c r="L4" s="221"/>
    </row>
    <row r="5" spans="1:17" ht="14.4" customHeight="1"/>
    <row r="6" spans="1:17" hidden="1"/>
    <row r="7" spans="1:17" hidden="1"/>
    <row r="8" spans="1:17" hidden="1"/>
    <row r="9" spans="1:17" ht="24.6" customHeight="1" thickBot="1"/>
    <row r="10" spans="1:17" ht="36.6" customHeight="1" thickTop="1" thickBot="1">
      <c r="A10" s="139" t="s">
        <v>1190</v>
      </c>
      <c r="B10" s="140" t="s">
        <v>1258</v>
      </c>
      <c r="C10" s="141" t="s">
        <v>1257</v>
      </c>
      <c r="D10" s="141" t="s">
        <v>1250</v>
      </c>
      <c r="E10" s="141" t="s">
        <v>1285</v>
      </c>
      <c r="F10" s="141" t="s">
        <v>1246</v>
      </c>
      <c r="G10" s="142" t="s">
        <v>1259</v>
      </c>
      <c r="H10" s="143" t="s">
        <v>1248</v>
      </c>
      <c r="I10" s="143" t="s">
        <v>1249</v>
      </c>
      <c r="J10" s="143" t="s">
        <v>1254</v>
      </c>
      <c r="K10" s="144" t="s">
        <v>1247</v>
      </c>
      <c r="L10" s="145" t="s">
        <v>1255</v>
      </c>
    </row>
    <row r="11" spans="1:17" ht="14.4" customHeight="1">
      <c r="A11" s="252" t="s">
        <v>1365</v>
      </c>
      <c r="B11" s="251">
        <v>45778</v>
      </c>
      <c r="C11" s="243" t="s">
        <v>1198</v>
      </c>
      <c r="D11" s="110"/>
      <c r="E11" s="156"/>
      <c r="F11" s="111" t="s">
        <v>1251</v>
      </c>
      <c r="G11" s="107"/>
      <c r="H11" s="108">
        <v>0.33333333333333331</v>
      </c>
      <c r="I11" s="109">
        <f>1-(G11/H11)</f>
        <v>1</v>
      </c>
      <c r="J11" s="109">
        <v>0.9</v>
      </c>
      <c r="K11" s="82"/>
      <c r="L11" s="82"/>
    </row>
    <row r="12" spans="1:17" ht="14.4" customHeight="1">
      <c r="A12" s="253"/>
      <c r="B12" s="244"/>
      <c r="C12" s="244"/>
      <c r="D12" s="110"/>
      <c r="E12" s="156"/>
      <c r="F12" s="111" t="s">
        <v>1252</v>
      </c>
      <c r="G12" s="107"/>
      <c r="H12" s="108">
        <v>0.33333333333333331</v>
      </c>
      <c r="I12" s="109">
        <f>1-(G12/H12)</f>
        <v>1</v>
      </c>
      <c r="J12" s="109">
        <v>0.9</v>
      </c>
      <c r="K12" s="82"/>
      <c r="L12" s="82"/>
    </row>
    <row r="13" spans="1:17" ht="14.4" customHeight="1">
      <c r="A13" s="253"/>
      <c r="B13" s="244"/>
      <c r="C13" s="245"/>
      <c r="D13" s="110"/>
      <c r="E13" s="157"/>
      <c r="F13" s="114" t="s">
        <v>1253</v>
      </c>
      <c r="G13" s="107"/>
      <c r="H13" s="108">
        <v>0.33333333333333298</v>
      </c>
      <c r="I13" s="109">
        <f t="shared" ref="I13:I46" si="0">1-(G13/H13)</f>
        <v>1</v>
      </c>
      <c r="J13" s="109">
        <v>0.9</v>
      </c>
      <c r="K13" s="82"/>
      <c r="L13" s="82"/>
      <c r="N13" s="258" t="s">
        <v>1448</v>
      </c>
      <c r="O13" s="258"/>
    </row>
    <row r="14" spans="1:17" ht="14.4" customHeight="1">
      <c r="A14" s="253"/>
      <c r="B14" s="244"/>
      <c r="C14" s="248" t="s">
        <v>1196</v>
      </c>
      <c r="D14" s="132"/>
      <c r="E14" s="158"/>
      <c r="F14" s="125" t="s">
        <v>1251</v>
      </c>
      <c r="G14" s="126"/>
      <c r="H14" s="127">
        <v>0.33333333333333298</v>
      </c>
      <c r="I14" s="134">
        <f t="shared" si="0"/>
        <v>1</v>
      </c>
      <c r="J14" s="134">
        <v>0.9</v>
      </c>
      <c r="K14" s="135"/>
      <c r="L14" s="136"/>
    </row>
    <row r="15" spans="1:17" ht="14.4" customHeight="1">
      <c r="A15" s="253"/>
      <c r="B15" s="244"/>
      <c r="C15" s="249"/>
      <c r="D15" s="132"/>
      <c r="E15" s="158"/>
      <c r="F15" s="125" t="s">
        <v>1252</v>
      </c>
      <c r="G15" s="126"/>
      <c r="H15" s="127">
        <v>0.33333333333333298</v>
      </c>
      <c r="I15" s="134">
        <f t="shared" si="0"/>
        <v>1</v>
      </c>
      <c r="J15" s="134">
        <v>0.9</v>
      </c>
      <c r="K15" s="135"/>
      <c r="L15" s="136"/>
      <c r="N15" s="255" t="s">
        <v>1287</v>
      </c>
      <c r="O15" s="255" t="s">
        <v>1288</v>
      </c>
      <c r="P15" s="255" t="s">
        <v>1289</v>
      </c>
      <c r="Q15" s="255" t="s">
        <v>1290</v>
      </c>
    </row>
    <row r="16" spans="1:17" ht="14.4" customHeight="1">
      <c r="A16" s="253"/>
      <c r="B16" s="244"/>
      <c r="C16" s="250"/>
      <c r="D16" s="132"/>
      <c r="E16" s="133"/>
      <c r="F16" s="128" t="s">
        <v>1253</v>
      </c>
      <c r="G16" s="126"/>
      <c r="H16" s="127">
        <v>0.33333333333333298</v>
      </c>
      <c r="I16" s="134">
        <f t="shared" si="0"/>
        <v>1</v>
      </c>
      <c r="J16" s="134">
        <v>0.9</v>
      </c>
      <c r="K16" s="133"/>
      <c r="L16" s="136"/>
      <c r="N16" s="255"/>
      <c r="O16" s="255"/>
      <c r="P16" s="255"/>
      <c r="Q16" s="255"/>
    </row>
    <row r="17" spans="1:17" ht="14.4" customHeight="1">
      <c r="A17" s="253"/>
      <c r="B17" s="244"/>
      <c r="C17" s="243" t="s">
        <v>1197</v>
      </c>
      <c r="D17" s="78"/>
      <c r="E17" s="159"/>
      <c r="F17" s="111" t="s">
        <v>1251</v>
      </c>
      <c r="G17" s="107"/>
      <c r="H17" s="108">
        <v>0.33333333333333298</v>
      </c>
      <c r="I17" s="109">
        <f t="shared" si="0"/>
        <v>1</v>
      </c>
      <c r="J17" s="109">
        <v>0.9</v>
      </c>
      <c r="K17" s="82"/>
      <c r="L17" s="112"/>
      <c r="N17" s="161" t="s">
        <v>1251</v>
      </c>
      <c r="O17" s="162">
        <f>(I47+I113+I179+I245+I302)/5</f>
        <v>0.55674603174603177</v>
      </c>
      <c r="P17" s="254">
        <f>(O17+O18+O19)/3</f>
        <v>0.65895888447971773</v>
      </c>
      <c r="Q17" s="256" t="s">
        <v>1419</v>
      </c>
    </row>
    <row r="18" spans="1:17" ht="14.4" customHeight="1">
      <c r="A18" s="253"/>
      <c r="B18" s="244"/>
      <c r="C18" s="244"/>
      <c r="D18" s="78"/>
      <c r="E18" s="159"/>
      <c r="F18" s="111" t="s">
        <v>1252</v>
      </c>
      <c r="G18" s="107"/>
      <c r="H18" s="108">
        <v>0.33333333333333298</v>
      </c>
      <c r="I18" s="109">
        <f t="shared" si="0"/>
        <v>1</v>
      </c>
      <c r="J18" s="109">
        <v>0.9</v>
      </c>
      <c r="K18" s="82"/>
      <c r="L18" s="82"/>
      <c r="N18" s="161" t="s">
        <v>1252</v>
      </c>
      <c r="O18" s="162">
        <f>(I48+I114+I180+I246+I303)/5</f>
        <v>0.53699404761904757</v>
      </c>
      <c r="P18" s="254"/>
      <c r="Q18" s="257"/>
    </row>
    <row r="19" spans="1:17" ht="15" customHeight="1" thickBot="1">
      <c r="A19" s="253"/>
      <c r="B19" s="245"/>
      <c r="C19" s="245"/>
      <c r="D19" s="78"/>
      <c r="E19" s="113"/>
      <c r="F19" s="114" t="s">
        <v>1253</v>
      </c>
      <c r="G19" s="107"/>
      <c r="H19" s="108">
        <v>0.33333333333333298</v>
      </c>
      <c r="I19" s="109">
        <f t="shared" si="0"/>
        <v>1</v>
      </c>
      <c r="J19" s="109">
        <v>0.9</v>
      </c>
      <c r="K19" s="82"/>
      <c r="L19" s="82"/>
      <c r="N19" s="161" t="s">
        <v>1253</v>
      </c>
      <c r="O19" s="162">
        <f>(I49+I115+I181+I247+I304)/5</f>
        <v>0.88313657407407398</v>
      </c>
      <c r="P19" s="254"/>
      <c r="Q19" s="257"/>
    </row>
    <row r="20" spans="1:17" ht="14.4" customHeight="1">
      <c r="A20" s="253"/>
      <c r="B20" s="251">
        <v>45779</v>
      </c>
      <c r="C20" s="248" t="s">
        <v>1198</v>
      </c>
      <c r="D20" s="132" t="s">
        <v>1201</v>
      </c>
      <c r="E20" s="158"/>
      <c r="F20" s="125" t="s">
        <v>1251</v>
      </c>
      <c r="G20" s="126"/>
      <c r="H20" s="127">
        <v>0.33333333333333331</v>
      </c>
      <c r="I20" s="134">
        <f t="shared" si="0"/>
        <v>1</v>
      </c>
      <c r="J20" s="134">
        <v>0.9</v>
      </c>
      <c r="K20" s="135"/>
      <c r="L20" s="137"/>
    </row>
    <row r="21" spans="1:17" ht="14.4" customHeight="1">
      <c r="A21" s="253"/>
      <c r="B21" s="244"/>
      <c r="C21" s="249"/>
      <c r="D21" s="132" t="s">
        <v>1201</v>
      </c>
      <c r="E21" s="158"/>
      <c r="F21" s="125" t="s">
        <v>1252</v>
      </c>
      <c r="G21" s="126"/>
      <c r="H21" s="127">
        <v>0.33333333333333298</v>
      </c>
      <c r="I21" s="134">
        <f t="shared" si="0"/>
        <v>1</v>
      </c>
      <c r="J21" s="134">
        <v>0.9</v>
      </c>
      <c r="K21" s="135"/>
      <c r="L21" s="136"/>
    </row>
    <row r="22" spans="1:17" ht="14.4" customHeight="1">
      <c r="A22" s="253"/>
      <c r="B22" s="244"/>
      <c r="C22" s="250"/>
      <c r="D22" s="132" t="s">
        <v>1201</v>
      </c>
      <c r="E22" s="133"/>
      <c r="F22" s="128" t="s">
        <v>1253</v>
      </c>
      <c r="G22" s="126"/>
      <c r="H22" s="127">
        <v>0.33333333333333298</v>
      </c>
      <c r="I22" s="134">
        <f t="shared" si="0"/>
        <v>1</v>
      </c>
      <c r="J22" s="134">
        <v>0.9</v>
      </c>
      <c r="K22" s="133"/>
      <c r="L22" s="136"/>
      <c r="N22" s="255" t="s">
        <v>1287</v>
      </c>
      <c r="O22" s="255" t="s">
        <v>1288</v>
      </c>
      <c r="P22" s="255" t="s">
        <v>1292</v>
      </c>
      <c r="Q22" s="255" t="s">
        <v>1290</v>
      </c>
    </row>
    <row r="23" spans="1:17" ht="14.4" customHeight="1">
      <c r="A23" s="253"/>
      <c r="B23" s="244"/>
      <c r="C23" s="243" t="s">
        <v>1196</v>
      </c>
      <c r="D23" s="78" t="s">
        <v>1192</v>
      </c>
      <c r="E23" s="159"/>
      <c r="F23" s="111" t="s">
        <v>1251</v>
      </c>
      <c r="G23" s="107"/>
      <c r="H23" s="108">
        <v>0.33333333333333298</v>
      </c>
      <c r="I23" s="109">
        <f t="shared" si="0"/>
        <v>1</v>
      </c>
      <c r="J23" s="109">
        <v>0.9</v>
      </c>
      <c r="K23" s="82"/>
      <c r="L23" s="112"/>
      <c r="N23" s="255"/>
      <c r="O23" s="255"/>
      <c r="P23" s="255"/>
      <c r="Q23" s="255"/>
    </row>
    <row r="24" spans="1:17" ht="14.4" customHeight="1">
      <c r="A24" s="253"/>
      <c r="B24" s="244"/>
      <c r="C24" s="244"/>
      <c r="D24" s="78" t="s">
        <v>1192</v>
      </c>
      <c r="E24" s="159"/>
      <c r="F24" s="111" t="s">
        <v>1252</v>
      </c>
      <c r="G24" s="107"/>
      <c r="H24" s="108">
        <v>0.33333333333333298</v>
      </c>
      <c r="I24" s="109">
        <f t="shared" si="0"/>
        <v>1</v>
      </c>
      <c r="J24" s="109">
        <v>0.9</v>
      </c>
      <c r="K24" s="82"/>
      <c r="L24" s="82"/>
      <c r="N24" s="161" t="s">
        <v>1251</v>
      </c>
      <c r="O24" s="162">
        <f>(AVERAGEIFS(I11:I46,D11:D46,P24,F11:F46,N24)+AVERAGEIFS(I50:I112,D50:D112,P24,F50:F112,N24)+AVERAGEIFS(I116:I178,D116:D178,P24,F116:F178,N24)+AVERAGEIFS(I182:I244,D182:D244,P24,F182:F244,N24)+AVERAGEIFS(I248:I301,D248:D301,P24,F248:F301,N24))/5</f>
        <v>0.48</v>
      </c>
      <c r="P24" s="260" t="s">
        <v>1191</v>
      </c>
      <c r="Q24" s="224" t="s">
        <v>1419</v>
      </c>
    </row>
    <row r="25" spans="1:17" ht="14.4" customHeight="1">
      <c r="A25" s="253"/>
      <c r="B25" s="244"/>
      <c r="C25" s="245"/>
      <c r="D25" s="78" t="s">
        <v>1192</v>
      </c>
      <c r="E25" s="113"/>
      <c r="F25" s="114" t="s">
        <v>1253</v>
      </c>
      <c r="G25" s="107"/>
      <c r="H25" s="108">
        <v>0.33333333333333298</v>
      </c>
      <c r="I25" s="109">
        <f t="shared" si="0"/>
        <v>1</v>
      </c>
      <c r="J25" s="109">
        <v>0.9</v>
      </c>
      <c r="K25" s="82"/>
      <c r="L25" s="82"/>
      <c r="N25" s="161" t="s">
        <v>1252</v>
      </c>
      <c r="O25" s="162">
        <f>(AVERAGEIFS(I11:I46,D11:D46,P24,F11:F46,N25)+AVERAGEIFS(I50:I112,D50:D112,P24,F50:F112,N25)+AVERAGEIFS(I116:I178,D116:D178,P24,F116:F178,N25)+AVERAGEIFS(I182:I244,D182:D244,P24,F182:F244,N25)+AVERAGEIFS(I248:I301,D248:D301,P24,F248:F301,N25))/5</f>
        <v>0.46208333333333335</v>
      </c>
      <c r="P25" s="261"/>
      <c r="Q25" s="227"/>
    </row>
    <row r="26" spans="1:17" ht="14.4" customHeight="1">
      <c r="A26" s="253"/>
      <c r="B26" s="244"/>
      <c r="C26" s="248" t="s">
        <v>1197</v>
      </c>
      <c r="D26" s="132" t="s">
        <v>1194</v>
      </c>
      <c r="E26" s="158"/>
      <c r="F26" s="125" t="s">
        <v>1251</v>
      </c>
      <c r="G26" s="126"/>
      <c r="H26" s="127">
        <v>0.33333333333333298</v>
      </c>
      <c r="I26" s="134">
        <f t="shared" si="0"/>
        <v>1</v>
      </c>
      <c r="J26" s="134">
        <v>0.9</v>
      </c>
      <c r="K26" s="135"/>
      <c r="L26" s="137"/>
      <c r="N26" s="161" t="s">
        <v>1253</v>
      </c>
      <c r="O26" s="162">
        <f>(AVERAGEIFS(I11:I46,D11:D46,P24,F11:F46,N26)+AVERAGEIFS(I50:I112,D50:D112,P24,F50:F112,N26)+AVERAGEIFS(I116:I178,D116:D178,P24,F116:F178,N26)+AVERAGEIFS(I182:I244,D182:D244,P24,F182:F244,N26)+AVERAGEIFS(I248:I301,D248:D301,P24,F248:F301,N26))/5</f>
        <v>0.80437499999999995</v>
      </c>
      <c r="P26" s="261"/>
      <c r="Q26" s="227"/>
    </row>
    <row r="27" spans="1:17" ht="14.4" customHeight="1">
      <c r="A27" s="253"/>
      <c r="B27" s="244"/>
      <c r="C27" s="249"/>
      <c r="D27" s="132" t="s">
        <v>1194</v>
      </c>
      <c r="E27" s="158"/>
      <c r="F27" s="129" t="s">
        <v>1252</v>
      </c>
      <c r="G27" s="126"/>
      <c r="H27" s="127">
        <v>0.33333333333333298</v>
      </c>
      <c r="I27" s="134">
        <f t="shared" si="0"/>
        <v>1</v>
      </c>
      <c r="J27" s="134">
        <v>0.9</v>
      </c>
      <c r="K27" s="135"/>
      <c r="L27" s="136"/>
      <c r="N27" s="161" t="s">
        <v>1293</v>
      </c>
      <c r="O27" s="162">
        <f>(O24+O25+O26)/3</f>
        <v>0.58215277777777785</v>
      </c>
      <c r="P27" s="261"/>
      <c r="Q27" s="227"/>
    </row>
    <row r="28" spans="1:17" ht="14.4" customHeight="1" thickBot="1">
      <c r="A28" s="253"/>
      <c r="B28" s="245"/>
      <c r="C28" s="250"/>
      <c r="D28" s="132" t="s">
        <v>1194</v>
      </c>
      <c r="E28" s="133"/>
      <c r="F28" s="128" t="s">
        <v>1253</v>
      </c>
      <c r="G28" s="126"/>
      <c r="H28" s="131">
        <v>0.33333333333333298</v>
      </c>
      <c r="I28" s="138">
        <f t="shared" si="0"/>
        <v>1</v>
      </c>
      <c r="J28" s="134">
        <v>0.9</v>
      </c>
      <c r="K28" s="133"/>
      <c r="L28" s="136"/>
    </row>
    <row r="29" spans="1:17" ht="15" customHeight="1">
      <c r="A29" s="253"/>
      <c r="B29" s="251">
        <v>45780</v>
      </c>
      <c r="C29" s="243" t="s">
        <v>1198</v>
      </c>
      <c r="D29" s="78" t="s">
        <v>1193</v>
      </c>
      <c r="E29" s="159"/>
      <c r="F29" s="111" t="s">
        <v>1251</v>
      </c>
      <c r="H29" s="108">
        <v>0.33333333333333298</v>
      </c>
      <c r="I29" s="138">
        <f t="shared" si="0"/>
        <v>1</v>
      </c>
      <c r="J29" s="109">
        <v>0.9</v>
      </c>
      <c r="K29" s="82"/>
      <c r="L29" s="112"/>
      <c r="N29" s="255" t="s">
        <v>1287</v>
      </c>
      <c r="O29" s="255" t="s">
        <v>1288</v>
      </c>
      <c r="P29" s="255" t="s">
        <v>1292</v>
      </c>
      <c r="Q29" s="255" t="s">
        <v>1290</v>
      </c>
    </row>
    <row r="30" spans="1:17" ht="15" customHeight="1">
      <c r="A30" s="253"/>
      <c r="B30" s="244"/>
      <c r="C30" s="244"/>
      <c r="D30" s="78" t="s">
        <v>1193</v>
      </c>
      <c r="E30" s="159"/>
      <c r="F30" s="106" t="s">
        <v>1252</v>
      </c>
      <c r="G30" s="107">
        <v>0.10416666666666667</v>
      </c>
      <c r="H30" s="108">
        <v>0.33333333333333298</v>
      </c>
      <c r="I30" s="138">
        <f t="shared" si="0"/>
        <v>0.68749999999999967</v>
      </c>
      <c r="J30" s="109">
        <v>0.9</v>
      </c>
      <c r="K30" s="82" t="s">
        <v>1323</v>
      </c>
      <c r="L30" s="82"/>
      <c r="N30" s="255"/>
      <c r="O30" s="255"/>
      <c r="P30" s="255"/>
      <c r="Q30" s="255"/>
    </row>
    <row r="31" spans="1:17" ht="15" customHeight="1">
      <c r="A31" s="253"/>
      <c r="B31" s="244"/>
      <c r="C31" s="245"/>
      <c r="D31" s="78" t="s">
        <v>1193</v>
      </c>
      <c r="E31" s="113"/>
      <c r="F31" s="114" t="s">
        <v>1253</v>
      </c>
      <c r="G31" s="107"/>
      <c r="H31" s="108">
        <v>0.33333333333333331</v>
      </c>
      <c r="I31" s="138">
        <f t="shared" si="0"/>
        <v>1</v>
      </c>
      <c r="J31" s="109">
        <v>0.9</v>
      </c>
      <c r="K31" s="82"/>
      <c r="L31" s="82"/>
      <c r="N31" s="161" t="s">
        <v>1251</v>
      </c>
      <c r="O31" s="162">
        <f>(AVERAGEIFS(I11:I46,D11:D46,P31,F11:F46,N31)+AVERAGEIFS(I50:I112,D50:D112,P31,F50:F112,N31)+AVERAGEIFS(I116:I178,D116:D178,P31,F116:F178,N31)+AVERAGEIFS(I182:I244,D182:D244,P31,F182:F244,N31)+AVERAGEIFS(I248:I301,D248:D301,P31,F248:F301,N31))/5</f>
        <v>0.52666666666666662</v>
      </c>
      <c r="P31" s="254" t="s">
        <v>1194</v>
      </c>
      <c r="Q31" s="259" t="s">
        <v>1419</v>
      </c>
    </row>
    <row r="32" spans="1:17" ht="15" customHeight="1">
      <c r="A32" s="253"/>
      <c r="B32" s="244"/>
      <c r="C32" s="248" t="s">
        <v>1196</v>
      </c>
      <c r="D32" s="132" t="s">
        <v>1192</v>
      </c>
      <c r="E32" s="158"/>
      <c r="F32" s="125" t="s">
        <v>1251</v>
      </c>
      <c r="G32" s="126"/>
      <c r="H32" s="127">
        <v>0.33333333333333298</v>
      </c>
      <c r="I32" s="134">
        <f t="shared" si="0"/>
        <v>1</v>
      </c>
      <c r="J32" s="134">
        <v>0.9</v>
      </c>
      <c r="K32" s="135"/>
      <c r="L32" s="137"/>
      <c r="N32" s="161" t="s">
        <v>1252</v>
      </c>
      <c r="O32" s="162">
        <f>(AVERAGEIFS(I11:I46,D11:D46,P31,F11:F46,N32)+AVERAGEIFS(I50:I112,D50:D112,P31,F50:F112,N32)+AVERAGEIFS(I116:I178,D116:D178,P31,F116:F178,N32)+AVERAGEIFS(I182:I244,D182:D244,P31,F182:F244,N32)+AVERAGEIFS(I248:I301,D248:D301,P31,F248:F301,N32))/5</f>
        <v>0.49249999999999999</v>
      </c>
      <c r="P32" s="254"/>
      <c r="Q32" s="259"/>
    </row>
    <row r="33" spans="1:17" ht="15" customHeight="1">
      <c r="A33" s="253"/>
      <c r="B33" s="244"/>
      <c r="C33" s="249"/>
      <c r="D33" s="132" t="s">
        <v>1192</v>
      </c>
      <c r="E33" s="158"/>
      <c r="F33" s="129" t="s">
        <v>1252</v>
      </c>
      <c r="G33" s="126"/>
      <c r="H33" s="127">
        <v>0.33333333333333298</v>
      </c>
      <c r="I33" s="134">
        <f t="shared" si="0"/>
        <v>1</v>
      </c>
      <c r="J33" s="134">
        <v>0.9</v>
      </c>
      <c r="K33" s="135"/>
      <c r="L33" s="136"/>
      <c r="N33" s="161" t="s">
        <v>1253</v>
      </c>
      <c r="O33" s="162">
        <f>(AVERAGEIFS(I11:I46,D11:D46,P31,F11:F46,N33)+AVERAGEIFS(I50:I112,D50:D112,P31,F50:F112,N33)+AVERAGEIFS(I116:I178,D116:D178,P31,F116:F178,N33)+AVERAGEIFS(I182:I244,D182:D244,P31,F182:F244,N33)+AVERAGEIFS(I248:I301,D248:D301,P31,F248:F301,N33))/5</f>
        <v>0.90416666666666656</v>
      </c>
      <c r="P33" s="254"/>
      <c r="Q33" s="259"/>
    </row>
    <row r="34" spans="1:17" ht="15" customHeight="1">
      <c r="A34" s="253"/>
      <c r="B34" s="244"/>
      <c r="C34" s="250"/>
      <c r="D34" s="132" t="s">
        <v>1192</v>
      </c>
      <c r="E34" s="133"/>
      <c r="F34" s="128" t="s">
        <v>1253</v>
      </c>
      <c r="G34" s="126">
        <v>0.33333333333333331</v>
      </c>
      <c r="H34" s="127">
        <v>0.33333333333333298</v>
      </c>
      <c r="I34" s="134">
        <f t="shared" si="0"/>
        <v>0</v>
      </c>
      <c r="J34" s="134">
        <v>0.9</v>
      </c>
      <c r="K34" s="133" t="s">
        <v>1400</v>
      </c>
      <c r="L34" s="136"/>
      <c r="N34" s="161" t="s">
        <v>1293</v>
      </c>
      <c r="O34" s="162">
        <f>(O31+O32+O33)/3</f>
        <v>0.64111111111111108</v>
      </c>
      <c r="P34" s="254"/>
      <c r="Q34" s="259"/>
    </row>
    <row r="35" spans="1:17" ht="15" customHeight="1">
      <c r="A35" s="253"/>
      <c r="B35" s="244"/>
      <c r="C35" s="243" t="s">
        <v>1197</v>
      </c>
      <c r="D35" s="78" t="s">
        <v>1191</v>
      </c>
      <c r="E35" s="159"/>
      <c r="F35" s="111" t="s">
        <v>1251</v>
      </c>
      <c r="G35" s="107"/>
      <c r="H35" s="108">
        <v>0.33333333333333298</v>
      </c>
      <c r="I35" s="109">
        <f t="shared" si="0"/>
        <v>1</v>
      </c>
      <c r="J35" s="109">
        <v>0.9</v>
      </c>
      <c r="K35" s="82"/>
      <c r="L35" s="112"/>
    </row>
    <row r="36" spans="1:17" ht="15" customHeight="1">
      <c r="A36" s="253"/>
      <c r="B36" s="244"/>
      <c r="C36" s="244"/>
      <c r="D36" s="78" t="s">
        <v>1191</v>
      </c>
      <c r="E36" s="159"/>
      <c r="F36" s="106" t="s">
        <v>1252</v>
      </c>
      <c r="G36" s="107"/>
      <c r="H36" s="108">
        <v>0.33333333333333298</v>
      </c>
      <c r="I36" s="109">
        <f t="shared" si="0"/>
        <v>1</v>
      </c>
      <c r="J36" s="109">
        <v>0.9</v>
      </c>
      <c r="K36" s="82"/>
      <c r="L36" s="82"/>
      <c r="N36" s="255" t="s">
        <v>1287</v>
      </c>
      <c r="O36" s="255" t="s">
        <v>1288</v>
      </c>
      <c r="P36" s="255" t="s">
        <v>1292</v>
      </c>
      <c r="Q36" s="255" t="s">
        <v>1290</v>
      </c>
    </row>
    <row r="37" spans="1:17" ht="15.6" customHeight="1" thickBot="1">
      <c r="A37" s="253"/>
      <c r="B37" s="245"/>
      <c r="C37" s="245"/>
      <c r="D37" s="78" t="s">
        <v>1191</v>
      </c>
      <c r="E37" s="113"/>
      <c r="F37" s="114" t="s">
        <v>1253</v>
      </c>
      <c r="G37" s="107">
        <v>0.33333333333333331</v>
      </c>
      <c r="H37" s="108">
        <v>0.33333333333333298</v>
      </c>
      <c r="I37" s="109">
        <f t="shared" si="0"/>
        <v>0</v>
      </c>
      <c r="J37" s="109">
        <v>0.9</v>
      </c>
      <c r="K37" s="82" t="s">
        <v>1400</v>
      </c>
      <c r="L37" s="82"/>
      <c r="N37" s="255"/>
      <c r="O37" s="255"/>
      <c r="P37" s="255"/>
      <c r="Q37" s="255"/>
    </row>
    <row r="38" spans="1:17" ht="15" customHeight="1">
      <c r="A38" s="253"/>
      <c r="B38" s="251">
        <v>45781</v>
      </c>
      <c r="C38" s="248" t="s">
        <v>1198</v>
      </c>
      <c r="D38" s="132" t="s">
        <v>1193</v>
      </c>
      <c r="E38" s="158"/>
      <c r="F38" s="125" t="s">
        <v>1251</v>
      </c>
      <c r="G38" s="126"/>
      <c r="H38" s="127">
        <v>0.33333333333333298</v>
      </c>
      <c r="I38" s="134">
        <f t="shared" si="0"/>
        <v>1</v>
      </c>
      <c r="J38" s="134">
        <v>0.9</v>
      </c>
      <c r="K38" s="135"/>
      <c r="L38" s="137"/>
      <c r="N38" s="161" t="s">
        <v>1251</v>
      </c>
      <c r="O38" s="162">
        <f>(AVERAGEIFS(I11:I46,D11:D46,P38,F11:F46,N38)+AVERAGEIFS(I50:I112,D50:D112,P38,F50:F112,N38)+AVERAGEIFS(I116:I178,D116:D178,P38,F116:F178,N38)+AVERAGEIFS(I182:I244,D182:D244,P38,F182:F244,N38)+AVERAGEIFS(I248:I301,D248:D301,P38,F248:F301,N38))/5</f>
        <v>0.58333333333333326</v>
      </c>
      <c r="P38" s="254" t="s">
        <v>1193</v>
      </c>
      <c r="Q38" s="259" t="s">
        <v>1419</v>
      </c>
    </row>
    <row r="39" spans="1:17" ht="15" customHeight="1">
      <c r="A39" s="253"/>
      <c r="B39" s="244"/>
      <c r="C39" s="249"/>
      <c r="D39" s="132" t="s">
        <v>1193</v>
      </c>
      <c r="E39" s="158"/>
      <c r="F39" s="129" t="s">
        <v>1252</v>
      </c>
      <c r="G39" s="126"/>
      <c r="H39" s="127">
        <v>0.33333333333333298</v>
      </c>
      <c r="I39" s="134">
        <f t="shared" si="0"/>
        <v>1</v>
      </c>
      <c r="J39" s="134">
        <v>0.9</v>
      </c>
      <c r="K39" s="135"/>
      <c r="L39" s="136"/>
      <c r="N39" s="161" t="s">
        <v>1252</v>
      </c>
      <c r="O39" s="162">
        <f>(AVERAGEIFS(I11:I46,D11:D46,P38,F11:F46,N39)+AVERAGEIFS(I50:I112,D50:D112,P38,F50:F112,N39)+AVERAGEIFS(I116:I178,D116:D178,P38,F116:F178,N39)+AVERAGEIFS(I182:I244,D182:D244,P38,F182:F244,N39)+AVERAGEIFS(I248:I301,D248:D301,P38,F248:F301,N39))/5</f>
        <v>0.51141666666666663</v>
      </c>
      <c r="P39" s="254"/>
      <c r="Q39" s="259"/>
    </row>
    <row r="40" spans="1:17" ht="15" customHeight="1">
      <c r="A40" s="253"/>
      <c r="B40" s="244"/>
      <c r="C40" s="250"/>
      <c r="D40" s="132" t="s">
        <v>1193</v>
      </c>
      <c r="E40" s="133"/>
      <c r="F40" s="128" t="s">
        <v>1253</v>
      </c>
      <c r="G40" s="126">
        <v>0.33333333333333331</v>
      </c>
      <c r="H40" s="127">
        <v>0.33333333333333298</v>
      </c>
      <c r="I40" s="134">
        <f t="shared" si="0"/>
        <v>0</v>
      </c>
      <c r="J40" s="134">
        <v>0.9</v>
      </c>
      <c r="K40" s="133"/>
      <c r="L40" s="136"/>
      <c r="N40" s="161" t="s">
        <v>1253</v>
      </c>
      <c r="O40" s="162">
        <f>(AVERAGEIFS(I11:I46,D11:D46,P38,F11:F46,N40)+AVERAGEIFS(I50:I112,D50:D112,P38,F50:F112,N40)+AVERAGEIFS(I116:I178,D116:D178,P38,F116:F178,N40)+AVERAGEIFS(I182:I244,D182:D244,P38,F182:F244,N40)+AVERAGEIFS(I248:I301,D248:D301,P38,F248:F301,N40))/5</f>
        <v>0.87739583333333326</v>
      </c>
      <c r="P40" s="254"/>
      <c r="Q40" s="259"/>
    </row>
    <row r="41" spans="1:17" ht="15" customHeight="1">
      <c r="A41" s="253"/>
      <c r="B41" s="244"/>
      <c r="C41" s="243" t="s">
        <v>1196</v>
      </c>
      <c r="D41" s="78" t="s">
        <v>1191</v>
      </c>
      <c r="E41" s="159"/>
      <c r="F41" s="111" t="s">
        <v>1251</v>
      </c>
      <c r="G41" s="107"/>
      <c r="H41" s="108">
        <v>0.33333333333333298</v>
      </c>
      <c r="I41" s="109">
        <f t="shared" si="0"/>
        <v>1</v>
      </c>
      <c r="J41" s="109">
        <v>0.9</v>
      </c>
      <c r="K41" s="82"/>
      <c r="L41" s="112"/>
      <c r="N41" s="161" t="s">
        <v>1293</v>
      </c>
      <c r="O41" s="162">
        <f>(O38+O39+O40)/3</f>
        <v>0.65738194444444442</v>
      </c>
      <c r="P41" s="254"/>
      <c r="Q41" s="259"/>
    </row>
    <row r="42" spans="1:17" ht="15" customHeight="1">
      <c r="A42" s="253"/>
      <c r="B42" s="244"/>
      <c r="C42" s="244"/>
      <c r="D42" s="78" t="s">
        <v>1191</v>
      </c>
      <c r="E42" s="159"/>
      <c r="F42" s="106" t="s">
        <v>1252</v>
      </c>
      <c r="G42" s="107"/>
      <c r="H42" s="108">
        <v>0.33333333333333298</v>
      </c>
      <c r="I42" s="109">
        <f t="shared" si="0"/>
        <v>1</v>
      </c>
      <c r="J42" s="109">
        <v>0.9</v>
      </c>
      <c r="K42" s="82"/>
      <c r="L42" s="82"/>
    </row>
    <row r="43" spans="1:17" ht="15" customHeight="1">
      <c r="A43" s="253"/>
      <c r="B43" s="244"/>
      <c r="C43" s="245"/>
      <c r="D43" s="78" t="s">
        <v>1191</v>
      </c>
      <c r="E43" s="113"/>
      <c r="F43" s="114" t="s">
        <v>1253</v>
      </c>
      <c r="G43" s="107">
        <v>0.1076388888888889</v>
      </c>
      <c r="H43" s="108">
        <v>0.33333333333333298</v>
      </c>
      <c r="I43" s="109">
        <f t="shared" si="0"/>
        <v>0.67708333333333304</v>
      </c>
      <c r="J43" s="109">
        <v>0.9</v>
      </c>
      <c r="K43" s="82" t="s">
        <v>1401</v>
      </c>
      <c r="L43" s="82"/>
      <c r="N43" s="255" t="s">
        <v>1287</v>
      </c>
      <c r="O43" s="255" t="s">
        <v>1288</v>
      </c>
      <c r="P43" s="255" t="s">
        <v>1292</v>
      </c>
      <c r="Q43" s="255" t="s">
        <v>1290</v>
      </c>
    </row>
    <row r="44" spans="1:17" ht="15" customHeight="1">
      <c r="A44" s="253"/>
      <c r="B44" s="244"/>
      <c r="C44" s="248" t="s">
        <v>1197</v>
      </c>
      <c r="D44" s="132" t="s">
        <v>1192</v>
      </c>
      <c r="E44" s="158"/>
      <c r="F44" s="125" t="s">
        <v>1251</v>
      </c>
      <c r="G44" s="126"/>
      <c r="H44" s="127">
        <v>0.33333333333333298</v>
      </c>
      <c r="I44" s="134">
        <f t="shared" si="0"/>
        <v>1</v>
      </c>
      <c r="J44" s="134">
        <v>0.9</v>
      </c>
      <c r="K44" s="135"/>
      <c r="L44" s="137"/>
      <c r="N44" s="255"/>
      <c r="O44" s="255"/>
      <c r="P44" s="255"/>
      <c r="Q44" s="255"/>
    </row>
    <row r="45" spans="1:17" ht="15" customHeight="1">
      <c r="A45" s="253"/>
      <c r="B45" s="244"/>
      <c r="C45" s="249"/>
      <c r="D45" s="132" t="s">
        <v>1192</v>
      </c>
      <c r="E45" s="158"/>
      <c r="F45" s="129" t="s">
        <v>1252</v>
      </c>
      <c r="G45" s="126"/>
      <c r="H45" s="127">
        <v>0.33333333333333298</v>
      </c>
      <c r="I45" s="134">
        <f t="shared" si="0"/>
        <v>1</v>
      </c>
      <c r="J45" s="134">
        <v>0.9</v>
      </c>
      <c r="K45" s="135"/>
      <c r="L45" s="136"/>
      <c r="N45" s="161" t="s">
        <v>1251</v>
      </c>
      <c r="O45" s="162">
        <f>(AVERAGEIFS(I11:I46,D11:D46,P45,F11:F46,N45)+AVERAGEIFS(I50:I112,D50:D112,P45,F50:F112,N45)+AVERAGEIFS(I116:I178,D116:D178,P45,F116:F178,N45)+AVERAGEIFS(I182:I244,D182:D244,P45,F182:F244,N45)+AVERAGEIFS(I248:I301,D248:D301,P45,F248:F301,N45))/5</f>
        <v>0.45708333333333329</v>
      </c>
      <c r="P45" s="254" t="s">
        <v>1192</v>
      </c>
      <c r="Q45" s="259" t="s">
        <v>1419</v>
      </c>
    </row>
    <row r="46" spans="1:17" ht="15.6" customHeight="1">
      <c r="A46" s="253"/>
      <c r="B46" s="245"/>
      <c r="C46" s="250"/>
      <c r="D46" s="132" t="s">
        <v>1192</v>
      </c>
      <c r="E46" s="133"/>
      <c r="F46" s="128" t="s">
        <v>1253</v>
      </c>
      <c r="G46" s="126">
        <v>5.2777777777777778E-2</v>
      </c>
      <c r="H46" s="127">
        <v>0.33333333333333298</v>
      </c>
      <c r="I46" s="134">
        <f t="shared" si="0"/>
        <v>0.84166666666666656</v>
      </c>
      <c r="J46" s="134">
        <v>0.9</v>
      </c>
      <c r="K46" s="133" t="s">
        <v>1402</v>
      </c>
      <c r="L46" s="136"/>
      <c r="N46" s="161" t="s">
        <v>1252</v>
      </c>
      <c r="O46" s="162">
        <f>(AVERAGEIFS(I11:I46,D11:D46,P45,F11:F46,N46)+AVERAGEIFS(I50:I112,D50:D112,P45,F50:F112,N46)+AVERAGEIFS(I116:I178,D116:D178,P45,F116:F178,N46)+AVERAGEIFS(I182:I244,D182:D244,P45,F182:F244,N46)+AVERAGEIFS(I248:I301,D248:D301,P45,F248:F301,N46))/5</f>
        <v>0.48875000000000002</v>
      </c>
      <c r="P46" s="254"/>
      <c r="Q46" s="259"/>
    </row>
    <row r="47" spans="1:17" ht="15.6" customHeight="1">
      <c r="A47" s="253"/>
      <c r="B47" s="117"/>
      <c r="C47" s="117"/>
      <c r="D47" s="118"/>
      <c r="E47" s="118"/>
      <c r="F47" s="119" t="s">
        <v>1251</v>
      </c>
      <c r="G47" s="124"/>
      <c r="H47" s="124"/>
      <c r="I47" s="120">
        <f>AVERAGEIF(F11:F46,F47,I11:I46)</f>
        <v>1</v>
      </c>
      <c r="J47" s="121">
        <v>0.9</v>
      </c>
      <c r="K47" s="118"/>
      <c r="L47" s="116"/>
      <c r="N47" s="161" t="s">
        <v>1253</v>
      </c>
      <c r="O47" s="162">
        <f>(AVERAGEIFS(I11:I46,D11:D46,P45,F11:F46,N47)+AVERAGEIFS(I50:I112,D50:D112,P45,F50:F112,N47)+AVERAGEIFS(I116:I178,D116:D178,P45,F116:F178,N47)+AVERAGEIFS(I182:I244,D182:D244,P45,F182:F244,N47)+AVERAGEIFS(I248:I301,D248:D301,P45,F248:F301,N47))/5</f>
        <v>0.83496527777777774</v>
      </c>
      <c r="P47" s="254"/>
      <c r="Q47" s="259"/>
    </row>
    <row r="48" spans="1:17" ht="15.6" customHeight="1">
      <c r="A48" s="253"/>
      <c r="B48" s="117"/>
      <c r="C48" s="117"/>
      <c r="D48" s="118"/>
      <c r="E48" s="118"/>
      <c r="F48" s="119" t="s">
        <v>1252</v>
      </c>
      <c r="G48" s="124"/>
      <c r="H48" s="124"/>
      <c r="I48" s="120">
        <f>AVERAGEIF(F11:F46,F48,I11:I46)</f>
        <v>0.97395833333333337</v>
      </c>
      <c r="J48" s="121">
        <v>0.9</v>
      </c>
      <c r="K48" s="118"/>
      <c r="L48" s="116"/>
      <c r="N48" s="161" t="s">
        <v>1293</v>
      </c>
      <c r="O48" s="162">
        <f>(O45+O46+O47)/3</f>
        <v>0.59359953703703694</v>
      </c>
      <c r="P48" s="254"/>
      <c r="Q48" s="259"/>
    </row>
    <row r="49" spans="1:12" ht="15.6" customHeight="1" thickBot="1">
      <c r="A49" s="253"/>
      <c r="B49" s="117"/>
      <c r="C49" s="117"/>
      <c r="D49" s="118"/>
      <c r="E49" s="118"/>
      <c r="F49" s="119" t="s">
        <v>1253</v>
      </c>
      <c r="G49" s="124"/>
      <c r="H49" s="124"/>
      <c r="I49" s="120">
        <f>AVERAGEIF(F11:F46,F49,I11:I46)</f>
        <v>0.70989583333333328</v>
      </c>
      <c r="J49" s="121">
        <v>0.9</v>
      </c>
      <c r="K49" s="118"/>
      <c r="L49" s="116"/>
    </row>
    <row r="50" spans="1:12" ht="14.4" customHeight="1">
      <c r="A50" s="252" t="s">
        <v>1403</v>
      </c>
      <c r="B50" s="251">
        <v>45782</v>
      </c>
      <c r="C50" s="243" t="s">
        <v>1198</v>
      </c>
      <c r="D50" s="110" t="s">
        <v>1201</v>
      </c>
      <c r="E50" s="156"/>
      <c r="F50" s="111" t="s">
        <v>1251</v>
      </c>
      <c r="G50" s="107"/>
      <c r="H50" s="108">
        <v>0.33333333333333331</v>
      </c>
      <c r="I50" s="109">
        <f>1-(G50/H50)</f>
        <v>1</v>
      </c>
      <c r="J50" s="109">
        <v>0.9</v>
      </c>
      <c r="K50" s="82" t="s">
        <v>1404</v>
      </c>
      <c r="L50" s="82"/>
    </row>
    <row r="51" spans="1:12" ht="14.4" customHeight="1">
      <c r="A51" s="253"/>
      <c r="B51" s="244"/>
      <c r="C51" s="244"/>
      <c r="D51" s="110" t="s">
        <v>1201</v>
      </c>
      <c r="E51" s="156"/>
      <c r="F51" s="111" t="s">
        <v>1252</v>
      </c>
      <c r="G51" s="107"/>
      <c r="H51" s="108">
        <v>0.33333333333333331</v>
      </c>
      <c r="I51" s="109">
        <f>1-(G51/H51)</f>
        <v>1</v>
      </c>
      <c r="J51" s="109">
        <v>0.9</v>
      </c>
      <c r="K51" s="82" t="s">
        <v>1404</v>
      </c>
      <c r="L51" s="82"/>
    </row>
    <row r="52" spans="1:12" ht="14.4" customHeight="1">
      <c r="A52" s="253"/>
      <c r="B52" s="244"/>
      <c r="C52" s="245"/>
      <c r="D52" s="110" t="s">
        <v>1201</v>
      </c>
      <c r="E52" s="157"/>
      <c r="F52" s="114" t="s">
        <v>1253</v>
      </c>
      <c r="G52" s="107"/>
      <c r="H52" s="108">
        <v>0.33333333333333298</v>
      </c>
      <c r="I52" s="109">
        <f t="shared" ref="I52:I94" si="1">1-(G52/H52)</f>
        <v>1</v>
      </c>
      <c r="J52" s="109">
        <v>0.9</v>
      </c>
      <c r="K52" s="82" t="s">
        <v>1404</v>
      </c>
      <c r="L52" s="82"/>
    </row>
    <row r="53" spans="1:12" ht="14.4" customHeight="1">
      <c r="A53" s="253"/>
      <c r="B53" s="244"/>
      <c r="C53" s="248" t="s">
        <v>1196</v>
      </c>
      <c r="D53" s="132" t="s">
        <v>1193</v>
      </c>
      <c r="E53" s="158"/>
      <c r="F53" s="125" t="s">
        <v>1251</v>
      </c>
      <c r="G53" s="126"/>
      <c r="H53" s="127">
        <v>0.33333333333333298</v>
      </c>
      <c r="I53" s="109">
        <f t="shared" si="1"/>
        <v>1</v>
      </c>
      <c r="J53" s="134">
        <v>0.9</v>
      </c>
      <c r="K53" s="135" t="s">
        <v>1405</v>
      </c>
      <c r="L53" s="136"/>
    </row>
    <row r="54" spans="1:12" ht="14.4" customHeight="1">
      <c r="A54" s="253"/>
      <c r="B54" s="244"/>
      <c r="C54" s="249"/>
      <c r="D54" s="132" t="s">
        <v>1193</v>
      </c>
      <c r="E54" s="158"/>
      <c r="F54" s="125" t="s">
        <v>1252</v>
      </c>
      <c r="G54" s="126"/>
      <c r="H54" s="127">
        <v>0.33333333333333298</v>
      </c>
      <c r="I54" s="109">
        <f t="shared" si="1"/>
        <v>1</v>
      </c>
      <c r="J54" s="134">
        <v>0.9</v>
      </c>
      <c r="K54" s="135" t="s">
        <v>1405</v>
      </c>
      <c r="L54" s="136"/>
    </row>
    <row r="55" spans="1:12" ht="14.4" customHeight="1">
      <c r="A55" s="253"/>
      <c r="B55" s="244"/>
      <c r="C55" s="250"/>
      <c r="D55" s="132" t="s">
        <v>1193</v>
      </c>
      <c r="E55" s="133"/>
      <c r="F55" s="128" t="s">
        <v>1253</v>
      </c>
      <c r="G55" s="126"/>
      <c r="H55" s="127">
        <v>0.33333333333333298</v>
      </c>
      <c r="I55" s="109">
        <f t="shared" si="1"/>
        <v>1</v>
      </c>
      <c r="J55" s="134">
        <v>0.9</v>
      </c>
      <c r="K55" s="135" t="s">
        <v>1405</v>
      </c>
      <c r="L55" s="136"/>
    </row>
    <row r="56" spans="1:12" ht="14.4" customHeight="1">
      <c r="A56" s="253"/>
      <c r="B56" s="244"/>
      <c r="C56" s="243" t="s">
        <v>1197</v>
      </c>
      <c r="D56" s="78" t="s">
        <v>1191</v>
      </c>
      <c r="E56" s="159"/>
      <c r="F56" s="111" t="s">
        <v>1251</v>
      </c>
      <c r="G56" s="107"/>
      <c r="H56" s="108">
        <v>0.33333333333333298</v>
      </c>
      <c r="I56" s="109">
        <f t="shared" si="1"/>
        <v>1</v>
      </c>
      <c r="J56" s="109">
        <v>0.9</v>
      </c>
      <c r="K56" s="82" t="s">
        <v>1406</v>
      </c>
      <c r="L56" s="82"/>
    </row>
    <row r="57" spans="1:12" ht="14.4" customHeight="1">
      <c r="A57" s="253"/>
      <c r="B57" s="244"/>
      <c r="C57" s="244"/>
      <c r="D57" s="78" t="s">
        <v>1191</v>
      </c>
      <c r="E57" s="159"/>
      <c r="F57" s="111" t="s">
        <v>1252</v>
      </c>
      <c r="G57" s="107"/>
      <c r="H57" s="108">
        <v>0.33333333333333298</v>
      </c>
      <c r="I57" s="109">
        <f t="shared" si="1"/>
        <v>1</v>
      </c>
      <c r="J57" s="109">
        <v>0.9</v>
      </c>
      <c r="K57" s="82" t="s">
        <v>1406</v>
      </c>
      <c r="L57" s="82"/>
    </row>
    <row r="58" spans="1:12" ht="15" customHeight="1" thickBot="1">
      <c r="A58" s="253"/>
      <c r="B58" s="245"/>
      <c r="C58" s="245"/>
      <c r="D58" s="78" t="s">
        <v>1191</v>
      </c>
      <c r="E58" s="113"/>
      <c r="F58" s="114" t="s">
        <v>1253</v>
      </c>
      <c r="G58" s="107"/>
      <c r="H58" s="108">
        <v>0.33333333333333298</v>
      </c>
      <c r="I58" s="109">
        <f t="shared" si="1"/>
        <v>1</v>
      </c>
      <c r="J58" s="109">
        <v>0.9</v>
      </c>
      <c r="K58" s="82" t="s">
        <v>1406</v>
      </c>
      <c r="L58" s="82"/>
    </row>
    <row r="59" spans="1:12" ht="14.4" customHeight="1">
      <c r="A59" s="253"/>
      <c r="B59" s="251">
        <v>45783</v>
      </c>
      <c r="C59" s="248" t="s">
        <v>1198</v>
      </c>
      <c r="D59" s="132" t="s">
        <v>1194</v>
      </c>
      <c r="E59" s="158"/>
      <c r="F59" s="125" t="s">
        <v>1251</v>
      </c>
      <c r="G59" s="126"/>
      <c r="H59" s="127">
        <v>0.33333333333333298</v>
      </c>
      <c r="I59" s="109">
        <f t="shared" si="1"/>
        <v>1</v>
      </c>
      <c r="J59" s="134">
        <v>0.9</v>
      </c>
      <c r="K59" s="135"/>
      <c r="L59" s="137"/>
    </row>
    <row r="60" spans="1:12" ht="14.4" customHeight="1">
      <c r="A60" s="253"/>
      <c r="B60" s="244"/>
      <c r="C60" s="249"/>
      <c r="D60" s="132" t="s">
        <v>1194</v>
      </c>
      <c r="E60" s="158"/>
      <c r="F60" s="125" t="s">
        <v>1252</v>
      </c>
      <c r="G60" s="126"/>
      <c r="H60" s="127">
        <v>0.33333333333333298</v>
      </c>
      <c r="I60" s="109">
        <f t="shared" si="1"/>
        <v>1</v>
      </c>
      <c r="J60" s="134">
        <v>0.9</v>
      </c>
      <c r="K60" s="135"/>
      <c r="L60" s="136"/>
    </row>
    <row r="61" spans="1:12" ht="14.4" customHeight="1">
      <c r="A61" s="253"/>
      <c r="B61" s="244"/>
      <c r="C61" s="250"/>
      <c r="D61" s="132" t="s">
        <v>1194</v>
      </c>
      <c r="E61" s="133"/>
      <c r="F61" s="128" t="s">
        <v>1253</v>
      </c>
      <c r="G61" s="126"/>
      <c r="H61" s="127">
        <v>0.33333333333333298</v>
      </c>
      <c r="I61" s="109">
        <f t="shared" si="1"/>
        <v>1</v>
      </c>
      <c r="J61" s="134">
        <v>0.9</v>
      </c>
      <c r="K61" s="133"/>
      <c r="L61" s="136"/>
    </row>
    <row r="62" spans="1:12" ht="14.4" customHeight="1">
      <c r="A62" s="253"/>
      <c r="B62" s="244"/>
      <c r="C62" s="243" t="s">
        <v>1196</v>
      </c>
      <c r="D62" s="78" t="s">
        <v>1193</v>
      </c>
      <c r="E62" s="159"/>
      <c r="F62" s="111" t="s">
        <v>1251</v>
      </c>
      <c r="G62" s="107"/>
      <c r="H62" s="108">
        <v>0.33333333333333298</v>
      </c>
      <c r="I62" s="109">
        <f t="shared" si="1"/>
        <v>1</v>
      </c>
      <c r="J62" s="109">
        <v>0.9</v>
      </c>
      <c r="K62" s="112"/>
      <c r="L62" s="112"/>
    </row>
    <row r="63" spans="1:12" ht="14.4" customHeight="1">
      <c r="A63" s="253"/>
      <c r="B63" s="244"/>
      <c r="C63" s="244"/>
      <c r="D63" s="78" t="s">
        <v>1193</v>
      </c>
      <c r="E63" s="159"/>
      <c r="F63" s="111" t="s">
        <v>1252</v>
      </c>
      <c r="G63" s="107"/>
      <c r="H63" s="108">
        <v>0.33333333333333298</v>
      </c>
      <c r="I63" s="109">
        <f t="shared" si="1"/>
        <v>1</v>
      </c>
      <c r="J63" s="109">
        <v>0.9</v>
      </c>
      <c r="K63" s="82"/>
      <c r="L63" s="82"/>
    </row>
    <row r="64" spans="1:12" ht="14.4" customHeight="1">
      <c r="A64" s="253"/>
      <c r="B64" s="244"/>
      <c r="C64" s="245"/>
      <c r="D64" s="78" t="s">
        <v>1193</v>
      </c>
      <c r="E64" s="113"/>
      <c r="F64" s="114" t="s">
        <v>1253</v>
      </c>
      <c r="G64" s="107"/>
      <c r="H64" s="108">
        <v>0.33333333333333298</v>
      </c>
      <c r="I64" s="109">
        <f t="shared" si="1"/>
        <v>1</v>
      </c>
      <c r="J64" s="109">
        <v>0.9</v>
      </c>
      <c r="K64" s="82"/>
      <c r="L64" s="82"/>
    </row>
    <row r="65" spans="1:12" ht="14.4" customHeight="1">
      <c r="A65" s="253"/>
      <c r="B65" s="244"/>
      <c r="C65" s="248" t="s">
        <v>1197</v>
      </c>
      <c r="D65" s="132" t="s">
        <v>1191</v>
      </c>
      <c r="E65" s="158"/>
      <c r="F65" s="125" t="s">
        <v>1251</v>
      </c>
      <c r="G65" s="126"/>
      <c r="H65" s="127">
        <v>0.33333333333333298</v>
      </c>
      <c r="I65" s="109">
        <f t="shared" si="1"/>
        <v>1</v>
      </c>
      <c r="J65" s="134">
        <v>0.9</v>
      </c>
      <c r="K65" s="146"/>
      <c r="L65" s="136"/>
    </row>
    <row r="66" spans="1:12" ht="14.4" customHeight="1">
      <c r="A66" s="253"/>
      <c r="B66" s="244"/>
      <c r="C66" s="249"/>
      <c r="D66" s="132" t="s">
        <v>1191</v>
      </c>
      <c r="E66" s="158"/>
      <c r="F66" s="129" t="s">
        <v>1252</v>
      </c>
      <c r="G66" s="126">
        <v>5.9027777777777776E-2</v>
      </c>
      <c r="H66" s="127">
        <v>0.33333333333333331</v>
      </c>
      <c r="I66" s="109">
        <f t="shared" si="1"/>
        <v>0.82291666666666663</v>
      </c>
      <c r="J66" s="134">
        <v>0.9</v>
      </c>
      <c r="K66" s="136" t="s">
        <v>1407</v>
      </c>
      <c r="L66" s="136"/>
    </row>
    <row r="67" spans="1:12" ht="15" customHeight="1" thickBot="1">
      <c r="A67" s="253"/>
      <c r="B67" s="245"/>
      <c r="C67" s="250"/>
      <c r="D67" s="132" t="s">
        <v>1191</v>
      </c>
      <c r="E67" s="133"/>
      <c r="F67" s="128" t="s">
        <v>1253</v>
      </c>
      <c r="G67" s="126"/>
      <c r="H67" s="131">
        <v>0.33333333333333298</v>
      </c>
      <c r="I67" s="115">
        <f t="shared" si="1"/>
        <v>1</v>
      </c>
      <c r="J67" s="134">
        <v>0.9</v>
      </c>
      <c r="K67" s="136"/>
      <c r="L67" s="136"/>
    </row>
    <row r="68" spans="1:12" ht="14.4" customHeight="1">
      <c r="A68" s="253"/>
      <c r="B68" s="251">
        <v>45784</v>
      </c>
      <c r="C68" s="243" t="s">
        <v>1198</v>
      </c>
      <c r="D68" s="78" t="s">
        <v>1192</v>
      </c>
      <c r="E68" s="159"/>
      <c r="F68" s="111" t="s">
        <v>1251</v>
      </c>
      <c r="G68" s="107"/>
      <c r="H68" s="108">
        <v>0.33333333333333298</v>
      </c>
      <c r="I68" s="109">
        <f t="shared" si="1"/>
        <v>1</v>
      </c>
      <c r="J68" s="109">
        <v>0.9</v>
      </c>
      <c r="K68" s="168" t="s">
        <v>1408</v>
      </c>
      <c r="L68" s="112"/>
    </row>
    <row r="69" spans="1:12" ht="14.4" customHeight="1">
      <c r="A69" s="253"/>
      <c r="B69" s="244"/>
      <c r="C69" s="244"/>
      <c r="D69" s="78" t="s">
        <v>1192</v>
      </c>
      <c r="E69" s="159"/>
      <c r="F69" s="106" t="s">
        <v>1252</v>
      </c>
      <c r="G69" s="107"/>
      <c r="H69" s="108">
        <v>0.33333333333333298</v>
      </c>
      <c r="I69" s="109">
        <f t="shared" si="1"/>
        <v>1</v>
      </c>
      <c r="J69" s="109">
        <v>0.9</v>
      </c>
      <c r="K69" s="168" t="s">
        <v>1408</v>
      </c>
      <c r="L69" s="82"/>
    </row>
    <row r="70" spans="1:12" ht="14.4" customHeight="1">
      <c r="A70" s="253"/>
      <c r="B70" s="244"/>
      <c r="C70" s="245"/>
      <c r="D70" s="78" t="s">
        <v>1192</v>
      </c>
      <c r="E70" s="113"/>
      <c r="F70" s="114" t="s">
        <v>1253</v>
      </c>
      <c r="G70" s="107"/>
      <c r="H70" s="108">
        <v>0.33333333333333298</v>
      </c>
      <c r="I70" s="109">
        <f t="shared" si="1"/>
        <v>1</v>
      </c>
      <c r="J70" s="109">
        <v>0.9</v>
      </c>
      <c r="K70" s="168" t="s">
        <v>1408</v>
      </c>
      <c r="L70" s="82"/>
    </row>
    <row r="71" spans="1:12" ht="14.4" customHeight="1">
      <c r="A71" s="253"/>
      <c r="B71" s="244"/>
      <c r="C71" s="248" t="s">
        <v>1196</v>
      </c>
      <c r="D71" s="132" t="s">
        <v>1194</v>
      </c>
      <c r="E71" s="158"/>
      <c r="F71" s="125" t="s">
        <v>1251</v>
      </c>
      <c r="G71" s="126"/>
      <c r="H71" s="127">
        <v>0.33333333333333298</v>
      </c>
      <c r="I71" s="109">
        <f t="shared" si="1"/>
        <v>1</v>
      </c>
      <c r="J71" s="134">
        <v>0.9</v>
      </c>
      <c r="K71" s="135"/>
      <c r="L71" s="136"/>
    </row>
    <row r="72" spans="1:12" ht="14.4" customHeight="1">
      <c r="A72" s="253"/>
      <c r="B72" s="244"/>
      <c r="C72" s="249"/>
      <c r="D72" s="132" t="s">
        <v>1194</v>
      </c>
      <c r="E72" s="158"/>
      <c r="F72" s="129" t="s">
        <v>1252</v>
      </c>
      <c r="G72" s="126"/>
      <c r="H72" s="127">
        <v>0.33333333333333298</v>
      </c>
      <c r="I72" s="109">
        <f t="shared" si="1"/>
        <v>1</v>
      </c>
      <c r="J72" s="134">
        <v>0.9</v>
      </c>
      <c r="K72" s="135"/>
      <c r="L72" s="136"/>
    </row>
    <row r="73" spans="1:12" ht="14.4" customHeight="1">
      <c r="A73" s="253"/>
      <c r="B73" s="244"/>
      <c r="C73" s="250"/>
      <c r="D73" s="132" t="s">
        <v>1194</v>
      </c>
      <c r="E73" s="133"/>
      <c r="F73" s="128" t="s">
        <v>1253</v>
      </c>
      <c r="G73" s="126">
        <v>0.29166666666666669</v>
      </c>
      <c r="H73" s="127">
        <v>0.33333333333333331</v>
      </c>
      <c r="I73" s="109">
        <f t="shared" si="1"/>
        <v>0.12499999999999989</v>
      </c>
      <c r="J73" s="134">
        <v>0.9</v>
      </c>
      <c r="K73" s="133" t="s">
        <v>1328</v>
      </c>
      <c r="L73" s="136"/>
    </row>
    <row r="74" spans="1:12" ht="14.4" customHeight="1">
      <c r="A74" s="253"/>
      <c r="B74" s="244"/>
      <c r="C74" s="243" t="s">
        <v>1197</v>
      </c>
      <c r="D74" s="78" t="s">
        <v>1193</v>
      </c>
      <c r="E74" s="159"/>
      <c r="F74" s="111" t="s">
        <v>1251</v>
      </c>
      <c r="G74" s="107"/>
      <c r="H74" s="108">
        <v>0.33333333333333298</v>
      </c>
      <c r="I74" s="109">
        <f t="shared" si="1"/>
        <v>1</v>
      </c>
      <c r="J74" s="109">
        <v>0.9</v>
      </c>
      <c r="K74" s="82"/>
      <c r="L74" s="82"/>
    </row>
    <row r="75" spans="1:12" ht="14.4" customHeight="1">
      <c r="A75" s="253"/>
      <c r="B75" s="244"/>
      <c r="C75" s="244"/>
      <c r="D75" s="78" t="s">
        <v>1193</v>
      </c>
      <c r="E75" s="159"/>
      <c r="F75" s="106" t="s">
        <v>1252</v>
      </c>
      <c r="G75" s="107">
        <v>0.20833333333333334</v>
      </c>
      <c r="H75" s="108">
        <v>0.33333333333333331</v>
      </c>
      <c r="I75" s="109">
        <f t="shared" si="1"/>
        <v>0.37499999999999989</v>
      </c>
      <c r="J75" s="109">
        <v>0.9</v>
      </c>
      <c r="K75" s="82" t="s">
        <v>1326</v>
      </c>
      <c r="L75" s="82"/>
    </row>
    <row r="76" spans="1:12" ht="15" customHeight="1" thickBot="1">
      <c r="A76" s="253"/>
      <c r="B76" s="245"/>
      <c r="C76" s="245"/>
      <c r="D76" s="78" t="s">
        <v>1193</v>
      </c>
      <c r="E76" s="113"/>
      <c r="F76" s="114" t="s">
        <v>1253</v>
      </c>
      <c r="G76" s="107"/>
      <c r="H76" s="108">
        <v>0.33333333333333298</v>
      </c>
      <c r="I76" s="109">
        <f t="shared" si="1"/>
        <v>1</v>
      </c>
      <c r="J76" s="109">
        <v>0.9</v>
      </c>
      <c r="K76" s="82"/>
      <c r="L76" s="82"/>
    </row>
    <row r="77" spans="1:12" ht="14.4" customHeight="1">
      <c r="A77" s="253"/>
      <c r="B77" s="251">
        <v>45785</v>
      </c>
      <c r="C77" s="248" t="s">
        <v>1198</v>
      </c>
      <c r="D77" s="132" t="s">
        <v>1192</v>
      </c>
      <c r="E77" s="158"/>
      <c r="F77" s="125" t="s">
        <v>1251</v>
      </c>
      <c r="G77" s="126">
        <v>4.1666666666666664E-2</v>
      </c>
      <c r="H77" s="127">
        <v>0.33333333333333298</v>
      </c>
      <c r="I77" s="109">
        <f>1-(G77/H77)</f>
        <v>0.87499999999999989</v>
      </c>
      <c r="J77" s="134">
        <v>0.9</v>
      </c>
      <c r="K77" s="135" t="s">
        <v>1409</v>
      </c>
      <c r="L77" s="137"/>
    </row>
    <row r="78" spans="1:12" ht="14.4" customHeight="1">
      <c r="A78" s="253"/>
      <c r="B78" s="244"/>
      <c r="C78" s="249"/>
      <c r="D78" s="132" t="s">
        <v>1192</v>
      </c>
      <c r="E78" s="158"/>
      <c r="F78" s="129" t="s">
        <v>1252</v>
      </c>
      <c r="G78" s="126">
        <v>4.1666666666666664E-2</v>
      </c>
      <c r="H78" s="127">
        <v>0.33333333333333298</v>
      </c>
      <c r="I78" s="109">
        <f>1-(G78/H78)</f>
        <v>0.87499999999999989</v>
      </c>
      <c r="J78" s="134">
        <v>0.9</v>
      </c>
      <c r="K78" s="135" t="s">
        <v>1409</v>
      </c>
      <c r="L78" s="136"/>
    </row>
    <row r="79" spans="1:12" ht="14.4" customHeight="1">
      <c r="A79" s="253"/>
      <c r="B79" s="244"/>
      <c r="C79" s="250"/>
      <c r="D79" s="132" t="s">
        <v>1192</v>
      </c>
      <c r="E79" s="133"/>
      <c r="F79" s="128" t="s">
        <v>1253</v>
      </c>
      <c r="G79" s="126">
        <v>4.1666666666666664E-2</v>
      </c>
      <c r="H79" s="127">
        <v>0.33333333333333298</v>
      </c>
      <c r="I79" s="109">
        <f t="shared" si="1"/>
        <v>0.87499999999999989</v>
      </c>
      <c r="J79" s="134">
        <v>0.9</v>
      </c>
      <c r="K79" s="135" t="s">
        <v>1409</v>
      </c>
      <c r="L79" s="136"/>
    </row>
    <row r="80" spans="1:12" ht="14.4" customHeight="1">
      <c r="A80" s="253"/>
      <c r="B80" s="244"/>
      <c r="C80" s="243" t="s">
        <v>1196</v>
      </c>
      <c r="D80" s="78" t="s">
        <v>1194</v>
      </c>
      <c r="E80" s="159"/>
      <c r="F80" s="111" t="s">
        <v>1251</v>
      </c>
      <c r="G80" s="107"/>
      <c r="H80" s="108">
        <v>0.33333333333333298</v>
      </c>
      <c r="I80" s="109">
        <f t="shared" si="1"/>
        <v>1</v>
      </c>
      <c r="J80" s="109">
        <v>0.9</v>
      </c>
      <c r="K80" s="82"/>
      <c r="L80" s="112"/>
    </row>
    <row r="81" spans="1:12" ht="14.4" customHeight="1">
      <c r="A81" s="253"/>
      <c r="B81" s="244"/>
      <c r="C81" s="244"/>
      <c r="D81" s="78" t="s">
        <v>1194</v>
      </c>
      <c r="E81" s="159"/>
      <c r="F81" s="106" t="s">
        <v>1252</v>
      </c>
      <c r="G81" s="107">
        <v>0.15972222222222221</v>
      </c>
      <c r="H81" s="108">
        <v>0.33333333333333298</v>
      </c>
      <c r="I81" s="109">
        <f t="shared" si="1"/>
        <v>0.52083333333333282</v>
      </c>
      <c r="J81" s="109">
        <v>0.9</v>
      </c>
      <c r="K81" s="82" t="s">
        <v>1326</v>
      </c>
      <c r="L81" s="82"/>
    </row>
    <row r="82" spans="1:12" ht="14.4" customHeight="1">
      <c r="A82" s="253"/>
      <c r="B82" s="244"/>
      <c r="C82" s="245"/>
      <c r="D82" s="78" t="s">
        <v>1194</v>
      </c>
      <c r="E82" s="113"/>
      <c r="F82" s="114" t="s">
        <v>1253</v>
      </c>
      <c r="G82" s="107"/>
      <c r="H82" s="108">
        <v>0.33333333333333298</v>
      </c>
      <c r="I82" s="109">
        <f t="shared" si="1"/>
        <v>1</v>
      </c>
      <c r="J82" s="109">
        <v>0.9</v>
      </c>
      <c r="K82" s="82"/>
      <c r="L82" s="82"/>
    </row>
    <row r="83" spans="1:12" ht="14.4" customHeight="1">
      <c r="A83" s="253"/>
      <c r="B83" s="244"/>
      <c r="C83" s="248" t="s">
        <v>1197</v>
      </c>
      <c r="D83" s="132" t="s">
        <v>1193</v>
      </c>
      <c r="E83" s="158"/>
      <c r="F83" s="125" t="s">
        <v>1251</v>
      </c>
      <c r="G83" s="126"/>
      <c r="H83" s="127">
        <v>0.33333333333333298</v>
      </c>
      <c r="I83" s="109">
        <f t="shared" si="1"/>
        <v>1</v>
      </c>
      <c r="J83" s="134">
        <v>0.9</v>
      </c>
      <c r="K83" s="135"/>
      <c r="L83" s="136"/>
    </row>
    <row r="84" spans="1:12" ht="14.4" customHeight="1">
      <c r="A84" s="253"/>
      <c r="B84" s="244"/>
      <c r="C84" s="249"/>
      <c r="D84" s="132" t="s">
        <v>1193</v>
      </c>
      <c r="E84" s="158"/>
      <c r="F84" s="129" t="s">
        <v>1252</v>
      </c>
      <c r="G84" s="107">
        <v>0.13055555555555556</v>
      </c>
      <c r="H84" s="127">
        <v>0.33333333333333298</v>
      </c>
      <c r="I84" s="109">
        <f t="shared" si="1"/>
        <v>0.60833333333333295</v>
      </c>
      <c r="J84" s="134">
        <v>0.9</v>
      </c>
      <c r="K84" s="135" t="s">
        <v>1326</v>
      </c>
      <c r="L84" s="136"/>
    </row>
    <row r="85" spans="1:12" ht="15" customHeight="1" thickBot="1">
      <c r="A85" s="253"/>
      <c r="B85" s="245"/>
      <c r="C85" s="250"/>
      <c r="D85" s="132" t="s">
        <v>1193</v>
      </c>
      <c r="E85" s="133"/>
      <c r="F85" s="128" t="s">
        <v>1253</v>
      </c>
      <c r="G85" s="126"/>
      <c r="H85" s="127">
        <v>0.33333333333333298</v>
      </c>
      <c r="I85" s="109">
        <f t="shared" si="1"/>
        <v>1</v>
      </c>
      <c r="J85" s="134">
        <v>0.9</v>
      </c>
      <c r="K85" s="133"/>
      <c r="L85" s="136"/>
    </row>
    <row r="86" spans="1:12" ht="14.4" customHeight="1">
      <c r="A86" s="253"/>
      <c r="B86" s="251">
        <v>45786</v>
      </c>
      <c r="C86" s="243" t="s">
        <v>1198</v>
      </c>
      <c r="D86" s="78" t="s">
        <v>1191</v>
      </c>
      <c r="E86" s="159"/>
      <c r="F86" s="111" t="s">
        <v>1251</v>
      </c>
      <c r="G86" s="107"/>
      <c r="H86" s="108">
        <v>0.33333333333333298</v>
      </c>
      <c r="I86" s="109">
        <f t="shared" si="1"/>
        <v>1</v>
      </c>
      <c r="J86" s="109">
        <v>0.9</v>
      </c>
      <c r="K86" s="82"/>
      <c r="L86" s="112"/>
    </row>
    <row r="87" spans="1:12" ht="14.4" customHeight="1">
      <c r="A87" s="253"/>
      <c r="B87" s="244"/>
      <c r="C87" s="244"/>
      <c r="D87" s="78" t="s">
        <v>1191</v>
      </c>
      <c r="E87" s="159"/>
      <c r="F87" s="106" t="s">
        <v>1252</v>
      </c>
      <c r="G87" s="107"/>
      <c r="H87" s="108">
        <v>0.33333333333333298</v>
      </c>
      <c r="I87" s="109">
        <f t="shared" si="1"/>
        <v>1</v>
      </c>
      <c r="J87" s="109">
        <v>0.9</v>
      </c>
      <c r="K87" s="82"/>
      <c r="L87" s="82"/>
    </row>
    <row r="88" spans="1:12" ht="14.4" customHeight="1">
      <c r="A88" s="253"/>
      <c r="B88" s="244"/>
      <c r="C88" s="245"/>
      <c r="D88" s="78" t="s">
        <v>1191</v>
      </c>
      <c r="E88" s="113"/>
      <c r="F88" s="114" t="s">
        <v>1253</v>
      </c>
      <c r="G88" s="107">
        <v>9.0277777777777776E-2</v>
      </c>
      <c r="H88" s="108">
        <v>0.33333333333333298</v>
      </c>
      <c r="I88" s="109">
        <f t="shared" si="1"/>
        <v>0.72916666666666641</v>
      </c>
      <c r="J88" s="109">
        <v>0.9</v>
      </c>
      <c r="K88" s="82" t="s">
        <v>1410</v>
      </c>
      <c r="L88" s="82"/>
    </row>
    <row r="89" spans="1:12" ht="14.4" customHeight="1">
      <c r="A89" s="253"/>
      <c r="B89" s="244"/>
      <c r="C89" s="248" t="s">
        <v>1196</v>
      </c>
      <c r="D89" s="132" t="s">
        <v>1192</v>
      </c>
      <c r="E89" s="158"/>
      <c r="F89" s="125" t="s">
        <v>1251</v>
      </c>
      <c r="G89" s="126"/>
      <c r="H89" s="127">
        <v>0.33333333333333298</v>
      </c>
      <c r="I89" s="109">
        <f t="shared" si="1"/>
        <v>1</v>
      </c>
      <c r="J89" s="134">
        <v>0.9</v>
      </c>
      <c r="K89" s="169" t="s">
        <v>1411</v>
      </c>
      <c r="L89" s="137"/>
    </row>
    <row r="90" spans="1:12" ht="14.4" customHeight="1">
      <c r="A90" s="253"/>
      <c r="B90" s="244"/>
      <c r="C90" s="249"/>
      <c r="D90" s="132" t="s">
        <v>1192</v>
      </c>
      <c r="E90" s="158"/>
      <c r="F90" s="129" t="s">
        <v>1252</v>
      </c>
      <c r="G90" s="126"/>
      <c r="H90" s="127">
        <v>0.33333333333333298</v>
      </c>
      <c r="I90" s="109">
        <f t="shared" si="1"/>
        <v>1</v>
      </c>
      <c r="J90" s="134">
        <v>0.9</v>
      </c>
      <c r="K90" s="169" t="s">
        <v>1411</v>
      </c>
      <c r="L90" s="136"/>
    </row>
    <row r="91" spans="1:12" ht="14.4" customHeight="1">
      <c r="A91" s="253"/>
      <c r="B91" s="244"/>
      <c r="C91" s="250"/>
      <c r="D91" s="132" t="s">
        <v>1192</v>
      </c>
      <c r="E91" s="133"/>
      <c r="F91" s="128" t="s">
        <v>1253</v>
      </c>
      <c r="G91" s="126"/>
      <c r="H91" s="127">
        <v>0.33333333333333298</v>
      </c>
      <c r="I91" s="109">
        <f t="shared" si="1"/>
        <v>1</v>
      </c>
      <c r="J91" s="134">
        <v>0.9</v>
      </c>
      <c r="K91" s="169" t="s">
        <v>1411</v>
      </c>
      <c r="L91" s="136"/>
    </row>
    <row r="92" spans="1:12" ht="14.4" customHeight="1">
      <c r="A92" s="253"/>
      <c r="B92" s="244"/>
      <c r="C92" s="243" t="s">
        <v>1197</v>
      </c>
      <c r="D92" s="78" t="s">
        <v>1194</v>
      </c>
      <c r="E92" s="159"/>
      <c r="F92" s="111" t="s">
        <v>1251</v>
      </c>
      <c r="G92" s="107"/>
      <c r="H92" s="108">
        <v>0.33333333333333298</v>
      </c>
      <c r="I92" s="109">
        <f t="shared" si="1"/>
        <v>1</v>
      </c>
      <c r="J92" s="109">
        <v>0.9</v>
      </c>
      <c r="K92" s="82"/>
      <c r="L92" s="82"/>
    </row>
    <row r="93" spans="1:12" ht="14.4" customHeight="1">
      <c r="A93" s="253"/>
      <c r="B93" s="244"/>
      <c r="C93" s="244"/>
      <c r="D93" s="78" t="s">
        <v>1194</v>
      </c>
      <c r="E93" s="159"/>
      <c r="F93" s="106" t="s">
        <v>1252</v>
      </c>
      <c r="G93" s="107">
        <v>0.125</v>
      </c>
      <c r="H93" s="108">
        <v>0.33333333333333331</v>
      </c>
      <c r="I93" s="109">
        <f t="shared" si="1"/>
        <v>0.625</v>
      </c>
      <c r="J93" s="109">
        <v>0.9</v>
      </c>
      <c r="K93" s="82" t="s">
        <v>1326</v>
      </c>
      <c r="L93" s="82"/>
    </row>
    <row r="94" spans="1:12" ht="14.4" customHeight="1" thickBot="1">
      <c r="A94" s="253"/>
      <c r="B94" s="245"/>
      <c r="C94" s="245"/>
      <c r="D94" s="78" t="s">
        <v>1194</v>
      </c>
      <c r="E94" s="113"/>
      <c r="F94" s="114" t="s">
        <v>1253</v>
      </c>
      <c r="G94" s="122"/>
      <c r="H94" s="123">
        <v>0.33333333333333298</v>
      </c>
      <c r="I94" s="109">
        <f t="shared" si="1"/>
        <v>1</v>
      </c>
      <c r="J94" s="109">
        <v>0.9</v>
      </c>
      <c r="K94" s="82"/>
      <c r="L94" s="82"/>
    </row>
    <row r="95" spans="1:12" ht="14.4" customHeight="1">
      <c r="A95" s="253"/>
      <c r="B95" s="251">
        <v>45787</v>
      </c>
      <c r="C95" s="248" t="s">
        <v>1198</v>
      </c>
      <c r="D95" s="132" t="s">
        <v>1192</v>
      </c>
      <c r="E95" s="158"/>
      <c r="F95" s="125" t="s">
        <v>1251</v>
      </c>
      <c r="G95" s="126">
        <v>0.2638888888888889</v>
      </c>
      <c r="H95" s="127">
        <v>0.33333333333333298</v>
      </c>
      <c r="I95" s="109">
        <f>1-(G95/H95)</f>
        <v>0.20833333333333248</v>
      </c>
      <c r="J95" s="134">
        <v>0.9</v>
      </c>
      <c r="K95" s="135" t="s">
        <v>1326</v>
      </c>
      <c r="L95" s="137"/>
    </row>
    <row r="96" spans="1:12" ht="14.4" customHeight="1">
      <c r="A96" s="253"/>
      <c r="B96" s="244"/>
      <c r="C96" s="249"/>
      <c r="D96" s="132" t="s">
        <v>1192</v>
      </c>
      <c r="E96" s="158"/>
      <c r="F96" s="129" t="s">
        <v>1252</v>
      </c>
      <c r="G96" s="126"/>
      <c r="H96" s="127">
        <v>0.33333333333333298</v>
      </c>
      <c r="I96" s="109">
        <f>1-(G96/H96)</f>
        <v>1</v>
      </c>
      <c r="J96" s="134">
        <v>0.9</v>
      </c>
      <c r="K96" s="135"/>
      <c r="L96" s="136"/>
    </row>
    <row r="97" spans="1:12" ht="14.4" customHeight="1">
      <c r="A97" s="253"/>
      <c r="B97" s="244"/>
      <c r="C97" s="250"/>
      <c r="D97" s="132" t="s">
        <v>1192</v>
      </c>
      <c r="E97" s="133"/>
      <c r="F97" s="128" t="s">
        <v>1253</v>
      </c>
      <c r="G97" s="126"/>
      <c r="H97" s="127">
        <v>0.33333333333333298</v>
      </c>
      <c r="I97" s="109">
        <f t="shared" ref="I97:I112" si="2">1-(G97/H97)</f>
        <v>1</v>
      </c>
      <c r="J97" s="134">
        <v>0.9</v>
      </c>
      <c r="K97" s="133"/>
      <c r="L97" s="136"/>
    </row>
    <row r="98" spans="1:12" ht="14.4" customHeight="1">
      <c r="A98" s="253"/>
      <c r="B98" s="244"/>
      <c r="C98" s="243" t="s">
        <v>1196</v>
      </c>
      <c r="D98" s="78" t="s">
        <v>1191</v>
      </c>
      <c r="E98" s="159"/>
      <c r="F98" s="111" t="s">
        <v>1251</v>
      </c>
      <c r="G98" s="107"/>
      <c r="H98" s="108">
        <v>0.33333333333333298</v>
      </c>
      <c r="I98" s="109">
        <f t="shared" si="2"/>
        <v>1</v>
      </c>
      <c r="J98" s="109">
        <v>0.9</v>
      </c>
      <c r="K98" s="82"/>
      <c r="L98" s="112"/>
    </row>
    <row r="99" spans="1:12" ht="14.4" customHeight="1">
      <c r="A99" s="253"/>
      <c r="B99" s="244"/>
      <c r="C99" s="244"/>
      <c r="D99" s="78" t="s">
        <v>1191</v>
      </c>
      <c r="E99" s="159"/>
      <c r="F99" s="106" t="s">
        <v>1252</v>
      </c>
      <c r="G99" s="107">
        <v>9.0277777777777776E-2</v>
      </c>
      <c r="H99" s="108">
        <v>0.33333333333333298</v>
      </c>
      <c r="I99" s="109">
        <f t="shared" si="2"/>
        <v>0.72916666666666641</v>
      </c>
      <c r="J99" s="109">
        <v>0.9</v>
      </c>
      <c r="K99" s="82" t="s">
        <v>1326</v>
      </c>
      <c r="L99" s="82"/>
    </row>
    <row r="100" spans="1:12" ht="14.4" customHeight="1">
      <c r="A100" s="253"/>
      <c r="B100" s="244"/>
      <c r="C100" s="245"/>
      <c r="D100" s="78" t="s">
        <v>1191</v>
      </c>
      <c r="E100" s="113"/>
      <c r="F100" s="114" t="s">
        <v>1253</v>
      </c>
      <c r="G100" s="107"/>
      <c r="H100" s="108">
        <v>0.33333333333333298</v>
      </c>
      <c r="I100" s="109">
        <f t="shared" si="2"/>
        <v>1</v>
      </c>
      <c r="J100" s="109">
        <v>0.9</v>
      </c>
      <c r="K100" s="82"/>
      <c r="L100" s="82"/>
    </row>
    <row r="101" spans="1:12" ht="14.4" customHeight="1">
      <c r="A101" s="253"/>
      <c r="B101" s="244"/>
      <c r="C101" s="248" t="s">
        <v>1197</v>
      </c>
      <c r="D101" s="132" t="s">
        <v>1194</v>
      </c>
      <c r="E101" s="158"/>
      <c r="F101" s="125" t="s">
        <v>1251</v>
      </c>
      <c r="G101" s="126"/>
      <c r="H101" s="127">
        <v>0.33333333333333298</v>
      </c>
      <c r="I101" s="109">
        <f t="shared" si="2"/>
        <v>1</v>
      </c>
      <c r="J101" s="134">
        <v>0.9</v>
      </c>
      <c r="K101" s="135"/>
      <c r="L101" s="136"/>
    </row>
    <row r="102" spans="1:12" ht="14.4" customHeight="1">
      <c r="A102" s="253"/>
      <c r="B102" s="244"/>
      <c r="C102" s="249"/>
      <c r="D102" s="132" t="s">
        <v>1194</v>
      </c>
      <c r="E102" s="158"/>
      <c r="F102" s="129" t="s">
        <v>1252</v>
      </c>
      <c r="G102" s="126"/>
      <c r="H102" s="127">
        <v>0.33333333333333298</v>
      </c>
      <c r="I102" s="109">
        <f t="shared" si="2"/>
        <v>1</v>
      </c>
      <c r="J102" s="134">
        <v>0.9</v>
      </c>
      <c r="K102" s="135"/>
      <c r="L102" s="136"/>
    </row>
    <row r="103" spans="1:12" ht="14.4" customHeight="1" thickBot="1">
      <c r="A103" s="253"/>
      <c r="B103" s="245"/>
      <c r="C103" s="250"/>
      <c r="D103" s="132" t="s">
        <v>1194</v>
      </c>
      <c r="E103" s="133"/>
      <c r="F103" s="128" t="s">
        <v>1253</v>
      </c>
      <c r="G103" s="126">
        <v>3.4722222222222224E-2</v>
      </c>
      <c r="H103" s="127">
        <v>0.33333333333333298</v>
      </c>
      <c r="I103" s="109">
        <f t="shared" si="2"/>
        <v>0.89583333333333326</v>
      </c>
      <c r="J103" s="134">
        <v>0.9</v>
      </c>
      <c r="K103" s="133" t="s">
        <v>1412</v>
      </c>
      <c r="L103" s="136"/>
    </row>
    <row r="104" spans="1:12" ht="14.4" customHeight="1">
      <c r="A104" s="253"/>
      <c r="B104" s="251">
        <v>45788</v>
      </c>
      <c r="C104" s="243" t="s">
        <v>1198</v>
      </c>
      <c r="D104" s="78" t="s">
        <v>1193</v>
      </c>
      <c r="E104" s="159"/>
      <c r="F104" s="111" t="s">
        <v>1251</v>
      </c>
      <c r="G104" s="107"/>
      <c r="H104" s="108">
        <v>0.33333333333333298</v>
      </c>
      <c r="I104" s="109">
        <f t="shared" si="2"/>
        <v>1</v>
      </c>
      <c r="J104" s="109">
        <v>0.9</v>
      </c>
      <c r="K104" s="168" t="s">
        <v>1413</v>
      </c>
      <c r="L104" s="112"/>
    </row>
    <row r="105" spans="1:12" ht="14.4" customHeight="1">
      <c r="A105" s="253"/>
      <c r="B105" s="244"/>
      <c r="C105" s="244"/>
      <c r="D105" s="78" t="s">
        <v>1193</v>
      </c>
      <c r="E105" s="159"/>
      <c r="F105" s="106" t="s">
        <v>1252</v>
      </c>
      <c r="G105" s="107"/>
      <c r="H105" s="108">
        <v>0.33333333333333298</v>
      </c>
      <c r="I105" s="109">
        <f t="shared" si="2"/>
        <v>1</v>
      </c>
      <c r="J105" s="109">
        <v>0.9</v>
      </c>
      <c r="K105" s="168" t="s">
        <v>1413</v>
      </c>
      <c r="L105" s="82"/>
    </row>
    <row r="106" spans="1:12" ht="14.4" customHeight="1">
      <c r="A106" s="253"/>
      <c r="B106" s="244"/>
      <c r="C106" s="245"/>
      <c r="D106" s="78" t="s">
        <v>1193</v>
      </c>
      <c r="E106" s="113"/>
      <c r="F106" s="114" t="s">
        <v>1253</v>
      </c>
      <c r="G106" s="107"/>
      <c r="H106" s="108">
        <v>0.33333333333333298</v>
      </c>
      <c r="I106" s="109">
        <f t="shared" si="2"/>
        <v>1</v>
      </c>
      <c r="J106" s="109">
        <v>0.9</v>
      </c>
      <c r="K106" s="168" t="s">
        <v>1413</v>
      </c>
      <c r="L106" s="82"/>
    </row>
    <row r="107" spans="1:12" ht="14.4" customHeight="1">
      <c r="A107" s="253"/>
      <c r="B107" s="244"/>
      <c r="C107" s="248" t="s">
        <v>1196</v>
      </c>
      <c r="D107" s="132" t="s">
        <v>1191</v>
      </c>
      <c r="E107" s="158"/>
      <c r="F107" s="125" t="s">
        <v>1251</v>
      </c>
      <c r="G107" s="126"/>
      <c r="H107" s="127">
        <v>0.33333333333333298</v>
      </c>
      <c r="I107" s="109">
        <f t="shared" si="2"/>
        <v>1</v>
      </c>
      <c r="J107" s="134">
        <v>0.9</v>
      </c>
      <c r="K107" s="169" t="s">
        <v>1414</v>
      </c>
      <c r="L107" s="137"/>
    </row>
    <row r="108" spans="1:12" ht="14.4" customHeight="1">
      <c r="A108" s="253"/>
      <c r="B108" s="244"/>
      <c r="C108" s="249"/>
      <c r="D108" s="132" t="s">
        <v>1191</v>
      </c>
      <c r="E108" s="158"/>
      <c r="F108" s="129" t="s">
        <v>1252</v>
      </c>
      <c r="G108" s="126"/>
      <c r="H108" s="127">
        <v>0.33333333333333298</v>
      </c>
      <c r="I108" s="109">
        <f t="shared" si="2"/>
        <v>1</v>
      </c>
      <c r="J108" s="134">
        <v>0.9</v>
      </c>
      <c r="K108" s="169" t="s">
        <v>1414</v>
      </c>
      <c r="L108" s="136"/>
    </row>
    <row r="109" spans="1:12" ht="14.4" customHeight="1">
      <c r="A109" s="253"/>
      <c r="B109" s="244"/>
      <c r="C109" s="250"/>
      <c r="D109" s="132" t="s">
        <v>1191</v>
      </c>
      <c r="E109" s="133"/>
      <c r="F109" s="128" t="s">
        <v>1253</v>
      </c>
      <c r="G109" s="126"/>
      <c r="H109" s="127">
        <v>0.33333333333333298</v>
      </c>
      <c r="I109" s="109">
        <f t="shared" si="2"/>
        <v>1</v>
      </c>
      <c r="J109" s="134">
        <v>0.9</v>
      </c>
      <c r="K109" s="169" t="s">
        <v>1414</v>
      </c>
      <c r="L109" s="136"/>
    </row>
    <row r="110" spans="1:12" ht="14.4" customHeight="1">
      <c r="A110" s="253"/>
      <c r="B110" s="244"/>
      <c r="C110" s="243" t="s">
        <v>1197</v>
      </c>
      <c r="D110" s="78" t="s">
        <v>1192</v>
      </c>
      <c r="E110" s="159"/>
      <c r="F110" s="111" t="s">
        <v>1251</v>
      </c>
      <c r="G110" s="107"/>
      <c r="H110" s="108">
        <v>0.33333333333333298</v>
      </c>
      <c r="I110" s="109">
        <f t="shared" si="2"/>
        <v>1</v>
      </c>
      <c r="J110" s="109">
        <v>0.9</v>
      </c>
      <c r="K110" s="82" t="s">
        <v>1415</v>
      </c>
      <c r="L110" s="82"/>
    </row>
    <row r="111" spans="1:12" ht="14.4" customHeight="1">
      <c r="A111" s="253"/>
      <c r="B111" s="244"/>
      <c r="C111" s="244"/>
      <c r="D111" s="78" t="s">
        <v>1192</v>
      </c>
      <c r="E111" s="159"/>
      <c r="F111" s="106" t="s">
        <v>1252</v>
      </c>
      <c r="G111" s="107"/>
      <c r="H111" s="108">
        <v>0.33333333333333298</v>
      </c>
      <c r="I111" s="109">
        <f t="shared" si="2"/>
        <v>1</v>
      </c>
      <c r="J111" s="109">
        <v>0.9</v>
      </c>
      <c r="K111" s="82" t="s">
        <v>1415</v>
      </c>
      <c r="L111" s="82"/>
    </row>
    <row r="112" spans="1:12" ht="14.4" customHeight="1">
      <c r="A112" s="253"/>
      <c r="B112" s="245"/>
      <c r="C112" s="245"/>
      <c r="D112" s="78" t="s">
        <v>1192</v>
      </c>
      <c r="E112" s="113"/>
      <c r="F112" s="114" t="s">
        <v>1253</v>
      </c>
      <c r="G112" s="122"/>
      <c r="H112" s="123">
        <v>0.33333333333333298</v>
      </c>
      <c r="I112" s="109">
        <f t="shared" si="2"/>
        <v>1</v>
      </c>
      <c r="J112" s="109">
        <v>0.9</v>
      </c>
      <c r="K112" s="82" t="s">
        <v>1415</v>
      </c>
      <c r="L112" s="82"/>
    </row>
    <row r="113" spans="1:12" ht="14.4" customHeight="1">
      <c r="A113" s="253"/>
      <c r="B113" s="117"/>
      <c r="C113" s="117"/>
      <c r="D113" s="118"/>
      <c r="E113" s="118"/>
      <c r="F113" s="119" t="s">
        <v>1251</v>
      </c>
      <c r="G113" s="124"/>
      <c r="H113" s="124"/>
      <c r="I113" s="120">
        <f>AVERAGEIF(F50:F112,F113,I50:I112)</f>
        <v>0.95634920634920628</v>
      </c>
      <c r="J113" s="121">
        <v>0.9</v>
      </c>
      <c r="K113" s="118"/>
      <c r="L113" s="116"/>
    </row>
    <row r="114" spans="1:12" ht="14.4" customHeight="1">
      <c r="A114" s="253"/>
      <c r="B114" s="117"/>
      <c r="C114" s="117"/>
      <c r="D114" s="118"/>
      <c r="E114" s="118"/>
      <c r="F114" s="119" t="s">
        <v>1252</v>
      </c>
      <c r="G114" s="124"/>
      <c r="H114" s="124"/>
      <c r="I114" s="120">
        <f>AVERAGEIF(F50:F112,F114,I50:I112)</f>
        <v>0.88363095238095235</v>
      </c>
      <c r="J114" s="121">
        <v>0.9</v>
      </c>
      <c r="K114" s="118"/>
      <c r="L114" s="116"/>
    </row>
    <row r="115" spans="1:12" ht="15" customHeight="1" thickBot="1">
      <c r="A115" s="253"/>
      <c r="B115" s="117"/>
      <c r="C115" s="117"/>
      <c r="D115" s="118"/>
      <c r="E115" s="118"/>
      <c r="F115" s="119" t="s">
        <v>1253</v>
      </c>
      <c r="G115" s="124"/>
      <c r="H115" s="124"/>
      <c r="I115" s="120">
        <f>AVERAGEIF(F50:F112,F115,I50:I112)</f>
        <v>0.93452380952380953</v>
      </c>
      <c r="J115" s="121">
        <v>0.9</v>
      </c>
      <c r="K115" s="118"/>
      <c r="L115" s="116"/>
    </row>
    <row r="116" spans="1:12" ht="14.4" customHeight="1">
      <c r="A116" s="252" t="s">
        <v>1397</v>
      </c>
      <c r="B116" s="251">
        <v>45789</v>
      </c>
      <c r="C116" s="243" t="s">
        <v>1198</v>
      </c>
      <c r="D116" s="110" t="s">
        <v>1201</v>
      </c>
      <c r="E116" s="156"/>
      <c r="F116" s="111" t="s">
        <v>1251</v>
      </c>
      <c r="G116" s="108"/>
      <c r="H116" s="108">
        <v>0.33333333333333331</v>
      </c>
      <c r="I116" s="109">
        <f>1-(G116/H116)</f>
        <v>1</v>
      </c>
      <c r="J116" s="109">
        <v>0.9</v>
      </c>
      <c r="K116" s="82" t="s">
        <v>1416</v>
      </c>
      <c r="L116" s="82"/>
    </row>
    <row r="117" spans="1:12" ht="14.4" customHeight="1">
      <c r="A117" s="253"/>
      <c r="B117" s="244"/>
      <c r="C117" s="244"/>
      <c r="D117" s="110" t="s">
        <v>1201</v>
      </c>
      <c r="E117" s="156"/>
      <c r="F117" s="111" t="s">
        <v>1252</v>
      </c>
      <c r="G117" s="107"/>
      <c r="H117" s="108">
        <v>0.33333333333333331</v>
      </c>
      <c r="I117" s="109">
        <f>1-(G117/H117)</f>
        <v>1</v>
      </c>
      <c r="J117" s="109">
        <v>0.9</v>
      </c>
      <c r="K117" s="82" t="s">
        <v>1416</v>
      </c>
      <c r="L117" s="82"/>
    </row>
    <row r="118" spans="1:12" ht="14.4" customHeight="1">
      <c r="A118" s="253"/>
      <c r="B118" s="244"/>
      <c r="C118" s="245"/>
      <c r="D118" s="110" t="s">
        <v>1201</v>
      </c>
      <c r="E118" s="157"/>
      <c r="F118" s="114" t="s">
        <v>1253</v>
      </c>
      <c r="G118" s="107"/>
      <c r="H118" s="108">
        <v>0.33333333333333298</v>
      </c>
      <c r="I118" s="109">
        <f t="shared" ref="I118:I178" si="3">1-(G118/H118)</f>
        <v>1</v>
      </c>
      <c r="J118" s="109">
        <v>0.9</v>
      </c>
      <c r="K118" s="82" t="s">
        <v>1416</v>
      </c>
      <c r="L118" s="82"/>
    </row>
    <row r="119" spans="1:12" ht="14.4" customHeight="1">
      <c r="A119" s="253"/>
      <c r="B119" s="244"/>
      <c r="C119" s="248" t="s">
        <v>1196</v>
      </c>
      <c r="D119" s="132" t="s">
        <v>1191</v>
      </c>
      <c r="E119" s="158"/>
      <c r="F119" s="125" t="s">
        <v>1251</v>
      </c>
      <c r="G119" s="126">
        <v>0.33333333333333331</v>
      </c>
      <c r="H119" s="127">
        <v>0.33333333333333331</v>
      </c>
      <c r="I119" s="109">
        <f t="shared" si="3"/>
        <v>0</v>
      </c>
      <c r="J119" s="134">
        <v>0.9</v>
      </c>
      <c r="K119" s="135" t="s">
        <v>1416</v>
      </c>
      <c r="L119" s="136"/>
    </row>
    <row r="120" spans="1:12" ht="14.4" customHeight="1">
      <c r="A120" s="253"/>
      <c r="B120" s="244"/>
      <c r="C120" s="249"/>
      <c r="D120" s="132" t="s">
        <v>1191</v>
      </c>
      <c r="E120" s="158"/>
      <c r="F120" s="125" t="s">
        <v>1252</v>
      </c>
      <c r="G120" s="126">
        <v>0.33333333333333331</v>
      </c>
      <c r="H120" s="127">
        <v>0.33333333333333298</v>
      </c>
      <c r="I120" s="109">
        <f t="shared" si="3"/>
        <v>0</v>
      </c>
      <c r="J120" s="134">
        <v>0.9</v>
      </c>
      <c r="K120" s="135" t="s">
        <v>1416</v>
      </c>
      <c r="L120" s="136"/>
    </row>
    <row r="121" spans="1:12" ht="14.4" customHeight="1">
      <c r="A121" s="253"/>
      <c r="B121" s="244"/>
      <c r="C121" s="250"/>
      <c r="D121" s="132" t="s">
        <v>1191</v>
      </c>
      <c r="E121" s="133"/>
      <c r="F121" s="128" t="s">
        <v>1253</v>
      </c>
      <c r="G121" s="126">
        <v>0.33333333333333331</v>
      </c>
      <c r="H121" s="127">
        <v>0.33333333333333298</v>
      </c>
      <c r="I121" s="109">
        <f t="shared" si="3"/>
        <v>0</v>
      </c>
      <c r="J121" s="134">
        <v>0.9</v>
      </c>
      <c r="K121" s="135" t="s">
        <v>1416</v>
      </c>
      <c r="L121" s="136"/>
    </row>
    <row r="122" spans="1:12" ht="14.4" customHeight="1">
      <c r="A122" s="253"/>
      <c r="B122" s="244"/>
      <c r="C122" s="243" t="s">
        <v>1197</v>
      </c>
      <c r="D122" s="78" t="s">
        <v>1192</v>
      </c>
      <c r="E122" s="159"/>
      <c r="F122" s="111" t="s">
        <v>1251</v>
      </c>
      <c r="G122" s="107">
        <v>0.33333333333333331</v>
      </c>
      <c r="H122" s="108">
        <v>0.33333333333333298</v>
      </c>
      <c r="I122" s="109">
        <f t="shared" si="3"/>
        <v>0</v>
      </c>
      <c r="J122" s="109">
        <v>0.9</v>
      </c>
      <c r="K122" s="82" t="s">
        <v>1416</v>
      </c>
      <c r="L122" s="112"/>
    </row>
    <row r="123" spans="1:12" ht="14.4" customHeight="1">
      <c r="A123" s="253"/>
      <c r="B123" s="244"/>
      <c r="C123" s="244"/>
      <c r="D123" s="78" t="s">
        <v>1192</v>
      </c>
      <c r="E123" s="159"/>
      <c r="F123" s="111" t="s">
        <v>1252</v>
      </c>
      <c r="G123" s="107">
        <v>0.33333333333333331</v>
      </c>
      <c r="H123" s="108">
        <v>0.33333333333333298</v>
      </c>
      <c r="I123" s="109">
        <f t="shared" si="3"/>
        <v>0</v>
      </c>
      <c r="J123" s="109">
        <v>0.9</v>
      </c>
      <c r="K123" s="82" t="s">
        <v>1416</v>
      </c>
      <c r="L123" s="82"/>
    </row>
    <row r="124" spans="1:12" ht="15" customHeight="1" thickBot="1">
      <c r="A124" s="253"/>
      <c r="B124" s="245"/>
      <c r="C124" s="245"/>
      <c r="D124" s="78" t="s">
        <v>1192</v>
      </c>
      <c r="E124" s="113"/>
      <c r="F124" s="114" t="s">
        <v>1253</v>
      </c>
      <c r="G124" s="107">
        <v>0.33333333333333331</v>
      </c>
      <c r="H124" s="108">
        <v>0.33333333333333298</v>
      </c>
      <c r="I124" s="109">
        <f t="shared" si="3"/>
        <v>0</v>
      </c>
      <c r="J124" s="109">
        <v>0.9</v>
      </c>
      <c r="K124" s="82" t="s">
        <v>1416</v>
      </c>
      <c r="L124" s="82"/>
    </row>
    <row r="125" spans="1:12" ht="14.4" customHeight="1">
      <c r="A125" s="253"/>
      <c r="B125" s="251">
        <v>45790</v>
      </c>
      <c r="C125" s="248" t="s">
        <v>1198</v>
      </c>
      <c r="D125" s="132" t="s">
        <v>1194</v>
      </c>
      <c r="E125" s="158"/>
      <c r="F125" s="125" t="s">
        <v>1251</v>
      </c>
      <c r="G125" s="126">
        <v>0.16666666666666666</v>
      </c>
      <c r="H125" s="127">
        <v>0.33333333333333298</v>
      </c>
      <c r="I125" s="109">
        <f t="shared" si="3"/>
        <v>0.49999999999999944</v>
      </c>
      <c r="J125" s="134">
        <v>0.9</v>
      </c>
      <c r="K125" s="135" t="s">
        <v>1417</v>
      </c>
      <c r="L125" s="137"/>
    </row>
    <row r="126" spans="1:12" ht="14.4" customHeight="1">
      <c r="A126" s="253"/>
      <c r="B126" s="244"/>
      <c r="C126" s="249"/>
      <c r="D126" s="132" t="s">
        <v>1194</v>
      </c>
      <c r="E126" s="158"/>
      <c r="F126" s="125" t="s">
        <v>1252</v>
      </c>
      <c r="G126" s="126">
        <v>0.16666666666666666</v>
      </c>
      <c r="H126" s="127">
        <v>0.33333333333333298</v>
      </c>
      <c r="I126" s="109">
        <f t="shared" si="3"/>
        <v>0.49999999999999944</v>
      </c>
      <c r="J126" s="134">
        <v>0.9</v>
      </c>
      <c r="K126" s="135" t="s">
        <v>1417</v>
      </c>
      <c r="L126" s="136"/>
    </row>
    <row r="127" spans="1:12" ht="14.4" customHeight="1">
      <c r="A127" s="253"/>
      <c r="B127" s="244"/>
      <c r="C127" s="250"/>
      <c r="D127" s="132" t="s">
        <v>1194</v>
      </c>
      <c r="E127" s="133"/>
      <c r="F127" s="128" t="s">
        <v>1253</v>
      </c>
      <c r="G127" s="126">
        <v>0.16666666666666666</v>
      </c>
      <c r="H127" s="127">
        <v>0.33333333333333298</v>
      </c>
      <c r="I127" s="109">
        <f t="shared" si="3"/>
        <v>0.49999999999999944</v>
      </c>
      <c r="J127" s="134">
        <v>0.9</v>
      </c>
      <c r="K127" s="135" t="s">
        <v>1417</v>
      </c>
      <c r="L127" s="136"/>
    </row>
    <row r="128" spans="1:12" ht="14.4" customHeight="1">
      <c r="A128" s="253"/>
      <c r="B128" s="244"/>
      <c r="C128" s="243" t="s">
        <v>1196</v>
      </c>
      <c r="D128" s="78" t="s">
        <v>1193</v>
      </c>
      <c r="E128" s="159"/>
      <c r="F128" s="111" t="s">
        <v>1251</v>
      </c>
      <c r="G128" s="107"/>
      <c r="H128" s="108">
        <v>0.33333333333333298</v>
      </c>
      <c r="I128" s="109">
        <f t="shared" si="3"/>
        <v>1</v>
      </c>
      <c r="J128" s="109">
        <v>0.9</v>
      </c>
      <c r="K128" s="82"/>
      <c r="L128" s="112"/>
    </row>
    <row r="129" spans="1:12" ht="14.4" customHeight="1">
      <c r="A129" s="253"/>
      <c r="B129" s="244"/>
      <c r="C129" s="244"/>
      <c r="D129" s="78" t="s">
        <v>1193</v>
      </c>
      <c r="E129" s="159"/>
      <c r="F129" s="111" t="s">
        <v>1252</v>
      </c>
      <c r="G129" s="107"/>
      <c r="H129" s="108">
        <v>0.33333333333333298</v>
      </c>
      <c r="I129" s="109">
        <f t="shared" si="3"/>
        <v>1</v>
      </c>
      <c r="J129" s="109">
        <v>0.9</v>
      </c>
      <c r="K129" s="82"/>
      <c r="L129" s="82"/>
    </row>
    <row r="130" spans="1:12" ht="14.4" customHeight="1">
      <c r="A130" s="253"/>
      <c r="B130" s="244"/>
      <c r="C130" s="245"/>
      <c r="D130" s="78" t="s">
        <v>1193</v>
      </c>
      <c r="E130" s="113"/>
      <c r="F130" s="114" t="s">
        <v>1253</v>
      </c>
      <c r="G130" s="107"/>
      <c r="H130" s="108">
        <v>0.33333333333333298</v>
      </c>
      <c r="I130" s="109">
        <f t="shared" si="3"/>
        <v>1</v>
      </c>
      <c r="J130" s="109">
        <v>0.9</v>
      </c>
      <c r="K130" s="82"/>
      <c r="L130" s="82"/>
    </row>
    <row r="131" spans="1:12" ht="14.4" customHeight="1">
      <c r="A131" s="253"/>
      <c r="B131" s="244"/>
      <c r="C131" s="248" t="s">
        <v>1197</v>
      </c>
      <c r="D131" s="132" t="s">
        <v>1191</v>
      </c>
      <c r="E131" s="158"/>
      <c r="F131" s="125" t="s">
        <v>1251</v>
      </c>
      <c r="G131" s="126"/>
      <c r="H131" s="127">
        <v>0.33333333333333298</v>
      </c>
      <c r="I131" s="109">
        <f t="shared" si="3"/>
        <v>1</v>
      </c>
      <c r="J131" s="134">
        <v>0.9</v>
      </c>
      <c r="K131" s="135"/>
      <c r="L131" s="137"/>
    </row>
    <row r="132" spans="1:12" ht="14.4" customHeight="1">
      <c r="A132" s="253"/>
      <c r="B132" s="244"/>
      <c r="C132" s="249"/>
      <c r="D132" s="132" t="s">
        <v>1191</v>
      </c>
      <c r="E132" s="158"/>
      <c r="F132" s="129" t="s">
        <v>1252</v>
      </c>
      <c r="G132" s="126"/>
      <c r="H132" s="127">
        <v>0.33333333333333298</v>
      </c>
      <c r="I132" s="109">
        <f t="shared" si="3"/>
        <v>1</v>
      </c>
      <c r="J132" s="134">
        <v>0.9</v>
      </c>
      <c r="K132" s="135"/>
      <c r="L132" s="136"/>
    </row>
    <row r="133" spans="1:12" ht="15" customHeight="1" thickBot="1">
      <c r="A133" s="253"/>
      <c r="B133" s="245"/>
      <c r="C133" s="250"/>
      <c r="D133" s="132" t="s">
        <v>1191</v>
      </c>
      <c r="E133" s="133"/>
      <c r="F133" s="128" t="s">
        <v>1253</v>
      </c>
      <c r="G133" s="126"/>
      <c r="H133" s="131">
        <v>0.33333333333333298</v>
      </c>
      <c r="I133" s="115">
        <f t="shared" si="3"/>
        <v>1</v>
      </c>
      <c r="J133" s="134">
        <v>0.9</v>
      </c>
      <c r="K133" s="133"/>
      <c r="L133" s="136"/>
    </row>
    <row r="134" spans="1:12" ht="14.4" customHeight="1">
      <c r="A134" s="253"/>
      <c r="B134" s="251">
        <v>45791</v>
      </c>
      <c r="C134" s="243" t="s">
        <v>1198</v>
      </c>
      <c r="D134" s="78" t="s">
        <v>1194</v>
      </c>
      <c r="E134" s="159"/>
      <c r="F134" s="111" t="s">
        <v>1251</v>
      </c>
      <c r="G134" s="107"/>
      <c r="H134" s="108">
        <v>0.33333333333333298</v>
      </c>
      <c r="I134" s="109">
        <f t="shared" si="3"/>
        <v>1</v>
      </c>
      <c r="J134" s="109">
        <v>0.9</v>
      </c>
      <c r="K134" s="82"/>
      <c r="L134" s="112"/>
    </row>
    <row r="135" spans="1:12" ht="14.4" customHeight="1">
      <c r="A135" s="253"/>
      <c r="B135" s="244"/>
      <c r="C135" s="244"/>
      <c r="D135" s="78" t="s">
        <v>1194</v>
      </c>
      <c r="E135" s="159"/>
      <c r="F135" s="106" t="s">
        <v>1252</v>
      </c>
      <c r="G135" s="107"/>
      <c r="H135" s="108">
        <v>0.33333333333333298</v>
      </c>
      <c r="I135" s="109">
        <f t="shared" si="3"/>
        <v>1</v>
      </c>
      <c r="J135" s="109">
        <v>0.9</v>
      </c>
      <c r="K135" s="82"/>
      <c r="L135" s="82"/>
    </row>
    <row r="136" spans="1:12" ht="14.4" customHeight="1">
      <c r="A136" s="253"/>
      <c r="B136" s="244"/>
      <c r="C136" s="245"/>
      <c r="D136" s="78" t="s">
        <v>1194</v>
      </c>
      <c r="E136" s="113"/>
      <c r="F136" s="114" t="s">
        <v>1253</v>
      </c>
      <c r="G136" s="107">
        <v>0.16666666666666666</v>
      </c>
      <c r="H136" s="108">
        <v>0.33333333333333331</v>
      </c>
      <c r="I136" s="109">
        <f t="shared" si="3"/>
        <v>0.5</v>
      </c>
      <c r="J136" s="109">
        <v>0.9</v>
      </c>
      <c r="K136" s="82" t="s">
        <v>1326</v>
      </c>
      <c r="L136" s="82"/>
    </row>
    <row r="137" spans="1:12" ht="14.4" customHeight="1">
      <c r="A137" s="253"/>
      <c r="B137" s="244"/>
      <c r="C137" s="248" t="s">
        <v>1196</v>
      </c>
      <c r="D137" s="132" t="s">
        <v>1193</v>
      </c>
      <c r="E137" s="158"/>
      <c r="F137" s="125" t="s">
        <v>1251</v>
      </c>
      <c r="G137" s="126"/>
      <c r="H137" s="127">
        <v>0.33333333333333298</v>
      </c>
      <c r="I137" s="109">
        <f t="shared" si="3"/>
        <v>1</v>
      </c>
      <c r="J137" s="134">
        <v>0.9</v>
      </c>
      <c r="K137" s="135"/>
      <c r="L137" s="137"/>
    </row>
    <row r="138" spans="1:12" ht="14.4" customHeight="1">
      <c r="A138" s="253"/>
      <c r="B138" s="244"/>
      <c r="C138" s="249"/>
      <c r="D138" s="132" t="s">
        <v>1193</v>
      </c>
      <c r="E138" s="158"/>
      <c r="F138" s="129" t="s">
        <v>1252</v>
      </c>
      <c r="G138" s="126"/>
      <c r="H138" s="127">
        <v>0.33333333333333298</v>
      </c>
      <c r="I138" s="109">
        <f t="shared" si="3"/>
        <v>1</v>
      </c>
      <c r="J138" s="134">
        <v>0.9</v>
      </c>
      <c r="K138" s="135"/>
      <c r="L138" s="136"/>
    </row>
    <row r="139" spans="1:12" ht="14.4" customHeight="1">
      <c r="A139" s="253"/>
      <c r="B139" s="244"/>
      <c r="C139" s="250"/>
      <c r="D139" s="132" t="s">
        <v>1193</v>
      </c>
      <c r="E139" s="133"/>
      <c r="F139" s="128" t="s">
        <v>1253</v>
      </c>
      <c r="G139" s="126"/>
      <c r="H139" s="127">
        <v>0.33333333333333298</v>
      </c>
      <c r="I139" s="109">
        <f t="shared" si="3"/>
        <v>1</v>
      </c>
      <c r="J139" s="134">
        <v>0.9</v>
      </c>
      <c r="K139" s="133"/>
      <c r="L139" s="136"/>
    </row>
    <row r="140" spans="1:12" ht="14.4" customHeight="1">
      <c r="A140" s="253"/>
      <c r="B140" s="244"/>
      <c r="C140" s="243" t="s">
        <v>1197</v>
      </c>
      <c r="D140" s="78" t="s">
        <v>1191</v>
      </c>
      <c r="E140" s="159"/>
      <c r="F140" s="111" t="s">
        <v>1251</v>
      </c>
      <c r="G140" s="107"/>
      <c r="H140" s="108">
        <v>0.33333333333333298</v>
      </c>
      <c r="I140" s="109">
        <f t="shared" si="3"/>
        <v>1</v>
      </c>
      <c r="J140" s="109">
        <v>0.9</v>
      </c>
      <c r="K140" s="82"/>
      <c r="L140" s="112"/>
    </row>
    <row r="141" spans="1:12" ht="14.4" customHeight="1">
      <c r="A141" s="253"/>
      <c r="B141" s="244"/>
      <c r="C141" s="244"/>
      <c r="D141" s="78" t="s">
        <v>1191</v>
      </c>
      <c r="E141" s="159"/>
      <c r="F141" s="106" t="s">
        <v>1252</v>
      </c>
      <c r="G141" s="107"/>
      <c r="H141" s="108">
        <v>0.33333333333333298</v>
      </c>
      <c r="I141" s="109">
        <f t="shared" si="3"/>
        <v>1</v>
      </c>
      <c r="J141" s="109">
        <v>0.9</v>
      </c>
      <c r="K141" s="82"/>
      <c r="L141" s="82"/>
    </row>
    <row r="142" spans="1:12" ht="15" customHeight="1" thickBot="1">
      <c r="A142" s="253"/>
      <c r="B142" s="245"/>
      <c r="C142" s="245"/>
      <c r="D142" s="78" t="s">
        <v>1191</v>
      </c>
      <c r="E142" s="113"/>
      <c r="F142" s="114" t="s">
        <v>1253</v>
      </c>
      <c r="G142" s="107"/>
      <c r="H142" s="108">
        <v>0.33333333333333298</v>
      </c>
      <c r="I142" s="109">
        <f t="shared" si="3"/>
        <v>1</v>
      </c>
      <c r="J142" s="109">
        <v>0.9</v>
      </c>
      <c r="K142" s="82"/>
      <c r="L142" s="82"/>
    </row>
    <row r="143" spans="1:12" ht="14.4" customHeight="1">
      <c r="A143" s="253"/>
      <c r="B143" s="251">
        <v>45792</v>
      </c>
      <c r="C143" s="248" t="s">
        <v>1198</v>
      </c>
      <c r="D143" s="132"/>
      <c r="E143" s="158"/>
      <c r="F143" s="125" t="s">
        <v>1251</v>
      </c>
      <c r="G143" s="126"/>
      <c r="H143" s="127">
        <v>0.33333333333333298</v>
      </c>
      <c r="I143" s="109">
        <f t="shared" si="3"/>
        <v>1</v>
      </c>
      <c r="J143" s="134">
        <v>0.9</v>
      </c>
      <c r="K143" s="77" t="s">
        <v>1418</v>
      </c>
      <c r="L143" s="137"/>
    </row>
    <row r="144" spans="1:12" ht="14.4" customHeight="1">
      <c r="A144" s="253"/>
      <c r="B144" s="244"/>
      <c r="C144" s="249"/>
      <c r="D144" s="132"/>
      <c r="E144" s="158"/>
      <c r="F144" s="129" t="s">
        <v>1252</v>
      </c>
      <c r="G144" s="126"/>
      <c r="H144" s="127">
        <v>0.33333333333333298</v>
      </c>
      <c r="I144" s="109">
        <f t="shared" si="3"/>
        <v>1</v>
      </c>
      <c r="J144" s="134">
        <v>0.9</v>
      </c>
      <c r="K144" s="77" t="s">
        <v>1418</v>
      </c>
      <c r="L144" s="136"/>
    </row>
    <row r="145" spans="1:12" ht="14.4" customHeight="1">
      <c r="A145" s="253"/>
      <c r="B145" s="244"/>
      <c r="C145" s="250"/>
      <c r="D145" s="132"/>
      <c r="E145" s="133"/>
      <c r="F145" s="128" t="s">
        <v>1253</v>
      </c>
      <c r="G145" s="126"/>
      <c r="H145" s="127">
        <v>0.33333333333333298</v>
      </c>
      <c r="I145" s="109">
        <f t="shared" si="3"/>
        <v>1</v>
      </c>
      <c r="J145" s="134">
        <v>0.9</v>
      </c>
      <c r="K145" s="77" t="s">
        <v>1418</v>
      </c>
      <c r="L145" s="136"/>
    </row>
    <row r="146" spans="1:12" ht="14.4" customHeight="1">
      <c r="A146" s="253"/>
      <c r="B146" s="244"/>
      <c r="C146" s="243" t="s">
        <v>1196</v>
      </c>
      <c r="D146" s="78"/>
      <c r="E146" s="159"/>
      <c r="F146" s="111" t="s">
        <v>1251</v>
      </c>
      <c r="G146" s="107"/>
      <c r="H146" s="108">
        <v>0.33333333333333298</v>
      </c>
      <c r="I146" s="109">
        <f t="shared" si="3"/>
        <v>1</v>
      </c>
      <c r="J146" s="109">
        <v>0.9</v>
      </c>
      <c r="K146" s="77" t="s">
        <v>1418</v>
      </c>
      <c r="L146" s="112"/>
    </row>
    <row r="147" spans="1:12" ht="14.4" customHeight="1">
      <c r="A147" s="253"/>
      <c r="B147" s="244"/>
      <c r="C147" s="244"/>
      <c r="D147" s="78"/>
      <c r="E147" s="159"/>
      <c r="F147" s="106" t="s">
        <v>1252</v>
      </c>
      <c r="G147" s="107"/>
      <c r="H147" s="108">
        <v>0.33333333333333298</v>
      </c>
      <c r="I147" s="109">
        <f t="shared" si="3"/>
        <v>1</v>
      </c>
      <c r="J147" s="109">
        <v>0.9</v>
      </c>
      <c r="K147" s="77" t="s">
        <v>1418</v>
      </c>
      <c r="L147" s="82"/>
    </row>
    <row r="148" spans="1:12" ht="14.4" customHeight="1">
      <c r="A148" s="253"/>
      <c r="B148" s="244"/>
      <c r="C148" s="245"/>
      <c r="D148" s="78"/>
      <c r="E148" s="113"/>
      <c r="F148" s="114" t="s">
        <v>1253</v>
      </c>
      <c r="G148" s="107"/>
      <c r="H148" s="108">
        <v>0.33333333333333298</v>
      </c>
      <c r="I148" s="109">
        <f t="shared" si="3"/>
        <v>1</v>
      </c>
      <c r="J148" s="109">
        <v>0.9</v>
      </c>
      <c r="K148" s="77" t="s">
        <v>1418</v>
      </c>
      <c r="L148" s="82"/>
    </row>
    <row r="149" spans="1:12" ht="14.4" customHeight="1">
      <c r="A149" s="253"/>
      <c r="B149" s="244"/>
      <c r="C149" s="248" t="s">
        <v>1197</v>
      </c>
      <c r="D149" s="132"/>
      <c r="E149" s="158"/>
      <c r="F149" s="125" t="s">
        <v>1251</v>
      </c>
      <c r="G149" s="126"/>
      <c r="H149" s="127">
        <v>0.33333333333333298</v>
      </c>
      <c r="I149" s="109">
        <f t="shared" si="3"/>
        <v>1</v>
      </c>
      <c r="J149" s="134">
        <v>0.9</v>
      </c>
      <c r="K149" s="77" t="s">
        <v>1418</v>
      </c>
      <c r="L149" s="137"/>
    </row>
    <row r="150" spans="1:12" ht="14.4" customHeight="1">
      <c r="A150" s="253"/>
      <c r="B150" s="244"/>
      <c r="C150" s="249"/>
      <c r="D150" s="132"/>
      <c r="E150" s="158"/>
      <c r="F150" s="129" t="s">
        <v>1252</v>
      </c>
      <c r="G150" s="126"/>
      <c r="H150" s="127">
        <v>0.33333333333333298</v>
      </c>
      <c r="I150" s="109">
        <f t="shared" si="3"/>
        <v>1</v>
      </c>
      <c r="J150" s="134">
        <v>0.9</v>
      </c>
      <c r="K150" s="77" t="s">
        <v>1418</v>
      </c>
      <c r="L150" s="136"/>
    </row>
    <row r="151" spans="1:12" ht="15" customHeight="1" thickBot="1">
      <c r="A151" s="253"/>
      <c r="B151" s="245"/>
      <c r="C151" s="250"/>
      <c r="D151" s="132"/>
      <c r="E151" s="133"/>
      <c r="F151" s="128" t="s">
        <v>1253</v>
      </c>
      <c r="G151" s="126"/>
      <c r="H151" s="127">
        <v>0.33333333333333298</v>
      </c>
      <c r="I151" s="109">
        <f t="shared" si="3"/>
        <v>1</v>
      </c>
      <c r="J151" s="134">
        <v>0.9</v>
      </c>
      <c r="K151" s="77" t="s">
        <v>1418</v>
      </c>
      <c r="L151" s="136"/>
    </row>
    <row r="152" spans="1:12" ht="14.4" customHeight="1">
      <c r="A152" s="253"/>
      <c r="B152" s="251">
        <v>45793</v>
      </c>
      <c r="C152" s="243" t="s">
        <v>1198</v>
      </c>
      <c r="D152" s="78" t="s">
        <v>1192</v>
      </c>
      <c r="E152" s="159"/>
      <c r="F152" s="111" t="s">
        <v>1251</v>
      </c>
      <c r="G152" s="107">
        <v>4.1666666666666664E-2</v>
      </c>
      <c r="H152" s="108">
        <v>0.33333333333333298</v>
      </c>
      <c r="I152" s="109">
        <f t="shared" si="3"/>
        <v>0.87499999999999989</v>
      </c>
      <c r="J152" s="109">
        <v>0.9</v>
      </c>
      <c r="K152" s="82" t="s">
        <v>1420</v>
      </c>
      <c r="L152" s="112"/>
    </row>
    <row r="153" spans="1:12" ht="14.4" customHeight="1">
      <c r="A153" s="253"/>
      <c r="B153" s="244"/>
      <c r="C153" s="244"/>
      <c r="D153" s="78" t="s">
        <v>1192</v>
      </c>
      <c r="E153" s="159"/>
      <c r="F153" s="106" t="s">
        <v>1252</v>
      </c>
      <c r="G153" s="107">
        <v>4.1666666666666664E-2</v>
      </c>
      <c r="H153" s="108">
        <v>0.33333333333333298</v>
      </c>
      <c r="I153" s="109">
        <f t="shared" si="3"/>
        <v>0.87499999999999989</v>
      </c>
      <c r="J153" s="109">
        <v>0.9</v>
      </c>
      <c r="K153" s="82" t="s">
        <v>1421</v>
      </c>
      <c r="L153" s="82"/>
    </row>
    <row r="154" spans="1:12" ht="14.4" customHeight="1">
      <c r="A154" s="253"/>
      <c r="B154" s="244"/>
      <c r="C154" s="245"/>
      <c r="D154" s="78" t="s">
        <v>1192</v>
      </c>
      <c r="E154" s="113"/>
      <c r="F154" s="114" t="s">
        <v>1253</v>
      </c>
      <c r="G154" s="107"/>
      <c r="H154" s="108">
        <v>0.33333333333333298</v>
      </c>
      <c r="I154" s="109">
        <f t="shared" si="3"/>
        <v>1</v>
      </c>
      <c r="J154" s="109">
        <v>0.9</v>
      </c>
      <c r="K154" s="82" t="s">
        <v>1422</v>
      </c>
      <c r="L154" s="82"/>
    </row>
    <row r="155" spans="1:12" ht="14.4" customHeight="1">
      <c r="A155" s="253"/>
      <c r="B155" s="244"/>
      <c r="C155" s="248" t="s">
        <v>1196</v>
      </c>
      <c r="D155" s="132" t="s">
        <v>1194</v>
      </c>
      <c r="E155" s="158"/>
      <c r="F155" s="125" t="s">
        <v>1251</v>
      </c>
      <c r="G155" s="126">
        <v>0.33333333333333331</v>
      </c>
      <c r="H155" s="127">
        <v>0.33333333333333298</v>
      </c>
      <c r="I155" s="109">
        <f t="shared" si="3"/>
        <v>0</v>
      </c>
      <c r="J155" s="134">
        <v>0.9</v>
      </c>
      <c r="K155" s="135" t="s">
        <v>1420</v>
      </c>
      <c r="L155" s="137"/>
    </row>
    <row r="156" spans="1:12" ht="14.4" customHeight="1">
      <c r="A156" s="253"/>
      <c r="B156" s="244"/>
      <c r="C156" s="249"/>
      <c r="D156" s="132" t="s">
        <v>1194</v>
      </c>
      <c r="E156" s="158"/>
      <c r="F156" s="129" t="s">
        <v>1252</v>
      </c>
      <c r="G156" s="126">
        <v>0.33333333333333331</v>
      </c>
      <c r="H156" s="127">
        <v>0.33333333333333298</v>
      </c>
      <c r="I156" s="109">
        <f t="shared" si="3"/>
        <v>0</v>
      </c>
      <c r="J156" s="134">
        <v>0.9</v>
      </c>
      <c r="K156" s="135" t="s">
        <v>1420</v>
      </c>
      <c r="L156" s="136"/>
    </row>
    <row r="157" spans="1:12" ht="14.4" customHeight="1">
      <c r="A157" s="253"/>
      <c r="B157" s="244"/>
      <c r="C157" s="250"/>
      <c r="D157" s="132" t="s">
        <v>1194</v>
      </c>
      <c r="E157" s="133"/>
      <c r="F157" s="128" t="s">
        <v>1253</v>
      </c>
      <c r="G157" s="126"/>
      <c r="H157" s="127">
        <v>0.33333333333333298</v>
      </c>
      <c r="I157" s="109">
        <f t="shared" si="3"/>
        <v>1</v>
      </c>
      <c r="J157" s="134">
        <v>0.9</v>
      </c>
      <c r="K157" s="133"/>
      <c r="L157" s="136"/>
    </row>
    <row r="158" spans="1:12" ht="14.4" customHeight="1">
      <c r="A158" s="253"/>
      <c r="B158" s="244"/>
      <c r="C158" s="243" t="s">
        <v>1197</v>
      </c>
      <c r="D158" s="78" t="s">
        <v>1193</v>
      </c>
      <c r="E158" s="159"/>
      <c r="F158" s="111" t="s">
        <v>1251</v>
      </c>
      <c r="G158" s="107">
        <v>0.33333333333333331</v>
      </c>
      <c r="H158" s="108">
        <v>0.33333333333333298</v>
      </c>
      <c r="I158" s="109">
        <f t="shared" si="3"/>
        <v>0</v>
      </c>
      <c r="J158" s="109">
        <v>0.9</v>
      </c>
      <c r="K158" s="82" t="s">
        <v>1420</v>
      </c>
      <c r="L158" s="82"/>
    </row>
    <row r="159" spans="1:12" ht="14.4" customHeight="1">
      <c r="A159" s="253"/>
      <c r="B159" s="244"/>
      <c r="C159" s="244"/>
      <c r="D159" s="78" t="s">
        <v>1193</v>
      </c>
      <c r="E159" s="159"/>
      <c r="F159" s="106" t="s">
        <v>1252</v>
      </c>
      <c r="G159" s="107">
        <v>0.33333333333333331</v>
      </c>
      <c r="H159" s="108">
        <v>0.33333333333333298</v>
      </c>
      <c r="I159" s="109">
        <f t="shared" si="3"/>
        <v>0</v>
      </c>
      <c r="J159" s="109">
        <v>0.9</v>
      </c>
      <c r="K159" s="82" t="s">
        <v>1420</v>
      </c>
      <c r="L159" s="82"/>
    </row>
    <row r="160" spans="1:12" ht="14.4" customHeight="1" thickBot="1">
      <c r="A160" s="253"/>
      <c r="B160" s="245"/>
      <c r="C160" s="245"/>
      <c r="D160" s="78" t="s">
        <v>1193</v>
      </c>
      <c r="E160" s="113"/>
      <c r="F160" s="114" t="s">
        <v>1253</v>
      </c>
      <c r="G160" s="107"/>
      <c r="H160" s="123">
        <v>0.33333333333333298</v>
      </c>
      <c r="I160" s="109">
        <f t="shared" si="3"/>
        <v>1</v>
      </c>
      <c r="J160" s="109">
        <v>0.9</v>
      </c>
      <c r="K160" s="82"/>
      <c r="L160" s="82"/>
    </row>
    <row r="161" spans="1:12" ht="14.4" customHeight="1">
      <c r="A161" s="253"/>
      <c r="B161" s="251">
        <v>45794</v>
      </c>
      <c r="C161" s="243" t="s">
        <v>1198</v>
      </c>
      <c r="D161" s="78" t="s">
        <v>1191</v>
      </c>
      <c r="E161" s="159"/>
      <c r="F161" s="111" t="s">
        <v>1251</v>
      </c>
      <c r="G161" s="107">
        <v>0.33333333333333331</v>
      </c>
      <c r="H161" s="108">
        <v>0.33333333333333298</v>
      </c>
      <c r="I161" s="109">
        <f t="shared" si="3"/>
        <v>0</v>
      </c>
      <c r="J161" s="109">
        <v>0.9</v>
      </c>
      <c r="K161" s="82" t="s">
        <v>1420</v>
      </c>
      <c r="L161" s="112"/>
    </row>
    <row r="162" spans="1:12" ht="14.4" customHeight="1">
      <c r="A162" s="253"/>
      <c r="B162" s="244"/>
      <c r="C162" s="244"/>
      <c r="D162" s="78" t="s">
        <v>1191</v>
      </c>
      <c r="E162" s="159"/>
      <c r="F162" s="106" t="s">
        <v>1252</v>
      </c>
      <c r="G162" s="107">
        <v>0.33333333333333331</v>
      </c>
      <c r="H162" s="108">
        <v>0.33333333333333298</v>
      </c>
      <c r="I162" s="109">
        <f t="shared" si="3"/>
        <v>0</v>
      </c>
      <c r="J162" s="109">
        <v>0.9</v>
      </c>
      <c r="K162" s="82" t="s">
        <v>1420</v>
      </c>
      <c r="L162" s="82"/>
    </row>
    <row r="163" spans="1:12" ht="14.4" customHeight="1">
      <c r="A163" s="253"/>
      <c r="B163" s="244"/>
      <c r="C163" s="245"/>
      <c r="D163" s="78" t="s">
        <v>1191</v>
      </c>
      <c r="E163" s="113"/>
      <c r="F163" s="114" t="s">
        <v>1253</v>
      </c>
      <c r="G163" s="107"/>
      <c r="H163" s="108">
        <v>0.33333333333333298</v>
      </c>
      <c r="I163" s="109">
        <f t="shared" si="3"/>
        <v>1</v>
      </c>
      <c r="J163" s="109">
        <v>0.9</v>
      </c>
      <c r="K163" s="82"/>
      <c r="L163" s="82"/>
    </row>
    <row r="164" spans="1:12" ht="14.4" customHeight="1">
      <c r="A164" s="253"/>
      <c r="B164" s="244"/>
      <c r="C164" s="248" t="s">
        <v>1196</v>
      </c>
      <c r="D164" s="132" t="s">
        <v>1192</v>
      </c>
      <c r="E164" s="158"/>
      <c r="F164" s="125" t="s">
        <v>1251</v>
      </c>
      <c r="G164" s="126">
        <v>0.33333333333333331</v>
      </c>
      <c r="H164" s="127">
        <v>0.33333333333333298</v>
      </c>
      <c r="I164" s="109">
        <f t="shared" si="3"/>
        <v>0</v>
      </c>
      <c r="J164" s="134">
        <v>0.9</v>
      </c>
      <c r="K164" s="135" t="s">
        <v>1420</v>
      </c>
      <c r="L164" s="137"/>
    </row>
    <row r="165" spans="1:12" ht="14.4" customHeight="1">
      <c r="A165" s="253"/>
      <c r="B165" s="244"/>
      <c r="C165" s="249"/>
      <c r="D165" s="132" t="s">
        <v>1192</v>
      </c>
      <c r="E165" s="158"/>
      <c r="F165" s="129" t="s">
        <v>1252</v>
      </c>
      <c r="G165" s="126">
        <v>0.33333333333333331</v>
      </c>
      <c r="H165" s="127">
        <v>0.33333333333333298</v>
      </c>
      <c r="I165" s="109">
        <f t="shared" si="3"/>
        <v>0</v>
      </c>
      <c r="J165" s="134">
        <v>0.9</v>
      </c>
      <c r="K165" s="135" t="s">
        <v>1420</v>
      </c>
      <c r="L165" s="136"/>
    </row>
    <row r="166" spans="1:12" ht="14.4" customHeight="1">
      <c r="A166" s="253"/>
      <c r="B166" s="244"/>
      <c r="C166" s="250"/>
      <c r="D166" s="132" t="s">
        <v>1192</v>
      </c>
      <c r="E166" s="133"/>
      <c r="F166" s="128" t="s">
        <v>1253</v>
      </c>
      <c r="G166" s="126"/>
      <c r="H166" s="127">
        <v>0.33333333333333298</v>
      </c>
      <c r="I166" s="109">
        <f t="shared" si="3"/>
        <v>1</v>
      </c>
      <c r="J166" s="134">
        <v>0.9</v>
      </c>
      <c r="K166" s="133"/>
      <c r="L166" s="136"/>
    </row>
    <row r="167" spans="1:12" ht="14.4" customHeight="1">
      <c r="A167" s="253"/>
      <c r="B167" s="244"/>
      <c r="C167" s="243" t="s">
        <v>1197</v>
      </c>
      <c r="D167" s="78" t="s">
        <v>1194</v>
      </c>
      <c r="E167" s="159"/>
      <c r="F167" s="111" t="s">
        <v>1251</v>
      </c>
      <c r="G167" s="107">
        <v>0.33333333333333331</v>
      </c>
      <c r="H167" s="108">
        <v>0.33333333333333298</v>
      </c>
      <c r="I167" s="109">
        <f t="shared" si="3"/>
        <v>0</v>
      </c>
      <c r="J167" s="109">
        <v>0.9</v>
      </c>
      <c r="K167" s="82" t="s">
        <v>1420</v>
      </c>
      <c r="L167" s="82"/>
    </row>
    <row r="168" spans="1:12" ht="14.4" customHeight="1">
      <c r="A168" s="253"/>
      <c r="B168" s="244"/>
      <c r="C168" s="244"/>
      <c r="D168" s="78" t="s">
        <v>1194</v>
      </c>
      <c r="E168" s="159"/>
      <c r="F168" s="106" t="s">
        <v>1252</v>
      </c>
      <c r="G168" s="107">
        <v>0.33333333333333331</v>
      </c>
      <c r="H168" s="108">
        <v>0.33333333333333298</v>
      </c>
      <c r="I168" s="109">
        <f t="shared" si="3"/>
        <v>0</v>
      </c>
      <c r="J168" s="109">
        <v>0.9</v>
      </c>
      <c r="K168" s="82" t="s">
        <v>1420</v>
      </c>
      <c r="L168" s="82"/>
    </row>
    <row r="169" spans="1:12" ht="14.4" customHeight="1" thickBot="1">
      <c r="A169" s="253"/>
      <c r="B169" s="245"/>
      <c r="C169" s="245"/>
      <c r="D169" s="78" t="s">
        <v>1194</v>
      </c>
      <c r="E169" s="113"/>
      <c r="F169" s="114" t="s">
        <v>1253</v>
      </c>
      <c r="G169" s="107"/>
      <c r="H169" s="123">
        <v>0.33333333333333298</v>
      </c>
      <c r="I169" s="109">
        <f t="shared" si="3"/>
        <v>1</v>
      </c>
      <c r="J169" s="109">
        <v>0.9</v>
      </c>
      <c r="K169" s="82"/>
      <c r="L169" s="82"/>
    </row>
    <row r="170" spans="1:12" ht="14.4" customHeight="1">
      <c r="A170" s="253"/>
      <c r="B170" s="251">
        <v>45795</v>
      </c>
      <c r="C170" s="243" t="s">
        <v>1198</v>
      </c>
      <c r="D170" s="78" t="s">
        <v>1191</v>
      </c>
      <c r="E170" s="159"/>
      <c r="F170" s="111" t="s">
        <v>1251</v>
      </c>
      <c r="G170" s="107">
        <v>0.33333333333333331</v>
      </c>
      <c r="H170" s="108">
        <v>0.33333333333333298</v>
      </c>
      <c r="I170" s="109">
        <f t="shared" si="3"/>
        <v>0</v>
      </c>
      <c r="J170" s="109">
        <v>0.9</v>
      </c>
      <c r="K170" s="82" t="s">
        <v>1420</v>
      </c>
      <c r="L170" s="112"/>
    </row>
    <row r="171" spans="1:12" ht="14.4" customHeight="1">
      <c r="A171" s="253"/>
      <c r="B171" s="244"/>
      <c r="C171" s="244"/>
      <c r="D171" s="78" t="s">
        <v>1191</v>
      </c>
      <c r="E171" s="159"/>
      <c r="F171" s="106" t="s">
        <v>1252</v>
      </c>
      <c r="G171" s="107">
        <v>0.33333333333333331</v>
      </c>
      <c r="H171" s="108">
        <v>0.33333333333333298</v>
      </c>
      <c r="I171" s="109">
        <f t="shared" si="3"/>
        <v>0</v>
      </c>
      <c r="J171" s="109">
        <v>0.9</v>
      </c>
      <c r="K171" s="82" t="s">
        <v>1420</v>
      </c>
      <c r="L171" s="82"/>
    </row>
    <row r="172" spans="1:12" ht="14.4" customHeight="1">
      <c r="A172" s="253"/>
      <c r="B172" s="244"/>
      <c r="C172" s="245"/>
      <c r="D172" s="78" t="s">
        <v>1191</v>
      </c>
      <c r="E172" s="113"/>
      <c r="F172" s="114" t="s">
        <v>1253</v>
      </c>
      <c r="G172" s="107"/>
      <c r="H172" s="108">
        <v>0.33333333333333298</v>
      </c>
      <c r="I172" s="109">
        <f t="shared" si="3"/>
        <v>1</v>
      </c>
      <c r="J172" s="109">
        <v>0.9</v>
      </c>
      <c r="K172" s="82"/>
      <c r="L172" s="82"/>
    </row>
    <row r="173" spans="1:12" ht="14.4" customHeight="1">
      <c r="A173" s="253"/>
      <c r="B173" s="244"/>
      <c r="C173" s="248" t="s">
        <v>1196</v>
      </c>
      <c r="D173" s="132" t="s">
        <v>1192</v>
      </c>
      <c r="E173" s="158"/>
      <c r="F173" s="125" t="s">
        <v>1251</v>
      </c>
      <c r="G173" s="126">
        <v>0.33333333333333331</v>
      </c>
      <c r="H173" s="127">
        <v>0.33333333333333298</v>
      </c>
      <c r="I173" s="109">
        <f t="shared" si="3"/>
        <v>0</v>
      </c>
      <c r="J173" s="134">
        <v>0.9</v>
      </c>
      <c r="K173" s="135" t="s">
        <v>1420</v>
      </c>
      <c r="L173" s="137"/>
    </row>
    <row r="174" spans="1:12" ht="14.4" customHeight="1">
      <c r="A174" s="253"/>
      <c r="B174" s="244"/>
      <c r="C174" s="249"/>
      <c r="D174" s="132" t="s">
        <v>1192</v>
      </c>
      <c r="E174" s="158"/>
      <c r="F174" s="129" t="s">
        <v>1252</v>
      </c>
      <c r="G174" s="126">
        <v>0.33333333333333331</v>
      </c>
      <c r="H174" s="127">
        <v>0.33333333333333298</v>
      </c>
      <c r="I174" s="109">
        <f t="shared" si="3"/>
        <v>0</v>
      </c>
      <c r="J174" s="134">
        <v>0.9</v>
      </c>
      <c r="K174" s="135" t="s">
        <v>1420</v>
      </c>
      <c r="L174" s="136"/>
    </row>
    <row r="175" spans="1:12" ht="14.4" customHeight="1">
      <c r="A175" s="253"/>
      <c r="B175" s="244"/>
      <c r="C175" s="250"/>
      <c r="D175" s="132" t="s">
        <v>1192</v>
      </c>
      <c r="E175" s="133"/>
      <c r="F175" s="128" t="s">
        <v>1253</v>
      </c>
      <c r="G175" s="126"/>
      <c r="H175" s="127">
        <v>0.33333333333333298</v>
      </c>
      <c r="I175" s="109">
        <f t="shared" si="3"/>
        <v>1</v>
      </c>
      <c r="J175" s="134">
        <v>0.9</v>
      </c>
      <c r="K175" s="133"/>
      <c r="L175" s="136"/>
    </row>
    <row r="176" spans="1:12" ht="14.4" customHeight="1">
      <c r="A176" s="253"/>
      <c r="B176" s="244"/>
      <c r="C176" s="243" t="s">
        <v>1197</v>
      </c>
      <c r="D176" s="78" t="s">
        <v>1194</v>
      </c>
      <c r="E176" s="159"/>
      <c r="F176" s="111" t="s">
        <v>1251</v>
      </c>
      <c r="G176" s="107">
        <v>0.33333333333333331</v>
      </c>
      <c r="H176" s="108">
        <v>0.33333333333333298</v>
      </c>
      <c r="I176" s="109">
        <f t="shared" si="3"/>
        <v>0</v>
      </c>
      <c r="J176" s="109">
        <v>0.9</v>
      </c>
      <c r="K176" s="82" t="s">
        <v>1420</v>
      </c>
      <c r="L176" s="82"/>
    </row>
    <row r="177" spans="1:12" ht="14.4" customHeight="1">
      <c r="A177" s="253"/>
      <c r="B177" s="244"/>
      <c r="C177" s="244"/>
      <c r="D177" s="78" t="s">
        <v>1194</v>
      </c>
      <c r="E177" s="159"/>
      <c r="F177" s="106" t="s">
        <v>1252</v>
      </c>
      <c r="G177" s="107">
        <v>0.33333333333333331</v>
      </c>
      <c r="H177" s="108">
        <v>0.33333333333333298</v>
      </c>
      <c r="I177" s="109">
        <f t="shared" si="3"/>
        <v>0</v>
      </c>
      <c r="J177" s="109">
        <v>0.9</v>
      </c>
      <c r="K177" s="82" t="s">
        <v>1420</v>
      </c>
      <c r="L177" s="82"/>
    </row>
    <row r="178" spans="1:12" ht="14.4" customHeight="1">
      <c r="A178" s="253"/>
      <c r="B178" s="245"/>
      <c r="C178" s="245"/>
      <c r="D178" s="78" t="s">
        <v>1194</v>
      </c>
      <c r="E178" s="113"/>
      <c r="F178" s="114" t="s">
        <v>1253</v>
      </c>
      <c r="G178" s="107"/>
      <c r="H178" s="123">
        <v>0.33333333333333298</v>
      </c>
      <c r="I178" s="109">
        <f t="shared" si="3"/>
        <v>1</v>
      </c>
      <c r="J178" s="109">
        <v>0.9</v>
      </c>
      <c r="K178" s="82"/>
      <c r="L178" s="82"/>
    </row>
    <row r="179" spans="1:12" ht="14.4" customHeight="1">
      <c r="A179" s="253"/>
      <c r="B179" s="117"/>
      <c r="C179" s="117"/>
      <c r="D179" s="118"/>
      <c r="E179" s="118"/>
      <c r="F179" s="119" t="s">
        <v>1251</v>
      </c>
      <c r="G179" s="124"/>
      <c r="H179" s="124"/>
      <c r="I179" s="120">
        <f>AVERAGEIF(F116:F178,F179,I116:I178)</f>
        <v>0.49404761904761907</v>
      </c>
      <c r="J179" s="121">
        <v>0.9</v>
      </c>
      <c r="K179" s="118"/>
      <c r="L179" s="116"/>
    </row>
    <row r="180" spans="1:12" ht="14.4" customHeight="1">
      <c r="A180" s="253"/>
      <c r="B180" s="117"/>
      <c r="C180" s="117"/>
      <c r="D180" s="118"/>
      <c r="E180" s="118"/>
      <c r="F180" s="119" t="s">
        <v>1252</v>
      </c>
      <c r="G180" s="124"/>
      <c r="H180" s="124"/>
      <c r="I180" s="120">
        <f>AVERAGEIF(F116:F178,F180,I116:I178)</f>
        <v>0.49404761904761907</v>
      </c>
      <c r="J180" s="121">
        <v>0.9</v>
      </c>
      <c r="K180" s="118"/>
      <c r="L180" s="116"/>
    </row>
    <row r="181" spans="1:12" ht="14.4" customHeight="1" thickBot="1">
      <c r="A181" s="253"/>
      <c r="B181" s="117"/>
      <c r="C181" s="117"/>
      <c r="D181" s="118"/>
      <c r="E181" s="118"/>
      <c r="F181" s="119" t="s">
        <v>1253</v>
      </c>
      <c r="G181" s="124"/>
      <c r="H181" s="124"/>
      <c r="I181" s="120">
        <f>AVERAGEIF(F116:F178,F181,I116:I178)</f>
        <v>0.8571428571428571</v>
      </c>
      <c r="J181" s="121">
        <v>0.9</v>
      </c>
      <c r="K181" s="118"/>
      <c r="L181" s="116"/>
    </row>
    <row r="182" spans="1:12" ht="14.4" customHeight="1">
      <c r="A182" s="252" t="s">
        <v>1398</v>
      </c>
      <c r="B182" s="251">
        <v>45796</v>
      </c>
      <c r="C182" s="243" t="s">
        <v>1198</v>
      </c>
      <c r="D182" s="110" t="s">
        <v>1201</v>
      </c>
      <c r="E182" s="156"/>
      <c r="F182" s="111" t="s">
        <v>1251</v>
      </c>
      <c r="G182" s="107">
        <v>0.33333333333333331</v>
      </c>
      <c r="H182" s="108">
        <v>0.33333333333333331</v>
      </c>
      <c r="I182" s="109">
        <f>1-(G182/H182)</f>
        <v>0</v>
      </c>
      <c r="J182" s="109">
        <v>0.9</v>
      </c>
      <c r="K182" s="82" t="s">
        <v>1420</v>
      </c>
      <c r="L182" s="82"/>
    </row>
    <row r="183" spans="1:12" ht="14.4" customHeight="1">
      <c r="A183" s="253"/>
      <c r="B183" s="244"/>
      <c r="C183" s="244"/>
      <c r="D183" s="110" t="s">
        <v>1201</v>
      </c>
      <c r="E183" s="156"/>
      <c r="F183" s="111" t="s">
        <v>1252</v>
      </c>
      <c r="G183" s="107">
        <v>0.33333333333333331</v>
      </c>
      <c r="H183" s="108">
        <v>0.33333333333333331</v>
      </c>
      <c r="I183" s="109">
        <f>1-(G183/H183)</f>
        <v>0</v>
      </c>
      <c r="J183" s="109">
        <v>0.9</v>
      </c>
      <c r="K183" s="82" t="s">
        <v>1420</v>
      </c>
      <c r="L183" s="82"/>
    </row>
    <row r="184" spans="1:12" ht="14.4" customHeight="1">
      <c r="A184" s="253"/>
      <c r="B184" s="244"/>
      <c r="C184" s="245"/>
      <c r="D184" s="110" t="s">
        <v>1201</v>
      </c>
      <c r="E184" s="157"/>
      <c r="F184" s="114" t="s">
        <v>1253</v>
      </c>
      <c r="G184" s="107"/>
      <c r="H184" s="108">
        <v>0.33333333333333298</v>
      </c>
      <c r="I184" s="109">
        <f t="shared" ref="I184:I274" si="4">1-(G184/H184)</f>
        <v>1</v>
      </c>
      <c r="J184" s="109">
        <v>0.9</v>
      </c>
      <c r="K184" s="82"/>
      <c r="L184" s="82"/>
    </row>
    <row r="185" spans="1:12" ht="14.4" customHeight="1">
      <c r="A185" s="253"/>
      <c r="B185" s="244"/>
      <c r="C185" s="248" t="s">
        <v>1196</v>
      </c>
      <c r="D185" s="132" t="s">
        <v>1191</v>
      </c>
      <c r="E185" s="158"/>
      <c r="F185" s="125" t="s">
        <v>1251</v>
      </c>
      <c r="G185" s="126">
        <v>0.33333333333333331</v>
      </c>
      <c r="H185" s="127">
        <v>0.33333333333333331</v>
      </c>
      <c r="I185" s="109">
        <f t="shared" si="4"/>
        <v>0</v>
      </c>
      <c r="J185" s="134">
        <v>0.9</v>
      </c>
      <c r="K185" s="135" t="s">
        <v>1420</v>
      </c>
      <c r="L185" s="136"/>
    </row>
    <row r="186" spans="1:12" ht="14.4" customHeight="1">
      <c r="A186" s="253"/>
      <c r="B186" s="244"/>
      <c r="C186" s="249"/>
      <c r="D186" s="132" t="s">
        <v>1191</v>
      </c>
      <c r="E186" s="158"/>
      <c r="F186" s="125" t="s">
        <v>1252</v>
      </c>
      <c r="G186" s="126">
        <v>0.33333333333333331</v>
      </c>
      <c r="H186" s="127">
        <v>0.33333333333333298</v>
      </c>
      <c r="I186" s="109">
        <f t="shared" si="4"/>
        <v>0</v>
      </c>
      <c r="J186" s="134">
        <v>0.9</v>
      </c>
      <c r="K186" s="135" t="s">
        <v>1420</v>
      </c>
      <c r="L186" s="136"/>
    </row>
    <row r="187" spans="1:12" ht="14.4" customHeight="1">
      <c r="A187" s="253"/>
      <c r="B187" s="244"/>
      <c r="C187" s="250"/>
      <c r="D187" s="132" t="s">
        <v>1191</v>
      </c>
      <c r="E187" s="133"/>
      <c r="F187" s="128" t="s">
        <v>1253</v>
      </c>
      <c r="G187" s="126"/>
      <c r="H187" s="127">
        <v>0.33333333333333298</v>
      </c>
      <c r="I187" s="109">
        <f t="shared" si="4"/>
        <v>1</v>
      </c>
      <c r="J187" s="134">
        <v>0.9</v>
      </c>
      <c r="K187" s="133"/>
      <c r="L187" s="136"/>
    </row>
    <row r="188" spans="1:12" ht="14.4" customHeight="1">
      <c r="A188" s="253"/>
      <c r="B188" s="244"/>
      <c r="C188" s="243" t="s">
        <v>1197</v>
      </c>
      <c r="D188" s="78" t="s">
        <v>1192</v>
      </c>
      <c r="E188" s="159"/>
      <c r="F188" s="111" t="s">
        <v>1251</v>
      </c>
      <c r="G188" s="107">
        <v>0.33333333333333331</v>
      </c>
      <c r="H188" s="108">
        <v>0.33333333333333298</v>
      </c>
      <c r="I188" s="109">
        <f t="shared" si="4"/>
        <v>0</v>
      </c>
      <c r="J188" s="109">
        <v>0.9</v>
      </c>
      <c r="K188" s="82" t="s">
        <v>1420</v>
      </c>
      <c r="L188" s="112"/>
    </row>
    <row r="189" spans="1:12" ht="14.4" customHeight="1">
      <c r="A189" s="253"/>
      <c r="B189" s="244"/>
      <c r="C189" s="244"/>
      <c r="D189" s="78" t="s">
        <v>1192</v>
      </c>
      <c r="E189" s="159"/>
      <c r="F189" s="111" t="s">
        <v>1252</v>
      </c>
      <c r="G189" s="107">
        <v>0.33333333333333331</v>
      </c>
      <c r="H189" s="108">
        <v>0.33333333333333298</v>
      </c>
      <c r="I189" s="109">
        <f t="shared" si="4"/>
        <v>0</v>
      </c>
      <c r="J189" s="109">
        <v>0.9</v>
      </c>
      <c r="K189" s="82" t="s">
        <v>1420</v>
      </c>
      <c r="L189" s="82"/>
    </row>
    <row r="190" spans="1:12" ht="15" customHeight="1" thickBot="1">
      <c r="A190" s="253"/>
      <c r="B190" s="245"/>
      <c r="C190" s="245"/>
      <c r="D190" s="78" t="s">
        <v>1192</v>
      </c>
      <c r="E190" s="113"/>
      <c r="F190" s="114" t="s">
        <v>1253</v>
      </c>
      <c r="G190" s="107"/>
      <c r="H190" s="108">
        <v>0.33333333333333298</v>
      </c>
      <c r="I190" s="109">
        <f t="shared" si="4"/>
        <v>1</v>
      </c>
      <c r="J190" s="109">
        <v>0.9</v>
      </c>
      <c r="K190" s="82"/>
      <c r="L190" s="82"/>
    </row>
    <row r="191" spans="1:12" ht="14.4" customHeight="1">
      <c r="A191" s="253"/>
      <c r="B191" s="251">
        <v>45797</v>
      </c>
      <c r="C191" s="248" t="s">
        <v>1198</v>
      </c>
      <c r="D191" s="132" t="s">
        <v>1193</v>
      </c>
      <c r="E191" s="158"/>
      <c r="F191" s="125" t="s">
        <v>1251</v>
      </c>
      <c r="G191" s="126">
        <v>0.33333333333333331</v>
      </c>
      <c r="H191" s="127">
        <v>0.33333333333333298</v>
      </c>
      <c r="I191" s="109">
        <f t="shared" si="4"/>
        <v>0</v>
      </c>
      <c r="J191" s="134">
        <v>0.9</v>
      </c>
      <c r="K191" s="135" t="s">
        <v>1420</v>
      </c>
      <c r="L191" s="137"/>
    </row>
    <row r="192" spans="1:12" ht="14.4" customHeight="1">
      <c r="A192" s="253"/>
      <c r="B192" s="244"/>
      <c r="C192" s="249"/>
      <c r="D192" s="132" t="s">
        <v>1193</v>
      </c>
      <c r="E192" s="158"/>
      <c r="F192" s="125" t="s">
        <v>1252</v>
      </c>
      <c r="G192" s="126">
        <v>0.33333333333333331</v>
      </c>
      <c r="H192" s="127">
        <v>0.33333333333333298</v>
      </c>
      <c r="I192" s="109">
        <f t="shared" si="4"/>
        <v>0</v>
      </c>
      <c r="J192" s="134">
        <v>0.9</v>
      </c>
      <c r="K192" s="135" t="s">
        <v>1420</v>
      </c>
      <c r="L192" s="136"/>
    </row>
    <row r="193" spans="1:12" ht="14.4" customHeight="1">
      <c r="A193" s="253"/>
      <c r="B193" s="244"/>
      <c r="C193" s="250"/>
      <c r="D193" s="132" t="s">
        <v>1193</v>
      </c>
      <c r="E193" s="133"/>
      <c r="F193" s="128" t="s">
        <v>1253</v>
      </c>
      <c r="G193" s="126"/>
      <c r="H193" s="127">
        <v>0.33333333333333298</v>
      </c>
      <c r="I193" s="109">
        <f t="shared" si="4"/>
        <v>1</v>
      </c>
      <c r="J193" s="134">
        <v>0.9</v>
      </c>
      <c r="K193" s="133"/>
      <c r="L193" s="136"/>
    </row>
    <row r="194" spans="1:12" ht="14.4" customHeight="1">
      <c r="A194" s="253"/>
      <c r="B194" s="244"/>
      <c r="C194" s="243" t="s">
        <v>1196</v>
      </c>
      <c r="D194" s="78" t="s">
        <v>1191</v>
      </c>
      <c r="E194" s="159"/>
      <c r="F194" s="111" t="s">
        <v>1251</v>
      </c>
      <c r="G194" s="107">
        <v>0.33333333333333331</v>
      </c>
      <c r="H194" s="108">
        <v>0.33333333333333298</v>
      </c>
      <c r="I194" s="109">
        <f t="shared" si="4"/>
        <v>0</v>
      </c>
      <c r="J194" s="109">
        <v>0.9</v>
      </c>
      <c r="K194" s="82" t="s">
        <v>1420</v>
      </c>
      <c r="L194" s="112"/>
    </row>
    <row r="195" spans="1:12" ht="14.4" customHeight="1">
      <c r="A195" s="253"/>
      <c r="B195" s="244"/>
      <c r="C195" s="244"/>
      <c r="D195" s="78" t="s">
        <v>1191</v>
      </c>
      <c r="E195" s="159"/>
      <c r="F195" s="111" t="s">
        <v>1252</v>
      </c>
      <c r="G195" s="107">
        <v>0.33333333333333331</v>
      </c>
      <c r="H195" s="108">
        <v>0.33333333333333298</v>
      </c>
      <c r="I195" s="109">
        <f t="shared" si="4"/>
        <v>0</v>
      </c>
      <c r="J195" s="109">
        <v>0.9</v>
      </c>
      <c r="K195" s="82" t="s">
        <v>1420</v>
      </c>
      <c r="L195" s="82"/>
    </row>
    <row r="196" spans="1:12" ht="14.4" customHeight="1">
      <c r="A196" s="253"/>
      <c r="B196" s="244"/>
      <c r="C196" s="245"/>
      <c r="D196" s="78" t="s">
        <v>1191</v>
      </c>
      <c r="E196" s="113"/>
      <c r="F196" s="114" t="s">
        <v>1253</v>
      </c>
      <c r="G196" s="107"/>
      <c r="H196" s="108">
        <v>0.33333333333333298</v>
      </c>
      <c r="I196" s="109">
        <f t="shared" si="4"/>
        <v>1</v>
      </c>
      <c r="J196" s="109">
        <v>0.9</v>
      </c>
      <c r="K196" s="82"/>
      <c r="L196" s="82"/>
    </row>
    <row r="197" spans="1:12" ht="14.4" customHeight="1">
      <c r="A197" s="253"/>
      <c r="B197" s="244"/>
      <c r="C197" s="248" t="s">
        <v>1197</v>
      </c>
      <c r="D197" s="132" t="s">
        <v>1192</v>
      </c>
      <c r="E197" s="158"/>
      <c r="F197" s="125" t="s">
        <v>1251</v>
      </c>
      <c r="G197" s="126">
        <v>0.33333333333333331</v>
      </c>
      <c r="H197" s="127">
        <v>0.33333333333333298</v>
      </c>
      <c r="I197" s="109">
        <f t="shared" si="4"/>
        <v>0</v>
      </c>
      <c r="J197" s="134">
        <v>0.9</v>
      </c>
      <c r="K197" s="135" t="s">
        <v>1420</v>
      </c>
      <c r="L197" s="137"/>
    </row>
    <row r="198" spans="1:12" ht="14.4" customHeight="1">
      <c r="A198" s="253"/>
      <c r="B198" s="244"/>
      <c r="C198" s="249"/>
      <c r="D198" s="132" t="s">
        <v>1192</v>
      </c>
      <c r="E198" s="158"/>
      <c r="F198" s="129" t="s">
        <v>1252</v>
      </c>
      <c r="G198" s="126">
        <v>0.33333333333333331</v>
      </c>
      <c r="H198" s="127">
        <v>0.33333333333333298</v>
      </c>
      <c r="I198" s="109">
        <f t="shared" si="4"/>
        <v>0</v>
      </c>
      <c r="J198" s="134">
        <v>0.9</v>
      </c>
      <c r="K198" s="135" t="s">
        <v>1420</v>
      </c>
      <c r="L198" s="136"/>
    </row>
    <row r="199" spans="1:12" ht="15" customHeight="1" thickBot="1">
      <c r="A199" s="253"/>
      <c r="B199" s="245"/>
      <c r="C199" s="250"/>
      <c r="D199" s="132" t="s">
        <v>1192</v>
      </c>
      <c r="E199" s="133"/>
      <c r="F199" s="128" t="s">
        <v>1253</v>
      </c>
      <c r="G199" s="126"/>
      <c r="H199" s="131">
        <v>0.33333333333333298</v>
      </c>
      <c r="I199" s="115">
        <f t="shared" si="4"/>
        <v>1</v>
      </c>
      <c r="J199" s="134">
        <v>0.9</v>
      </c>
      <c r="K199" s="133"/>
      <c r="L199" s="136"/>
    </row>
    <row r="200" spans="1:12" ht="14.4" customHeight="1">
      <c r="A200" s="253"/>
      <c r="B200" s="251">
        <v>45798</v>
      </c>
      <c r="C200" s="243" t="s">
        <v>1198</v>
      </c>
      <c r="D200" s="78" t="s">
        <v>1194</v>
      </c>
      <c r="E200" s="159"/>
      <c r="F200" s="111" t="s">
        <v>1251</v>
      </c>
      <c r="G200" s="107">
        <v>0.33333333333333331</v>
      </c>
      <c r="H200" s="108">
        <v>0.33333333333333298</v>
      </c>
      <c r="I200" s="109">
        <f t="shared" si="4"/>
        <v>0</v>
      </c>
      <c r="J200" s="109">
        <v>0.9</v>
      </c>
      <c r="K200" s="82" t="s">
        <v>1420</v>
      </c>
      <c r="L200" s="112"/>
    </row>
    <row r="201" spans="1:12" ht="14.4" customHeight="1">
      <c r="A201" s="253"/>
      <c r="B201" s="244"/>
      <c r="C201" s="244"/>
      <c r="D201" s="78" t="s">
        <v>1194</v>
      </c>
      <c r="E201" s="159"/>
      <c r="F201" s="106" t="s">
        <v>1252</v>
      </c>
      <c r="G201" s="107">
        <v>0.33333333333333331</v>
      </c>
      <c r="H201" s="108">
        <v>0.33333333333333298</v>
      </c>
      <c r="I201" s="109">
        <f t="shared" si="4"/>
        <v>0</v>
      </c>
      <c r="J201" s="109">
        <v>0.9</v>
      </c>
      <c r="K201" s="82" t="s">
        <v>1420</v>
      </c>
      <c r="L201" s="82"/>
    </row>
    <row r="202" spans="1:12" ht="14.4" customHeight="1">
      <c r="A202" s="253"/>
      <c r="B202" s="244"/>
      <c r="C202" s="245"/>
      <c r="D202" s="78" t="s">
        <v>1194</v>
      </c>
      <c r="E202" s="113"/>
      <c r="F202" s="114" t="s">
        <v>1253</v>
      </c>
      <c r="G202" s="107"/>
      <c r="H202" s="108">
        <v>0.33333333333333298</v>
      </c>
      <c r="I202" s="109">
        <f t="shared" si="4"/>
        <v>1</v>
      </c>
      <c r="J202" s="109">
        <v>0.9</v>
      </c>
      <c r="K202" s="82"/>
      <c r="L202" s="82"/>
    </row>
    <row r="203" spans="1:12" ht="14.4" customHeight="1">
      <c r="A203" s="253"/>
      <c r="B203" s="244"/>
      <c r="C203" s="248" t="s">
        <v>1196</v>
      </c>
      <c r="D203" s="132" t="s">
        <v>1193</v>
      </c>
      <c r="E203" s="158"/>
      <c r="F203" s="125" t="s">
        <v>1251</v>
      </c>
      <c r="G203" s="126">
        <v>0.33333333333333331</v>
      </c>
      <c r="H203" s="127">
        <v>0.33333333333333298</v>
      </c>
      <c r="I203" s="109">
        <f t="shared" si="4"/>
        <v>0</v>
      </c>
      <c r="J203" s="134">
        <v>0.9</v>
      </c>
      <c r="K203" s="135" t="s">
        <v>1420</v>
      </c>
      <c r="L203" s="137"/>
    </row>
    <row r="204" spans="1:12" ht="14.4" customHeight="1">
      <c r="A204" s="253"/>
      <c r="B204" s="244"/>
      <c r="C204" s="249"/>
      <c r="D204" s="132" t="s">
        <v>1193</v>
      </c>
      <c r="E204" s="158"/>
      <c r="F204" s="129" t="s">
        <v>1252</v>
      </c>
      <c r="G204" s="126">
        <v>0.33333333333333331</v>
      </c>
      <c r="H204" s="127">
        <v>0.33333333333333298</v>
      </c>
      <c r="I204" s="109">
        <f t="shared" si="4"/>
        <v>0</v>
      </c>
      <c r="J204" s="134">
        <v>0.9</v>
      </c>
      <c r="K204" s="135" t="s">
        <v>1420</v>
      </c>
      <c r="L204" s="136"/>
    </row>
    <row r="205" spans="1:12" ht="14.4" customHeight="1">
      <c r="A205" s="253"/>
      <c r="B205" s="244"/>
      <c r="C205" s="250"/>
      <c r="D205" s="132" t="s">
        <v>1193</v>
      </c>
      <c r="E205" s="133"/>
      <c r="F205" s="128" t="s">
        <v>1253</v>
      </c>
      <c r="G205" s="126"/>
      <c r="H205" s="127">
        <v>0.33333333333333298</v>
      </c>
      <c r="I205" s="109">
        <f t="shared" si="4"/>
        <v>1</v>
      </c>
      <c r="J205" s="134">
        <v>0.9</v>
      </c>
      <c r="K205" s="133"/>
      <c r="L205" s="136"/>
    </row>
    <row r="206" spans="1:12" ht="14.4" customHeight="1">
      <c r="A206" s="253"/>
      <c r="B206" s="244"/>
      <c r="C206" s="243" t="s">
        <v>1197</v>
      </c>
      <c r="D206" s="78" t="s">
        <v>1191</v>
      </c>
      <c r="E206" s="159"/>
      <c r="F206" s="111" t="s">
        <v>1251</v>
      </c>
      <c r="G206" s="107">
        <v>0.33333333333333331</v>
      </c>
      <c r="H206" s="108">
        <v>0.33333333333333298</v>
      </c>
      <c r="I206" s="109">
        <f t="shared" si="4"/>
        <v>0</v>
      </c>
      <c r="J206" s="109">
        <v>0.9</v>
      </c>
      <c r="K206" s="82" t="s">
        <v>1420</v>
      </c>
      <c r="L206" s="112"/>
    </row>
    <row r="207" spans="1:12" ht="14.4" customHeight="1">
      <c r="A207" s="253"/>
      <c r="B207" s="244"/>
      <c r="C207" s="244"/>
      <c r="D207" s="78" t="s">
        <v>1191</v>
      </c>
      <c r="E207" s="159"/>
      <c r="F207" s="106" t="s">
        <v>1252</v>
      </c>
      <c r="G207" s="107">
        <v>0.33333333333333331</v>
      </c>
      <c r="H207" s="108">
        <v>0.33333333333333298</v>
      </c>
      <c r="I207" s="109">
        <f t="shared" si="4"/>
        <v>0</v>
      </c>
      <c r="J207" s="109">
        <v>0.9</v>
      </c>
      <c r="K207" s="82" t="s">
        <v>1420</v>
      </c>
      <c r="L207" s="82"/>
    </row>
    <row r="208" spans="1:12" ht="15" customHeight="1" thickBot="1">
      <c r="A208" s="253"/>
      <c r="B208" s="245"/>
      <c r="C208" s="245"/>
      <c r="D208" s="78" t="s">
        <v>1191</v>
      </c>
      <c r="E208" s="113"/>
      <c r="F208" s="114" t="s">
        <v>1253</v>
      </c>
      <c r="G208" s="107"/>
      <c r="H208" s="108">
        <v>0.33333333333333298</v>
      </c>
      <c r="I208" s="109">
        <f t="shared" si="4"/>
        <v>1</v>
      </c>
      <c r="J208" s="109">
        <v>0.9</v>
      </c>
      <c r="K208" s="82"/>
      <c r="L208" s="82"/>
    </row>
    <row r="209" spans="1:12" ht="14.4" customHeight="1">
      <c r="A209" s="253"/>
      <c r="B209" s="251">
        <v>45799</v>
      </c>
      <c r="C209" s="248" t="s">
        <v>1198</v>
      </c>
      <c r="D209" s="132" t="s">
        <v>1194</v>
      </c>
      <c r="E209" s="158"/>
      <c r="F209" s="125" t="s">
        <v>1251</v>
      </c>
      <c r="G209" s="126">
        <v>0.33333333333333331</v>
      </c>
      <c r="H209" s="127">
        <v>0.33333333333333298</v>
      </c>
      <c r="I209" s="109">
        <f t="shared" si="4"/>
        <v>0</v>
      </c>
      <c r="J209" s="134">
        <v>0.9</v>
      </c>
      <c r="K209" s="135" t="s">
        <v>1420</v>
      </c>
      <c r="L209" s="137"/>
    </row>
    <row r="210" spans="1:12" ht="14.4" customHeight="1">
      <c r="A210" s="253"/>
      <c r="B210" s="244"/>
      <c r="C210" s="249"/>
      <c r="D210" s="132" t="s">
        <v>1194</v>
      </c>
      <c r="E210" s="158"/>
      <c r="F210" s="129" t="s">
        <v>1252</v>
      </c>
      <c r="G210" s="126">
        <v>0.33333333333333331</v>
      </c>
      <c r="H210" s="127">
        <v>0.33333333333333298</v>
      </c>
      <c r="I210" s="109">
        <f t="shared" si="4"/>
        <v>0</v>
      </c>
      <c r="J210" s="134">
        <v>0.9</v>
      </c>
      <c r="K210" s="135" t="s">
        <v>1420</v>
      </c>
      <c r="L210" s="136"/>
    </row>
    <row r="211" spans="1:12" ht="14.4" customHeight="1">
      <c r="A211" s="253"/>
      <c r="B211" s="244"/>
      <c r="C211" s="250"/>
      <c r="D211" s="132" t="s">
        <v>1194</v>
      </c>
      <c r="E211" s="133"/>
      <c r="F211" s="128" t="s">
        <v>1253</v>
      </c>
      <c r="G211" s="126"/>
      <c r="H211" s="127">
        <v>0.33333333333333298</v>
      </c>
      <c r="I211" s="109">
        <f t="shared" si="4"/>
        <v>1</v>
      </c>
      <c r="J211" s="134">
        <v>0.9</v>
      </c>
      <c r="K211" s="133"/>
      <c r="L211" s="136"/>
    </row>
    <row r="212" spans="1:12" ht="14.4" customHeight="1">
      <c r="A212" s="253"/>
      <c r="B212" s="244"/>
      <c r="C212" s="243" t="s">
        <v>1196</v>
      </c>
      <c r="D212" s="78" t="s">
        <v>1193</v>
      </c>
      <c r="E212" s="159"/>
      <c r="F212" s="111" t="s">
        <v>1251</v>
      </c>
      <c r="G212" s="107">
        <v>0.33333333333333331</v>
      </c>
      <c r="H212" s="108">
        <v>0.33333333333333298</v>
      </c>
      <c r="I212" s="109">
        <f t="shared" si="4"/>
        <v>0</v>
      </c>
      <c r="J212" s="109">
        <v>0.9</v>
      </c>
      <c r="K212" s="82" t="s">
        <v>1420</v>
      </c>
      <c r="L212" s="112"/>
    </row>
    <row r="213" spans="1:12" ht="14.4" customHeight="1">
      <c r="A213" s="253"/>
      <c r="B213" s="244"/>
      <c r="C213" s="244"/>
      <c r="D213" s="78" t="s">
        <v>1193</v>
      </c>
      <c r="E213" s="159"/>
      <c r="F213" s="106" t="s">
        <v>1252</v>
      </c>
      <c r="G213" s="107">
        <v>0.33333333333333331</v>
      </c>
      <c r="H213" s="108">
        <v>0.33333333333333298</v>
      </c>
      <c r="I213" s="109">
        <f t="shared" si="4"/>
        <v>0</v>
      </c>
      <c r="J213" s="109">
        <v>0.9</v>
      </c>
      <c r="K213" s="82" t="s">
        <v>1420</v>
      </c>
      <c r="L213" s="82"/>
    </row>
    <row r="214" spans="1:12" ht="14.4" customHeight="1">
      <c r="A214" s="253"/>
      <c r="B214" s="244"/>
      <c r="C214" s="245"/>
      <c r="D214" s="78" t="s">
        <v>1193</v>
      </c>
      <c r="E214" s="113"/>
      <c r="F214" s="114" t="s">
        <v>1253</v>
      </c>
      <c r="G214" s="107"/>
      <c r="H214" s="108">
        <v>0.33333333333333298</v>
      </c>
      <c r="I214" s="109">
        <f t="shared" si="4"/>
        <v>1</v>
      </c>
      <c r="J214" s="109">
        <v>0.9</v>
      </c>
      <c r="K214" s="82"/>
      <c r="L214" s="82"/>
    </row>
    <row r="215" spans="1:12" ht="14.4" customHeight="1">
      <c r="A215" s="253"/>
      <c r="B215" s="244"/>
      <c r="C215" s="248" t="s">
        <v>1197</v>
      </c>
      <c r="D215" s="132" t="s">
        <v>1191</v>
      </c>
      <c r="E215" s="158"/>
      <c r="F215" s="125" t="s">
        <v>1251</v>
      </c>
      <c r="G215" s="126">
        <v>0.33333333333333331</v>
      </c>
      <c r="H215" s="127">
        <v>0.33333333333333298</v>
      </c>
      <c r="I215" s="109">
        <f>1-(G215/H215)</f>
        <v>0</v>
      </c>
      <c r="J215" s="134">
        <v>0.9</v>
      </c>
      <c r="K215" s="133" t="s">
        <v>1420</v>
      </c>
      <c r="L215" s="137"/>
    </row>
    <row r="216" spans="1:12" ht="14.4" customHeight="1">
      <c r="A216" s="253"/>
      <c r="B216" s="244"/>
      <c r="C216" s="249"/>
      <c r="D216" s="132" t="s">
        <v>1191</v>
      </c>
      <c r="E216" s="158"/>
      <c r="F216" s="129" t="s">
        <v>1252</v>
      </c>
      <c r="G216" s="126">
        <v>0.33333333333333331</v>
      </c>
      <c r="H216" s="127">
        <v>0.33333333333333298</v>
      </c>
      <c r="I216" s="109">
        <f>1-(G216/H216)</f>
        <v>0</v>
      </c>
      <c r="J216" s="134">
        <v>0.9</v>
      </c>
      <c r="K216" s="135" t="s">
        <v>1420</v>
      </c>
      <c r="L216" s="136"/>
    </row>
    <row r="217" spans="1:12" ht="15" customHeight="1" thickBot="1">
      <c r="A217" s="253"/>
      <c r="B217" s="245"/>
      <c r="C217" s="250"/>
      <c r="D217" s="132" t="s">
        <v>1191</v>
      </c>
      <c r="E217" s="133"/>
      <c r="F217" s="128" t="s">
        <v>1253</v>
      </c>
      <c r="G217" s="126"/>
      <c r="H217" s="127">
        <v>0.33333333333333298</v>
      </c>
      <c r="I217" s="109">
        <f t="shared" si="4"/>
        <v>1</v>
      </c>
      <c r="J217" s="134">
        <v>0.9</v>
      </c>
      <c r="K217" s="133"/>
      <c r="L217" s="136"/>
    </row>
    <row r="218" spans="1:12" ht="15" customHeight="1">
      <c r="A218" s="253"/>
      <c r="B218" s="251">
        <v>45800</v>
      </c>
      <c r="C218" s="248" t="s">
        <v>1198</v>
      </c>
      <c r="D218" s="132" t="s">
        <v>1192</v>
      </c>
      <c r="E218" s="158"/>
      <c r="F218" s="125" t="s">
        <v>1251</v>
      </c>
      <c r="G218" s="126">
        <v>0.33333333333333331</v>
      </c>
      <c r="H218" s="127">
        <v>0.33333333333333298</v>
      </c>
      <c r="I218" s="109">
        <f t="shared" ref="I218:I223" si="5">1-(G218/H218)</f>
        <v>0</v>
      </c>
      <c r="J218" s="134">
        <v>0.9</v>
      </c>
      <c r="K218" s="135" t="s">
        <v>1420</v>
      </c>
      <c r="L218" s="137"/>
    </row>
    <row r="219" spans="1:12" ht="15" customHeight="1">
      <c r="A219" s="253"/>
      <c r="B219" s="244"/>
      <c r="C219" s="249"/>
      <c r="D219" s="132" t="s">
        <v>1192</v>
      </c>
      <c r="E219" s="158"/>
      <c r="F219" s="129" t="s">
        <v>1252</v>
      </c>
      <c r="G219" s="126">
        <v>0.33333333333333331</v>
      </c>
      <c r="H219" s="127">
        <v>0.33333333333333298</v>
      </c>
      <c r="I219" s="109">
        <f t="shared" si="5"/>
        <v>0</v>
      </c>
      <c r="J219" s="134">
        <v>0.9</v>
      </c>
      <c r="K219" s="135" t="s">
        <v>1420</v>
      </c>
      <c r="L219" s="136"/>
    </row>
    <row r="220" spans="1:12" ht="15" customHeight="1">
      <c r="A220" s="253"/>
      <c r="B220" s="244"/>
      <c r="C220" s="250"/>
      <c r="D220" s="132" t="s">
        <v>1192</v>
      </c>
      <c r="E220" s="133"/>
      <c r="F220" s="128" t="s">
        <v>1253</v>
      </c>
      <c r="G220" s="126"/>
      <c r="H220" s="127">
        <v>0.33333333333333298</v>
      </c>
      <c r="I220" s="109">
        <f t="shared" si="5"/>
        <v>1</v>
      </c>
      <c r="J220" s="134">
        <v>0.9</v>
      </c>
      <c r="K220" s="133"/>
      <c r="L220" s="136"/>
    </row>
    <row r="221" spans="1:12" ht="15" customHeight="1">
      <c r="A221" s="253"/>
      <c r="B221" s="244"/>
      <c r="C221" s="243" t="s">
        <v>1196</v>
      </c>
      <c r="D221" s="78" t="s">
        <v>1194</v>
      </c>
      <c r="E221" s="159"/>
      <c r="F221" s="111" t="s">
        <v>1251</v>
      </c>
      <c r="G221" s="107">
        <v>0.33333333333333331</v>
      </c>
      <c r="H221" s="108">
        <v>0.33333333333333298</v>
      </c>
      <c r="I221" s="109">
        <f t="shared" si="5"/>
        <v>0</v>
      </c>
      <c r="J221" s="109">
        <v>0.9</v>
      </c>
      <c r="K221" s="82" t="s">
        <v>1420</v>
      </c>
      <c r="L221" s="112"/>
    </row>
    <row r="222" spans="1:12" ht="15" customHeight="1">
      <c r="A222" s="253"/>
      <c r="B222" s="244"/>
      <c r="C222" s="244"/>
      <c r="D222" s="78" t="s">
        <v>1194</v>
      </c>
      <c r="E222" s="159"/>
      <c r="F222" s="106" t="s">
        <v>1252</v>
      </c>
      <c r="G222" s="107">
        <v>0.33333333333333331</v>
      </c>
      <c r="H222" s="108">
        <v>0.33333333333333298</v>
      </c>
      <c r="I222" s="109">
        <f t="shared" si="5"/>
        <v>0</v>
      </c>
      <c r="J222" s="109">
        <v>0.9</v>
      </c>
      <c r="K222" s="82" t="s">
        <v>1420</v>
      </c>
      <c r="L222" s="82"/>
    </row>
    <row r="223" spans="1:12" ht="15" customHeight="1">
      <c r="A223" s="253"/>
      <c r="B223" s="244"/>
      <c r="C223" s="245"/>
      <c r="D223" s="78" t="s">
        <v>1194</v>
      </c>
      <c r="E223" s="113"/>
      <c r="F223" s="114" t="s">
        <v>1253</v>
      </c>
      <c r="G223" s="107"/>
      <c r="H223" s="108">
        <v>0.33333333333333298</v>
      </c>
      <c r="I223" s="109">
        <f t="shared" si="5"/>
        <v>1</v>
      </c>
      <c r="J223" s="109">
        <v>0.9</v>
      </c>
      <c r="K223" s="82"/>
      <c r="L223" s="82"/>
    </row>
    <row r="224" spans="1:12" ht="15" customHeight="1">
      <c r="A224" s="253"/>
      <c r="B224" s="244"/>
      <c r="C224" s="248" t="s">
        <v>1197</v>
      </c>
      <c r="D224" s="132" t="s">
        <v>1193</v>
      </c>
      <c r="E224" s="158"/>
      <c r="F224" s="125" t="s">
        <v>1251</v>
      </c>
      <c r="G224" s="126">
        <v>0.33333333333333331</v>
      </c>
      <c r="H224" s="127">
        <v>0.33333333333333298</v>
      </c>
      <c r="I224" s="109">
        <f>1-(G224/H224)</f>
        <v>0</v>
      </c>
      <c r="J224" s="134">
        <v>0.9</v>
      </c>
      <c r="K224" s="133" t="s">
        <v>1420</v>
      </c>
      <c r="L224" s="137"/>
    </row>
    <row r="225" spans="1:12" ht="15" customHeight="1">
      <c r="A225" s="253"/>
      <c r="B225" s="244"/>
      <c r="C225" s="249"/>
      <c r="D225" s="132" t="s">
        <v>1193</v>
      </c>
      <c r="E225" s="158"/>
      <c r="F225" s="129" t="s">
        <v>1252</v>
      </c>
      <c r="G225" s="126">
        <v>0.33333333333333331</v>
      </c>
      <c r="H225" s="127">
        <v>0.33333333333333298</v>
      </c>
      <c r="I225" s="109">
        <f>1-(G225/H225)</f>
        <v>0</v>
      </c>
      <c r="J225" s="134">
        <v>0.9</v>
      </c>
      <c r="K225" s="135" t="s">
        <v>1420</v>
      </c>
      <c r="L225" s="136"/>
    </row>
    <row r="226" spans="1:12" ht="15" customHeight="1" thickBot="1">
      <c r="A226" s="253"/>
      <c r="B226" s="245"/>
      <c r="C226" s="250"/>
      <c r="D226" s="132" t="s">
        <v>1193</v>
      </c>
      <c r="E226" s="133"/>
      <c r="F226" s="128" t="s">
        <v>1253</v>
      </c>
      <c r="G226" s="126"/>
      <c r="H226" s="127">
        <v>0.33333333333333298</v>
      </c>
      <c r="I226" s="109">
        <f t="shared" ref="I226:I232" si="6">1-(G226/H226)</f>
        <v>1</v>
      </c>
      <c r="J226" s="134">
        <v>0.9</v>
      </c>
      <c r="K226" s="133"/>
      <c r="L226" s="136"/>
    </row>
    <row r="227" spans="1:12" ht="15" customHeight="1">
      <c r="A227" s="253"/>
      <c r="B227" s="251">
        <v>45801</v>
      </c>
      <c r="C227" s="248" t="s">
        <v>1198</v>
      </c>
      <c r="D227" s="132" t="s">
        <v>1192</v>
      </c>
      <c r="E227" s="158"/>
      <c r="F227" s="125" t="s">
        <v>1251</v>
      </c>
      <c r="G227" s="126">
        <v>0.33333333333333331</v>
      </c>
      <c r="H227" s="127">
        <v>0.33333333333333298</v>
      </c>
      <c r="I227" s="109">
        <f t="shared" si="6"/>
        <v>0</v>
      </c>
      <c r="J227" s="134">
        <v>0.9</v>
      </c>
      <c r="K227" s="135" t="s">
        <v>1420</v>
      </c>
      <c r="L227" s="137"/>
    </row>
    <row r="228" spans="1:12" ht="15" customHeight="1">
      <c r="A228" s="253"/>
      <c r="B228" s="244"/>
      <c r="C228" s="249"/>
      <c r="D228" s="132" t="s">
        <v>1192</v>
      </c>
      <c r="E228" s="158"/>
      <c r="F228" s="129" t="s">
        <v>1252</v>
      </c>
      <c r="G228" s="126">
        <v>0.33333333333333331</v>
      </c>
      <c r="H228" s="127">
        <v>0.33333333333333298</v>
      </c>
      <c r="I228" s="109">
        <f t="shared" si="6"/>
        <v>0</v>
      </c>
      <c r="J228" s="134">
        <v>0.9</v>
      </c>
      <c r="K228" s="135" t="s">
        <v>1420</v>
      </c>
      <c r="L228" s="136"/>
    </row>
    <row r="229" spans="1:12" ht="15" customHeight="1">
      <c r="A229" s="253"/>
      <c r="B229" s="244"/>
      <c r="C229" s="250"/>
      <c r="D229" s="132" t="s">
        <v>1192</v>
      </c>
      <c r="E229" s="133"/>
      <c r="F229" s="128" t="s">
        <v>1253</v>
      </c>
      <c r="G229" s="126"/>
      <c r="H229" s="127">
        <v>0.33333333333333298</v>
      </c>
      <c r="I229" s="109">
        <f t="shared" si="6"/>
        <v>1</v>
      </c>
      <c r="J229" s="134">
        <v>0.9</v>
      </c>
      <c r="K229" s="133"/>
      <c r="L229" s="136"/>
    </row>
    <row r="230" spans="1:12" ht="15" customHeight="1">
      <c r="A230" s="253"/>
      <c r="B230" s="244"/>
      <c r="C230" s="243" t="s">
        <v>1196</v>
      </c>
      <c r="D230" s="78" t="s">
        <v>1194</v>
      </c>
      <c r="E230" s="159"/>
      <c r="F230" s="111" t="s">
        <v>1251</v>
      </c>
      <c r="G230" s="107">
        <v>0.33333333333333331</v>
      </c>
      <c r="H230" s="108">
        <v>0.33333333333333298</v>
      </c>
      <c r="I230" s="109">
        <f t="shared" si="6"/>
        <v>0</v>
      </c>
      <c r="J230" s="109">
        <v>0.9</v>
      </c>
      <c r="K230" s="82" t="s">
        <v>1420</v>
      </c>
      <c r="L230" s="112"/>
    </row>
    <row r="231" spans="1:12" ht="15" customHeight="1">
      <c r="A231" s="253"/>
      <c r="B231" s="244"/>
      <c r="C231" s="244"/>
      <c r="D231" s="78" t="s">
        <v>1194</v>
      </c>
      <c r="E231" s="159"/>
      <c r="F231" s="106" t="s">
        <v>1252</v>
      </c>
      <c r="G231" s="107">
        <v>0.33333333333333331</v>
      </c>
      <c r="H231" s="108">
        <v>0.33333333333333298</v>
      </c>
      <c r="I231" s="109">
        <f t="shared" si="6"/>
        <v>0</v>
      </c>
      <c r="J231" s="109">
        <v>0.9</v>
      </c>
      <c r="K231" s="82" t="s">
        <v>1420</v>
      </c>
      <c r="L231" s="82"/>
    </row>
    <row r="232" spans="1:12" ht="15" customHeight="1">
      <c r="A232" s="253"/>
      <c r="B232" s="244"/>
      <c r="C232" s="245"/>
      <c r="D232" s="78" t="s">
        <v>1194</v>
      </c>
      <c r="E232" s="113"/>
      <c r="F232" s="114" t="s">
        <v>1253</v>
      </c>
      <c r="G232" s="107"/>
      <c r="H232" s="108">
        <v>0.33333333333333298</v>
      </c>
      <c r="I232" s="109">
        <f t="shared" si="6"/>
        <v>1</v>
      </c>
      <c r="J232" s="109">
        <v>0.9</v>
      </c>
      <c r="K232" s="82"/>
      <c r="L232" s="82"/>
    </row>
    <row r="233" spans="1:12" ht="15" customHeight="1">
      <c r="A233" s="253"/>
      <c r="B233" s="244"/>
      <c r="C233" s="248" t="s">
        <v>1197</v>
      </c>
      <c r="D233" s="132" t="s">
        <v>1193</v>
      </c>
      <c r="E233" s="158"/>
      <c r="F233" s="125" t="s">
        <v>1251</v>
      </c>
      <c r="G233" s="126">
        <v>0.33333333333333331</v>
      </c>
      <c r="H233" s="127">
        <v>0.33333333333333298</v>
      </c>
      <c r="I233" s="109">
        <f>1-(G233/H233)</f>
        <v>0</v>
      </c>
      <c r="J233" s="134">
        <v>0.9</v>
      </c>
      <c r="K233" s="133" t="s">
        <v>1420</v>
      </c>
      <c r="L233" s="137"/>
    </row>
    <row r="234" spans="1:12" ht="15" customHeight="1">
      <c r="A234" s="253"/>
      <c r="B234" s="244"/>
      <c r="C234" s="249"/>
      <c r="D234" s="132" t="s">
        <v>1193</v>
      </c>
      <c r="E234" s="158"/>
      <c r="F234" s="129" t="s">
        <v>1252</v>
      </c>
      <c r="G234" s="126">
        <v>0.33333333333333331</v>
      </c>
      <c r="H234" s="127">
        <v>0.33333333333333298</v>
      </c>
      <c r="I234" s="109">
        <f>1-(G234/H234)</f>
        <v>0</v>
      </c>
      <c r="J234" s="134">
        <v>0.9</v>
      </c>
      <c r="K234" s="135" t="s">
        <v>1420</v>
      </c>
      <c r="L234" s="136"/>
    </row>
    <row r="235" spans="1:12" ht="15" customHeight="1" thickBot="1">
      <c r="A235" s="253"/>
      <c r="B235" s="245"/>
      <c r="C235" s="250"/>
      <c r="D235" s="132" t="s">
        <v>1193</v>
      </c>
      <c r="E235" s="133"/>
      <c r="F235" s="128" t="s">
        <v>1253</v>
      </c>
      <c r="G235" s="126"/>
      <c r="H235" s="127">
        <v>0.33333333333333298</v>
      </c>
      <c r="I235" s="109">
        <f t="shared" ref="I235:I241" si="7">1-(G235/H235)</f>
        <v>1</v>
      </c>
      <c r="J235" s="134">
        <v>0.9</v>
      </c>
      <c r="K235" s="133"/>
      <c r="L235" s="136"/>
    </row>
    <row r="236" spans="1:12" ht="15" customHeight="1">
      <c r="A236" s="253"/>
      <c r="B236" s="251">
        <v>45802</v>
      </c>
      <c r="C236" s="248" t="s">
        <v>1198</v>
      </c>
      <c r="D236" s="132" t="s">
        <v>1191</v>
      </c>
      <c r="E236" s="158"/>
      <c r="F236" s="125" t="s">
        <v>1251</v>
      </c>
      <c r="G236" s="126">
        <v>0.33333333333333331</v>
      </c>
      <c r="H236" s="127">
        <v>0.33333333333333298</v>
      </c>
      <c r="I236" s="109">
        <f t="shared" si="7"/>
        <v>0</v>
      </c>
      <c r="J236" s="134">
        <v>0.9</v>
      </c>
      <c r="K236" s="135" t="s">
        <v>1420</v>
      </c>
      <c r="L236" s="137"/>
    </row>
    <row r="237" spans="1:12" ht="15" customHeight="1">
      <c r="A237" s="253"/>
      <c r="B237" s="244"/>
      <c r="C237" s="249"/>
      <c r="D237" s="132" t="s">
        <v>1191</v>
      </c>
      <c r="E237" s="158"/>
      <c r="F237" s="129" t="s">
        <v>1252</v>
      </c>
      <c r="G237" s="126">
        <v>0.33333333333333331</v>
      </c>
      <c r="H237" s="127">
        <v>0.33333333333333298</v>
      </c>
      <c r="I237" s="109">
        <f t="shared" si="7"/>
        <v>0</v>
      </c>
      <c r="J237" s="134">
        <v>0.9</v>
      </c>
      <c r="K237" s="135" t="s">
        <v>1420</v>
      </c>
      <c r="L237" s="136"/>
    </row>
    <row r="238" spans="1:12" ht="15" customHeight="1">
      <c r="A238" s="253"/>
      <c r="B238" s="244"/>
      <c r="C238" s="250"/>
      <c r="D238" s="132" t="s">
        <v>1191</v>
      </c>
      <c r="E238" s="133"/>
      <c r="F238" s="128" t="s">
        <v>1253</v>
      </c>
      <c r="G238" s="126"/>
      <c r="H238" s="127">
        <v>0.33333333333333298</v>
      </c>
      <c r="I238" s="109">
        <f t="shared" si="7"/>
        <v>1</v>
      </c>
      <c r="J238" s="134">
        <v>0.9</v>
      </c>
      <c r="K238" s="133"/>
      <c r="L238" s="136"/>
    </row>
    <row r="239" spans="1:12" ht="15" customHeight="1">
      <c r="A239" s="253"/>
      <c r="B239" s="244"/>
      <c r="C239" s="243" t="s">
        <v>1196</v>
      </c>
      <c r="D239" s="78" t="s">
        <v>1192</v>
      </c>
      <c r="E239" s="159"/>
      <c r="F239" s="111" t="s">
        <v>1251</v>
      </c>
      <c r="G239" s="107">
        <v>0.33333333333333331</v>
      </c>
      <c r="H239" s="108">
        <v>0.33333333333333298</v>
      </c>
      <c r="I239" s="109">
        <f t="shared" si="7"/>
        <v>0</v>
      </c>
      <c r="J239" s="109">
        <v>0.9</v>
      </c>
      <c r="K239" s="82" t="s">
        <v>1420</v>
      </c>
      <c r="L239" s="112"/>
    </row>
    <row r="240" spans="1:12" ht="15" customHeight="1">
      <c r="A240" s="253"/>
      <c r="B240" s="244"/>
      <c r="C240" s="244"/>
      <c r="D240" s="78" t="s">
        <v>1192</v>
      </c>
      <c r="E240" s="159"/>
      <c r="F240" s="106" t="s">
        <v>1252</v>
      </c>
      <c r="G240" s="107">
        <v>0.33333333333333331</v>
      </c>
      <c r="H240" s="108">
        <v>0.33333333333333298</v>
      </c>
      <c r="I240" s="109">
        <f t="shared" si="7"/>
        <v>0</v>
      </c>
      <c r="J240" s="109">
        <v>0.9</v>
      </c>
      <c r="K240" s="82" t="s">
        <v>1420</v>
      </c>
      <c r="L240" s="82"/>
    </row>
    <row r="241" spans="1:12" ht="15" customHeight="1">
      <c r="A241" s="253"/>
      <c r="B241" s="244"/>
      <c r="C241" s="245"/>
      <c r="D241" s="78" t="s">
        <v>1192</v>
      </c>
      <c r="E241" s="113"/>
      <c r="F241" s="114" t="s">
        <v>1253</v>
      </c>
      <c r="G241" s="107"/>
      <c r="H241" s="108">
        <v>0.33333333333333298</v>
      </c>
      <c r="I241" s="109">
        <f t="shared" si="7"/>
        <v>1</v>
      </c>
      <c r="J241" s="109">
        <v>0.9</v>
      </c>
      <c r="K241" s="82"/>
      <c r="L241" s="82"/>
    </row>
    <row r="242" spans="1:12" ht="15" customHeight="1">
      <c r="A242" s="253"/>
      <c r="B242" s="244"/>
      <c r="C242" s="248" t="s">
        <v>1197</v>
      </c>
      <c r="D242" s="132" t="s">
        <v>1194</v>
      </c>
      <c r="E242" s="158"/>
      <c r="F242" s="125" t="s">
        <v>1251</v>
      </c>
      <c r="G242" s="126">
        <v>0.33333333333333331</v>
      </c>
      <c r="H242" s="127">
        <v>0.33333333333333298</v>
      </c>
      <c r="I242" s="109">
        <f>1-(G242/H242)</f>
        <v>0</v>
      </c>
      <c r="J242" s="134">
        <v>0.9</v>
      </c>
      <c r="K242" s="133" t="s">
        <v>1420</v>
      </c>
      <c r="L242" s="137"/>
    </row>
    <row r="243" spans="1:12" ht="15" customHeight="1">
      <c r="A243" s="253"/>
      <c r="B243" s="244"/>
      <c r="C243" s="249"/>
      <c r="D243" s="132" t="s">
        <v>1194</v>
      </c>
      <c r="E243" s="158"/>
      <c r="F243" s="129" t="s">
        <v>1252</v>
      </c>
      <c r="G243" s="126">
        <v>0.33333333333333331</v>
      </c>
      <c r="H243" s="127">
        <v>0.33333333333333298</v>
      </c>
      <c r="I243" s="109">
        <f>1-(G243/H243)</f>
        <v>0</v>
      </c>
      <c r="J243" s="134">
        <v>0.9</v>
      </c>
      <c r="K243" s="135" t="s">
        <v>1420</v>
      </c>
      <c r="L243" s="136"/>
    </row>
    <row r="244" spans="1:12" ht="15" customHeight="1">
      <c r="A244" s="253"/>
      <c r="B244" s="245"/>
      <c r="C244" s="250"/>
      <c r="D244" s="132" t="s">
        <v>1194</v>
      </c>
      <c r="E244" s="133"/>
      <c r="F244" s="128" t="s">
        <v>1253</v>
      </c>
      <c r="G244" s="126"/>
      <c r="H244" s="127">
        <v>0.33333333333333298</v>
      </c>
      <c r="I244" s="109">
        <f t="shared" ref="I244" si="8">1-(G244/H244)</f>
        <v>1</v>
      </c>
      <c r="J244" s="134">
        <v>0.9</v>
      </c>
      <c r="K244" s="133"/>
      <c r="L244" s="136"/>
    </row>
    <row r="245" spans="1:12" ht="15" customHeight="1">
      <c r="A245" s="253"/>
      <c r="B245" s="117"/>
      <c r="C245" s="117"/>
      <c r="D245" s="118"/>
      <c r="E245" s="118"/>
      <c r="F245" s="119" t="s">
        <v>1251</v>
      </c>
      <c r="G245" s="124"/>
      <c r="H245" s="124"/>
      <c r="I245" s="120">
        <f>AVERAGEIF(F182:F244,F245,I182:I244)</f>
        <v>0</v>
      </c>
      <c r="J245" s="121">
        <v>0.9</v>
      </c>
      <c r="K245" s="118"/>
      <c r="L245" s="116"/>
    </row>
    <row r="246" spans="1:12" ht="15" customHeight="1">
      <c r="A246" s="253"/>
      <c r="B246" s="117"/>
      <c r="C246" s="117"/>
      <c r="D246" s="118"/>
      <c r="E246" s="118"/>
      <c r="F246" s="119" t="s">
        <v>1252</v>
      </c>
      <c r="G246" s="124"/>
      <c r="H246" s="124"/>
      <c r="I246" s="120">
        <f>AVERAGEIF(F182:F244,F246,I182:I244)</f>
        <v>0</v>
      </c>
      <c r="J246" s="121">
        <v>0.9</v>
      </c>
      <c r="K246" s="118"/>
      <c r="L246" s="116"/>
    </row>
    <row r="247" spans="1:12" ht="15" customHeight="1" thickBot="1">
      <c r="A247" s="253"/>
      <c r="B247" s="117"/>
      <c r="C247" s="117"/>
      <c r="D247" s="118"/>
      <c r="E247" s="118"/>
      <c r="F247" s="119" t="s">
        <v>1253</v>
      </c>
      <c r="G247" s="124"/>
      <c r="H247" s="124"/>
      <c r="I247" s="120">
        <f>AVERAGEIF(F182:F244,F247,I182:I244)</f>
        <v>1</v>
      </c>
      <c r="J247" s="121">
        <v>0.9</v>
      </c>
      <c r="K247" s="118"/>
      <c r="L247" s="116"/>
    </row>
    <row r="248" spans="1:12" ht="14.4" customHeight="1">
      <c r="A248" s="253" t="s">
        <v>1399</v>
      </c>
      <c r="B248" s="251">
        <v>45803</v>
      </c>
      <c r="C248" s="248" t="s">
        <v>1198</v>
      </c>
      <c r="D248" s="132" t="s">
        <v>1201</v>
      </c>
      <c r="E248" s="158"/>
      <c r="F248" s="125" t="s">
        <v>1251</v>
      </c>
      <c r="G248" s="126">
        <v>0.33333333333333331</v>
      </c>
      <c r="H248" s="127">
        <v>0.33333333333333298</v>
      </c>
      <c r="I248" s="109">
        <f t="shared" si="4"/>
        <v>0</v>
      </c>
      <c r="J248" s="134">
        <v>0.9</v>
      </c>
      <c r="K248" s="135" t="s">
        <v>1420</v>
      </c>
      <c r="L248" s="137"/>
    </row>
    <row r="249" spans="1:12" ht="14.4" customHeight="1">
      <c r="A249" s="253"/>
      <c r="B249" s="244"/>
      <c r="C249" s="249"/>
      <c r="D249" s="132" t="s">
        <v>1201</v>
      </c>
      <c r="E249" s="158"/>
      <c r="F249" s="129" t="s">
        <v>1252</v>
      </c>
      <c r="G249" s="126">
        <v>0.33333333333333331</v>
      </c>
      <c r="H249" s="127">
        <v>0.33333333333333298</v>
      </c>
      <c r="I249" s="109">
        <f t="shared" si="4"/>
        <v>0</v>
      </c>
      <c r="J249" s="134">
        <v>0.9</v>
      </c>
      <c r="K249" s="135" t="s">
        <v>1420</v>
      </c>
      <c r="L249" s="136"/>
    </row>
    <row r="250" spans="1:12" ht="14.4" customHeight="1">
      <c r="A250" s="253"/>
      <c r="B250" s="244"/>
      <c r="C250" s="250"/>
      <c r="D250" s="132" t="s">
        <v>1201</v>
      </c>
      <c r="E250" s="133"/>
      <c r="F250" s="128" t="s">
        <v>1253</v>
      </c>
      <c r="G250" s="126"/>
      <c r="H250" s="127">
        <v>0.33333333333333298</v>
      </c>
      <c r="I250" s="109">
        <f t="shared" si="4"/>
        <v>1</v>
      </c>
      <c r="J250" s="134">
        <v>0.9</v>
      </c>
      <c r="K250" s="133"/>
      <c r="L250" s="136"/>
    </row>
    <row r="251" spans="1:12" ht="14.4" customHeight="1">
      <c r="A251" s="253"/>
      <c r="B251" s="244"/>
      <c r="C251" s="243" t="s">
        <v>1196</v>
      </c>
      <c r="D251" s="78" t="s">
        <v>1192</v>
      </c>
      <c r="E251" s="159"/>
      <c r="F251" s="111" t="s">
        <v>1251</v>
      </c>
      <c r="G251" s="107">
        <v>0.33333333333333331</v>
      </c>
      <c r="H251" s="108">
        <v>0.33333333333333298</v>
      </c>
      <c r="I251" s="109">
        <f t="shared" si="4"/>
        <v>0</v>
      </c>
      <c r="J251" s="109">
        <v>0.9</v>
      </c>
      <c r="K251" s="82" t="s">
        <v>1420</v>
      </c>
      <c r="L251" s="112"/>
    </row>
    <row r="252" spans="1:12" ht="14.4" customHeight="1">
      <c r="A252" s="253"/>
      <c r="B252" s="244"/>
      <c r="C252" s="244"/>
      <c r="D252" s="78" t="s">
        <v>1192</v>
      </c>
      <c r="E252" s="159"/>
      <c r="F252" s="106" t="s">
        <v>1252</v>
      </c>
      <c r="G252" s="107">
        <v>0.33333333333333331</v>
      </c>
      <c r="H252" s="108">
        <v>0.33333333333333298</v>
      </c>
      <c r="I252" s="109">
        <f t="shared" si="4"/>
        <v>0</v>
      </c>
      <c r="J252" s="109">
        <v>0.9</v>
      </c>
      <c r="K252" s="82" t="s">
        <v>1420</v>
      </c>
      <c r="L252" s="82"/>
    </row>
    <row r="253" spans="1:12" ht="14.4" customHeight="1">
      <c r="A253" s="253"/>
      <c r="B253" s="244"/>
      <c r="C253" s="245"/>
      <c r="D253" s="78" t="s">
        <v>1192</v>
      </c>
      <c r="E253" s="113"/>
      <c r="F253" s="114" t="s">
        <v>1253</v>
      </c>
      <c r="G253" s="107"/>
      <c r="H253" s="108">
        <v>0.33333333333333298</v>
      </c>
      <c r="I253" s="109">
        <f t="shared" si="4"/>
        <v>1</v>
      </c>
      <c r="J253" s="109">
        <v>0.9</v>
      </c>
      <c r="K253" s="82"/>
      <c r="L253" s="82"/>
    </row>
    <row r="254" spans="1:12" ht="14.4" customHeight="1">
      <c r="A254" s="253"/>
      <c r="B254" s="244"/>
      <c r="C254" s="248" t="s">
        <v>1197</v>
      </c>
      <c r="D254" s="132" t="s">
        <v>1194</v>
      </c>
      <c r="E254" s="158"/>
      <c r="F254" s="125" t="s">
        <v>1251</v>
      </c>
      <c r="G254" s="126">
        <v>0.33333333333333331</v>
      </c>
      <c r="H254" s="127">
        <v>0.33333333333333298</v>
      </c>
      <c r="I254" s="109">
        <f t="shared" si="4"/>
        <v>0</v>
      </c>
      <c r="J254" s="134">
        <v>0.9</v>
      </c>
      <c r="K254" s="133" t="s">
        <v>1420</v>
      </c>
      <c r="L254" s="137"/>
    </row>
    <row r="255" spans="1:12" ht="14.4" customHeight="1">
      <c r="A255" s="253"/>
      <c r="B255" s="244"/>
      <c r="C255" s="249"/>
      <c r="D255" s="132" t="s">
        <v>1194</v>
      </c>
      <c r="E255" s="158"/>
      <c r="F255" s="129" t="s">
        <v>1252</v>
      </c>
      <c r="G255" s="126">
        <v>0.33333333333333331</v>
      </c>
      <c r="H255" s="127">
        <v>0.33333333333333298</v>
      </c>
      <c r="I255" s="109">
        <f t="shared" si="4"/>
        <v>0</v>
      </c>
      <c r="J255" s="134">
        <v>0.9</v>
      </c>
      <c r="K255" s="135" t="s">
        <v>1420</v>
      </c>
      <c r="L255" s="136"/>
    </row>
    <row r="256" spans="1:12" ht="15" customHeight="1" thickBot="1">
      <c r="A256" s="253"/>
      <c r="B256" s="245"/>
      <c r="C256" s="250"/>
      <c r="D256" s="132" t="s">
        <v>1194</v>
      </c>
      <c r="E256" s="133"/>
      <c r="F256" s="128" t="s">
        <v>1253</v>
      </c>
      <c r="G256" s="126"/>
      <c r="H256" s="127">
        <v>0.33333333333333298</v>
      </c>
      <c r="I256" s="109">
        <f t="shared" si="4"/>
        <v>1</v>
      </c>
      <c r="J256" s="134">
        <v>0.9</v>
      </c>
      <c r="K256" s="133"/>
      <c r="L256" s="136"/>
    </row>
    <row r="257" spans="1:12" ht="14.4" customHeight="1">
      <c r="A257" s="253"/>
      <c r="B257" s="251">
        <v>45804</v>
      </c>
      <c r="C257" s="248" t="s">
        <v>1198</v>
      </c>
      <c r="D257" s="132" t="s">
        <v>1193</v>
      </c>
      <c r="E257" s="158"/>
      <c r="F257" s="125" t="s">
        <v>1251</v>
      </c>
      <c r="G257" s="126">
        <v>0.33333333333333331</v>
      </c>
      <c r="H257" s="127">
        <v>0.33333333333333298</v>
      </c>
      <c r="I257" s="109">
        <f t="shared" si="4"/>
        <v>0</v>
      </c>
      <c r="J257" s="134">
        <v>0.9</v>
      </c>
      <c r="K257" s="77" t="s">
        <v>1423</v>
      </c>
      <c r="L257" s="169"/>
    </row>
    <row r="258" spans="1:12" ht="14.4" customHeight="1">
      <c r="A258" s="253"/>
      <c r="B258" s="244"/>
      <c r="C258" s="249"/>
      <c r="D258" s="132" t="s">
        <v>1193</v>
      </c>
      <c r="E258" s="158"/>
      <c r="F258" s="129" t="s">
        <v>1252</v>
      </c>
      <c r="G258" s="126">
        <v>0.33333333333333331</v>
      </c>
      <c r="H258" s="127">
        <v>0.33333333333333298</v>
      </c>
      <c r="I258" s="109">
        <f t="shared" si="4"/>
        <v>0</v>
      </c>
      <c r="J258" s="134">
        <v>0.9</v>
      </c>
      <c r="K258" s="77" t="s">
        <v>1423</v>
      </c>
      <c r="L258" s="168"/>
    </row>
    <row r="259" spans="1:12" ht="14.4" customHeight="1">
      <c r="A259" s="253"/>
      <c r="B259" s="244"/>
      <c r="C259" s="250"/>
      <c r="D259" s="132" t="s">
        <v>1193</v>
      </c>
      <c r="E259" s="133"/>
      <c r="F259" s="128" t="s">
        <v>1253</v>
      </c>
      <c r="G259" s="126"/>
      <c r="H259" s="127">
        <v>0.33333333333333298</v>
      </c>
      <c r="I259" s="109">
        <f t="shared" si="4"/>
        <v>1</v>
      </c>
      <c r="J259" s="134">
        <v>0.9</v>
      </c>
      <c r="K259" s="77" t="s">
        <v>1423</v>
      </c>
      <c r="L259" s="168"/>
    </row>
    <row r="260" spans="1:12" ht="14.4" customHeight="1">
      <c r="A260" s="253"/>
      <c r="B260" s="244"/>
      <c r="C260" s="243" t="s">
        <v>1196</v>
      </c>
      <c r="D260" s="78" t="s">
        <v>1191</v>
      </c>
      <c r="E260" s="159"/>
      <c r="F260" s="111" t="s">
        <v>1251</v>
      </c>
      <c r="G260" s="107">
        <v>0.33333333333333331</v>
      </c>
      <c r="H260" s="108">
        <v>0.33333333333333298</v>
      </c>
      <c r="I260" s="109">
        <f t="shared" si="4"/>
        <v>0</v>
      </c>
      <c r="J260" s="109">
        <v>0.9</v>
      </c>
      <c r="K260" s="82" t="s">
        <v>1420</v>
      </c>
      <c r="L260" s="112"/>
    </row>
    <row r="261" spans="1:12" ht="14.4" customHeight="1">
      <c r="A261" s="253"/>
      <c r="B261" s="244"/>
      <c r="C261" s="244"/>
      <c r="D261" s="78" t="s">
        <v>1191</v>
      </c>
      <c r="E261" s="159"/>
      <c r="F261" s="106" t="s">
        <v>1252</v>
      </c>
      <c r="G261" s="107">
        <v>0.33333333333333331</v>
      </c>
      <c r="H261" s="108">
        <v>0.33333333333333298</v>
      </c>
      <c r="I261" s="109">
        <f t="shared" si="4"/>
        <v>0</v>
      </c>
      <c r="J261" s="109">
        <v>0.9</v>
      </c>
      <c r="K261" s="82" t="s">
        <v>1420</v>
      </c>
      <c r="L261" s="82"/>
    </row>
    <row r="262" spans="1:12" ht="14.4" customHeight="1">
      <c r="A262" s="253"/>
      <c r="B262" s="244"/>
      <c r="C262" s="245"/>
      <c r="D262" s="78" t="s">
        <v>1191</v>
      </c>
      <c r="E262" s="113"/>
      <c r="F262" s="114" t="s">
        <v>1253</v>
      </c>
      <c r="G262" s="107"/>
      <c r="H262" s="108">
        <v>0.33333333333333298</v>
      </c>
      <c r="I262" s="109">
        <f t="shared" si="4"/>
        <v>1</v>
      </c>
      <c r="J262" s="109">
        <v>0.9</v>
      </c>
      <c r="K262" s="82"/>
      <c r="L262" s="82"/>
    </row>
    <row r="263" spans="1:12" ht="14.4" customHeight="1">
      <c r="A263" s="253"/>
      <c r="B263" s="244"/>
      <c r="C263" s="248" t="s">
        <v>1197</v>
      </c>
      <c r="D263" s="132" t="s">
        <v>1192</v>
      </c>
      <c r="E263" s="158"/>
      <c r="F263" s="125" t="s">
        <v>1251</v>
      </c>
      <c r="G263" s="126">
        <v>0.33333333333333331</v>
      </c>
      <c r="H263" s="127">
        <v>0.33333333333333298</v>
      </c>
      <c r="I263" s="109">
        <f t="shared" si="4"/>
        <v>0</v>
      </c>
      <c r="J263" s="134">
        <v>0.9</v>
      </c>
      <c r="K263" s="133" t="s">
        <v>1420</v>
      </c>
      <c r="L263" s="137"/>
    </row>
    <row r="264" spans="1:12" ht="14.4" customHeight="1">
      <c r="A264" s="253"/>
      <c r="B264" s="244"/>
      <c r="C264" s="249"/>
      <c r="D264" s="132" t="s">
        <v>1192</v>
      </c>
      <c r="E264" s="158"/>
      <c r="F264" s="129" t="s">
        <v>1252</v>
      </c>
      <c r="G264" s="126">
        <v>0.33333333333333331</v>
      </c>
      <c r="H264" s="127">
        <v>0.33333333333333298</v>
      </c>
      <c r="I264" s="109">
        <f t="shared" si="4"/>
        <v>0</v>
      </c>
      <c r="J264" s="134">
        <v>0.9</v>
      </c>
      <c r="K264" s="135" t="s">
        <v>1420</v>
      </c>
      <c r="L264" s="136"/>
    </row>
    <row r="265" spans="1:12" ht="15" customHeight="1" thickBot="1">
      <c r="A265" s="253"/>
      <c r="B265" s="245"/>
      <c r="C265" s="250"/>
      <c r="D265" s="132" t="s">
        <v>1192</v>
      </c>
      <c r="E265" s="133"/>
      <c r="F265" s="128" t="s">
        <v>1253</v>
      </c>
      <c r="G265" s="126">
        <v>0.21875</v>
      </c>
      <c r="H265" s="127">
        <v>0.33333333333333298</v>
      </c>
      <c r="I265" s="109">
        <f t="shared" si="4"/>
        <v>0.34374999999999933</v>
      </c>
      <c r="J265" s="134">
        <v>0.9</v>
      </c>
      <c r="K265" s="133" t="s">
        <v>1424</v>
      </c>
      <c r="L265" s="136"/>
    </row>
    <row r="266" spans="1:12" ht="14.4" customHeight="1">
      <c r="A266" s="253"/>
      <c r="B266" s="251">
        <v>45805</v>
      </c>
      <c r="C266" s="248" t="s">
        <v>1198</v>
      </c>
      <c r="D266" s="132" t="s">
        <v>1193</v>
      </c>
      <c r="E266" s="158"/>
      <c r="F266" s="125" t="s">
        <v>1251</v>
      </c>
      <c r="G266" s="126">
        <v>0.33333333333333331</v>
      </c>
      <c r="H266" s="127">
        <v>0.33333333333333298</v>
      </c>
      <c r="I266" s="109">
        <f t="shared" si="4"/>
        <v>0</v>
      </c>
      <c r="J266" s="134">
        <v>0.9</v>
      </c>
      <c r="K266" s="135" t="s">
        <v>1420</v>
      </c>
      <c r="L266" s="137"/>
    </row>
    <row r="267" spans="1:12" ht="14.4" customHeight="1">
      <c r="A267" s="253"/>
      <c r="B267" s="244"/>
      <c r="C267" s="249"/>
      <c r="D267" s="132" t="s">
        <v>1193</v>
      </c>
      <c r="E267" s="158"/>
      <c r="F267" s="129" t="s">
        <v>1252</v>
      </c>
      <c r="G267" s="126">
        <v>0.33333333333333331</v>
      </c>
      <c r="H267" s="127">
        <v>0.33333333333333298</v>
      </c>
      <c r="I267" s="109">
        <f t="shared" si="4"/>
        <v>0</v>
      </c>
      <c r="J267" s="134">
        <v>0.9</v>
      </c>
      <c r="K267" s="135" t="s">
        <v>1420</v>
      </c>
      <c r="L267" s="136"/>
    </row>
    <row r="268" spans="1:12" ht="14.4" customHeight="1">
      <c r="A268" s="253"/>
      <c r="B268" s="244"/>
      <c r="C268" s="250"/>
      <c r="D268" s="132" t="s">
        <v>1193</v>
      </c>
      <c r="E268" s="133"/>
      <c r="F268" s="128" t="s">
        <v>1253</v>
      </c>
      <c r="G268" s="126">
        <v>0.125</v>
      </c>
      <c r="H268" s="127">
        <v>0.33333333333333298</v>
      </c>
      <c r="I268" s="109">
        <f t="shared" si="4"/>
        <v>0.62499999999999956</v>
      </c>
      <c r="J268" s="134">
        <v>0.9</v>
      </c>
      <c r="K268" s="133" t="s">
        <v>1424</v>
      </c>
      <c r="L268" s="136"/>
    </row>
    <row r="269" spans="1:12" ht="14.4" customHeight="1">
      <c r="A269" s="253"/>
      <c r="B269" s="244"/>
      <c r="C269" s="243" t="s">
        <v>1196</v>
      </c>
      <c r="D269" s="78" t="s">
        <v>1191</v>
      </c>
      <c r="E269" s="159"/>
      <c r="F269" s="111" t="s">
        <v>1251</v>
      </c>
      <c r="G269" s="107">
        <v>0.33333333333333331</v>
      </c>
      <c r="H269" s="108">
        <v>0.33333333333333298</v>
      </c>
      <c r="I269" s="109">
        <f t="shared" si="4"/>
        <v>0</v>
      </c>
      <c r="J269" s="109">
        <v>0.9</v>
      </c>
      <c r="K269" s="82" t="s">
        <v>1420</v>
      </c>
      <c r="L269" s="112"/>
    </row>
    <row r="270" spans="1:12" ht="14.4" customHeight="1">
      <c r="A270" s="253"/>
      <c r="B270" s="244"/>
      <c r="C270" s="244"/>
      <c r="D270" s="78" t="s">
        <v>1191</v>
      </c>
      <c r="E270" s="159"/>
      <c r="F270" s="106" t="s">
        <v>1252</v>
      </c>
      <c r="G270" s="107">
        <v>0.33333333333333331</v>
      </c>
      <c r="H270" s="108">
        <v>0.33333333333333298</v>
      </c>
      <c r="I270" s="109">
        <f t="shared" si="4"/>
        <v>0</v>
      </c>
      <c r="J270" s="109">
        <v>0.9</v>
      </c>
      <c r="K270" s="82" t="s">
        <v>1420</v>
      </c>
      <c r="L270" s="82"/>
    </row>
    <row r="271" spans="1:12" ht="14.4" customHeight="1">
      <c r="A271" s="253"/>
      <c r="B271" s="244"/>
      <c r="C271" s="245"/>
      <c r="D271" s="78" t="s">
        <v>1191</v>
      </c>
      <c r="E271" s="113"/>
      <c r="F271" s="114" t="s">
        <v>1253</v>
      </c>
      <c r="G271" s="107"/>
      <c r="H271" s="108">
        <v>0.33333333333333298</v>
      </c>
      <c r="I271" s="109">
        <f t="shared" si="4"/>
        <v>1</v>
      </c>
      <c r="J271" s="109">
        <v>0.9</v>
      </c>
      <c r="K271" s="82"/>
      <c r="L271" s="82"/>
    </row>
    <row r="272" spans="1:12" ht="14.4" customHeight="1">
      <c r="A272" s="253"/>
      <c r="B272" s="244"/>
      <c r="C272" s="248" t="s">
        <v>1197</v>
      </c>
      <c r="D272" s="132" t="s">
        <v>1192</v>
      </c>
      <c r="E272" s="158"/>
      <c r="F272" s="125" t="s">
        <v>1251</v>
      </c>
      <c r="G272" s="126">
        <v>0.33333333333333331</v>
      </c>
      <c r="H272" s="127">
        <v>0.33333333333333298</v>
      </c>
      <c r="I272" s="109">
        <f t="shared" si="4"/>
        <v>0</v>
      </c>
      <c r="J272" s="134">
        <v>0.9</v>
      </c>
      <c r="K272" s="133" t="s">
        <v>1420</v>
      </c>
      <c r="L272" s="137"/>
    </row>
    <row r="273" spans="1:12" ht="14.4" customHeight="1">
      <c r="A273" s="253"/>
      <c r="B273" s="244"/>
      <c r="C273" s="249"/>
      <c r="D273" s="132" t="s">
        <v>1192</v>
      </c>
      <c r="E273" s="158"/>
      <c r="F273" s="129" t="s">
        <v>1252</v>
      </c>
      <c r="G273" s="126">
        <v>0.33333333333333331</v>
      </c>
      <c r="H273" s="127">
        <v>0.33333333333333298</v>
      </c>
      <c r="I273" s="109">
        <f t="shared" si="4"/>
        <v>0</v>
      </c>
      <c r="J273" s="134">
        <v>0.9</v>
      </c>
      <c r="K273" s="135" t="s">
        <v>1420</v>
      </c>
      <c r="L273" s="136"/>
    </row>
    <row r="274" spans="1:12" ht="14.4" customHeight="1" thickBot="1">
      <c r="A274" s="253"/>
      <c r="B274" s="245"/>
      <c r="C274" s="250"/>
      <c r="D274" s="132" t="s">
        <v>1192</v>
      </c>
      <c r="E274" s="133"/>
      <c r="F274" s="128" t="s">
        <v>1253</v>
      </c>
      <c r="G274" s="126"/>
      <c r="H274" s="127">
        <v>0.33333333333333298</v>
      </c>
      <c r="I274" s="109">
        <f t="shared" si="4"/>
        <v>1</v>
      </c>
      <c r="J274" s="134">
        <v>0.9</v>
      </c>
      <c r="K274" s="133"/>
      <c r="L274" s="136"/>
    </row>
    <row r="275" spans="1:12" ht="14.4" customHeight="1">
      <c r="A275" s="253"/>
      <c r="B275" s="251">
        <v>45806</v>
      </c>
      <c r="C275" s="243" t="s">
        <v>1198</v>
      </c>
      <c r="D275" s="110"/>
      <c r="E275" s="156"/>
      <c r="F275" s="111" t="s">
        <v>1251</v>
      </c>
      <c r="G275" s="107"/>
      <c r="H275" s="108">
        <v>0.33333333333333331</v>
      </c>
      <c r="I275" s="109">
        <f>1-(G275/H275)</f>
        <v>1</v>
      </c>
      <c r="J275" s="109">
        <v>0.9</v>
      </c>
      <c r="K275" s="82" t="s">
        <v>1420</v>
      </c>
      <c r="L275" s="168" t="s">
        <v>1425</v>
      </c>
    </row>
    <row r="276" spans="1:12" ht="14.4" customHeight="1">
      <c r="A276" s="253"/>
      <c r="B276" s="244"/>
      <c r="C276" s="244"/>
      <c r="D276" s="110"/>
      <c r="E276" s="156"/>
      <c r="F276" s="111" t="s">
        <v>1252</v>
      </c>
      <c r="G276" s="107"/>
      <c r="H276" s="108">
        <v>0.33333333333333331</v>
      </c>
      <c r="I276" s="109">
        <f>1-(G276/H276)</f>
        <v>1</v>
      </c>
      <c r="J276" s="109">
        <v>0.9</v>
      </c>
      <c r="K276" s="82" t="s">
        <v>1420</v>
      </c>
      <c r="L276" s="168" t="s">
        <v>1425</v>
      </c>
    </row>
    <row r="277" spans="1:12" ht="14.4" customHeight="1">
      <c r="A277" s="253"/>
      <c r="B277" s="244"/>
      <c r="C277" s="245"/>
      <c r="D277" s="110"/>
      <c r="E277" s="157"/>
      <c r="F277" s="114" t="s">
        <v>1253</v>
      </c>
      <c r="G277" s="107"/>
      <c r="H277" s="108">
        <v>0.33333333333333298</v>
      </c>
      <c r="I277" s="109">
        <f t="shared" ref="I277:I301" si="9">1-(G277/H277)</f>
        <v>1</v>
      </c>
      <c r="J277" s="109">
        <v>0.9</v>
      </c>
      <c r="K277" s="82"/>
      <c r="L277" s="168" t="s">
        <v>1425</v>
      </c>
    </row>
    <row r="278" spans="1:12" ht="14.4" customHeight="1">
      <c r="A278" s="253"/>
      <c r="B278" s="244"/>
      <c r="C278" s="248" t="s">
        <v>1196</v>
      </c>
      <c r="D278" s="132"/>
      <c r="E278" s="158"/>
      <c r="F278" s="125" t="s">
        <v>1251</v>
      </c>
      <c r="G278" s="126"/>
      <c r="H278" s="127">
        <v>0.33333333333333298</v>
      </c>
      <c r="I278" s="109">
        <f t="shared" si="9"/>
        <v>1</v>
      </c>
      <c r="J278" s="134">
        <v>0.9</v>
      </c>
      <c r="K278" s="135" t="s">
        <v>1420</v>
      </c>
      <c r="L278" s="168" t="s">
        <v>1425</v>
      </c>
    </row>
    <row r="279" spans="1:12" ht="14.4" customHeight="1">
      <c r="A279" s="253"/>
      <c r="B279" s="244"/>
      <c r="C279" s="249"/>
      <c r="D279" s="132"/>
      <c r="E279" s="158"/>
      <c r="F279" s="125" t="s">
        <v>1252</v>
      </c>
      <c r="G279" s="126"/>
      <c r="H279" s="127">
        <v>0.33333333333333298</v>
      </c>
      <c r="I279" s="109">
        <f t="shared" si="9"/>
        <v>1</v>
      </c>
      <c r="J279" s="134">
        <v>0.9</v>
      </c>
      <c r="K279" s="135" t="s">
        <v>1420</v>
      </c>
      <c r="L279" s="168" t="s">
        <v>1425</v>
      </c>
    </row>
    <row r="280" spans="1:12" ht="14.4" customHeight="1">
      <c r="A280" s="253"/>
      <c r="B280" s="244"/>
      <c r="C280" s="250"/>
      <c r="D280" s="132"/>
      <c r="E280" s="133"/>
      <c r="F280" s="128" t="s">
        <v>1253</v>
      </c>
      <c r="G280" s="126"/>
      <c r="H280" s="127">
        <v>0.33333333333333298</v>
      </c>
      <c r="I280" s="109">
        <f t="shared" si="9"/>
        <v>1</v>
      </c>
      <c r="J280" s="134">
        <v>0.9</v>
      </c>
      <c r="K280" s="133"/>
      <c r="L280" s="168" t="s">
        <v>1425</v>
      </c>
    </row>
    <row r="281" spans="1:12" ht="14.4" customHeight="1">
      <c r="A281" s="253"/>
      <c r="B281" s="244"/>
      <c r="C281" s="243" t="s">
        <v>1197</v>
      </c>
      <c r="D281" s="78"/>
      <c r="E281" s="159"/>
      <c r="F281" s="111" t="s">
        <v>1251</v>
      </c>
      <c r="G281" s="107"/>
      <c r="H281" s="108">
        <v>0.33333333333333298</v>
      </c>
      <c r="I281" s="109">
        <f t="shared" si="9"/>
        <v>1</v>
      </c>
      <c r="J281" s="109">
        <v>0.9</v>
      </c>
      <c r="K281" s="82" t="s">
        <v>1420</v>
      </c>
      <c r="L281" s="168" t="s">
        <v>1425</v>
      </c>
    </row>
    <row r="282" spans="1:12" ht="14.4" customHeight="1">
      <c r="A282" s="253"/>
      <c r="B282" s="244"/>
      <c r="C282" s="244"/>
      <c r="D282" s="78"/>
      <c r="E282" s="159"/>
      <c r="F282" s="111" t="s">
        <v>1252</v>
      </c>
      <c r="G282" s="107"/>
      <c r="H282" s="108">
        <v>0.33333333333333298</v>
      </c>
      <c r="I282" s="109">
        <f t="shared" si="9"/>
        <v>1</v>
      </c>
      <c r="J282" s="109">
        <v>0.9</v>
      </c>
      <c r="K282" s="82" t="s">
        <v>1420</v>
      </c>
      <c r="L282" s="168" t="s">
        <v>1425</v>
      </c>
    </row>
    <row r="283" spans="1:12" ht="15" customHeight="1" thickBot="1">
      <c r="A283" s="253"/>
      <c r="B283" s="245"/>
      <c r="C283" s="245"/>
      <c r="D283" s="78"/>
      <c r="E283" s="113"/>
      <c r="F283" s="114" t="s">
        <v>1253</v>
      </c>
      <c r="G283" s="107"/>
      <c r="H283" s="108">
        <v>0.33333333333333298</v>
      </c>
      <c r="I283" s="109">
        <f t="shared" si="9"/>
        <v>1</v>
      </c>
      <c r="J283" s="109">
        <v>0.9</v>
      </c>
      <c r="K283" s="82"/>
      <c r="L283" s="168" t="s">
        <v>1425</v>
      </c>
    </row>
    <row r="284" spans="1:12" ht="14.4" customHeight="1">
      <c r="A284" s="253"/>
      <c r="B284" s="251">
        <v>45807</v>
      </c>
      <c r="C284" s="248" t="s">
        <v>1198</v>
      </c>
      <c r="D284" s="132" t="s">
        <v>1194</v>
      </c>
      <c r="E284" s="158"/>
      <c r="F284" s="125" t="s">
        <v>1251</v>
      </c>
      <c r="G284" s="126">
        <v>0.33333333333333331</v>
      </c>
      <c r="H284" s="127">
        <v>0.33333333333333298</v>
      </c>
      <c r="I284" s="109">
        <f t="shared" si="9"/>
        <v>0</v>
      </c>
      <c r="J284" s="134">
        <v>0.9</v>
      </c>
      <c r="K284" s="135" t="s">
        <v>1420</v>
      </c>
      <c r="L284" s="137"/>
    </row>
    <row r="285" spans="1:12" ht="14.4" customHeight="1">
      <c r="A285" s="253"/>
      <c r="B285" s="244"/>
      <c r="C285" s="249"/>
      <c r="D285" s="132" t="s">
        <v>1194</v>
      </c>
      <c r="E285" s="158"/>
      <c r="F285" s="125" t="s">
        <v>1252</v>
      </c>
      <c r="G285" s="126">
        <v>0.33333333333333331</v>
      </c>
      <c r="H285" s="127">
        <v>0.33333333333333298</v>
      </c>
      <c r="I285" s="109">
        <f t="shared" si="9"/>
        <v>0</v>
      </c>
      <c r="J285" s="134">
        <v>0.9</v>
      </c>
      <c r="K285" s="135" t="s">
        <v>1420</v>
      </c>
      <c r="L285" s="136"/>
    </row>
    <row r="286" spans="1:12" ht="14.4" customHeight="1">
      <c r="A286" s="253"/>
      <c r="B286" s="244"/>
      <c r="C286" s="250"/>
      <c r="D286" s="132" t="s">
        <v>1194</v>
      </c>
      <c r="E286" s="133"/>
      <c r="F286" s="128" t="s">
        <v>1253</v>
      </c>
      <c r="G286" s="126">
        <v>8.3333333333333329E-2</v>
      </c>
      <c r="H286" s="127">
        <v>0.33333333333333298</v>
      </c>
      <c r="I286" s="109">
        <f t="shared" si="9"/>
        <v>0.74999999999999978</v>
      </c>
      <c r="J286" s="134">
        <v>0.9</v>
      </c>
      <c r="K286" s="133" t="s">
        <v>1426</v>
      </c>
      <c r="L286" s="136"/>
    </row>
    <row r="287" spans="1:12" ht="14.4" customHeight="1">
      <c r="A287" s="253"/>
      <c r="B287" s="244"/>
      <c r="C287" s="243" t="s">
        <v>1196</v>
      </c>
      <c r="D287" s="78" t="s">
        <v>1193</v>
      </c>
      <c r="E287" s="159"/>
      <c r="F287" s="111" t="s">
        <v>1251</v>
      </c>
      <c r="G287" s="107">
        <v>0.33333333333333331</v>
      </c>
      <c r="H287" s="108">
        <v>0.33333333333333298</v>
      </c>
      <c r="I287" s="109">
        <f t="shared" si="9"/>
        <v>0</v>
      </c>
      <c r="J287" s="109">
        <v>0.9</v>
      </c>
      <c r="K287" s="82" t="s">
        <v>1420</v>
      </c>
      <c r="L287" s="112"/>
    </row>
    <row r="288" spans="1:12" ht="14.4" customHeight="1">
      <c r="A288" s="253"/>
      <c r="B288" s="244"/>
      <c r="C288" s="244"/>
      <c r="D288" s="78" t="s">
        <v>1193</v>
      </c>
      <c r="E288" s="159"/>
      <c r="F288" s="111" t="s">
        <v>1252</v>
      </c>
      <c r="G288" s="107">
        <v>0.33333333333333331</v>
      </c>
      <c r="H288" s="108">
        <v>0.33333333333333298</v>
      </c>
      <c r="I288" s="109">
        <f t="shared" si="9"/>
        <v>0</v>
      </c>
      <c r="J288" s="109">
        <v>0.9</v>
      </c>
      <c r="K288" s="82" t="s">
        <v>1420</v>
      </c>
      <c r="L288" s="82"/>
    </row>
    <row r="289" spans="1:12" ht="14.4" customHeight="1">
      <c r="A289" s="253"/>
      <c r="B289" s="244"/>
      <c r="C289" s="245"/>
      <c r="D289" s="78" t="s">
        <v>1193</v>
      </c>
      <c r="E289" s="113"/>
      <c r="F289" s="114" t="s">
        <v>1253</v>
      </c>
      <c r="G289" s="107">
        <v>2.5694444444444443E-2</v>
      </c>
      <c r="H289" s="108">
        <v>0.33333333333333298</v>
      </c>
      <c r="I289" s="109">
        <f t="shared" si="9"/>
        <v>0.92291666666666661</v>
      </c>
      <c r="J289" s="109">
        <v>0.9</v>
      </c>
      <c r="K289" s="82" t="s">
        <v>1426</v>
      </c>
      <c r="L289" s="82"/>
    </row>
    <row r="290" spans="1:12" ht="14.4" customHeight="1">
      <c r="A290" s="253"/>
      <c r="B290" s="244"/>
      <c r="C290" s="248" t="s">
        <v>1197</v>
      </c>
      <c r="D290" s="132" t="s">
        <v>1191</v>
      </c>
      <c r="E290" s="158"/>
      <c r="F290" s="125" t="s">
        <v>1251</v>
      </c>
      <c r="G290" s="126">
        <v>0.33333333333333331</v>
      </c>
      <c r="H290" s="127">
        <v>0.33333333333333298</v>
      </c>
      <c r="I290" s="109">
        <f t="shared" si="9"/>
        <v>0</v>
      </c>
      <c r="J290" s="134">
        <v>0.9</v>
      </c>
      <c r="K290" s="135" t="s">
        <v>1420</v>
      </c>
      <c r="L290" s="137"/>
    </row>
    <row r="291" spans="1:12" ht="14.4" customHeight="1">
      <c r="A291" s="253"/>
      <c r="B291" s="244"/>
      <c r="C291" s="249"/>
      <c r="D291" s="132" t="s">
        <v>1191</v>
      </c>
      <c r="E291" s="158"/>
      <c r="F291" s="129" t="s">
        <v>1252</v>
      </c>
      <c r="G291" s="126">
        <v>0.33333333333333331</v>
      </c>
      <c r="H291" s="127">
        <v>0.33333333333333298</v>
      </c>
      <c r="I291" s="109">
        <f t="shared" si="9"/>
        <v>0</v>
      </c>
      <c r="J291" s="134">
        <v>0.9</v>
      </c>
      <c r="K291" s="135" t="s">
        <v>1420</v>
      </c>
      <c r="L291" s="136"/>
    </row>
    <row r="292" spans="1:12" ht="15" customHeight="1" thickBot="1">
      <c r="A292" s="253"/>
      <c r="B292" s="245"/>
      <c r="C292" s="250"/>
      <c r="D292" s="132" t="s">
        <v>1191</v>
      </c>
      <c r="E292" s="133"/>
      <c r="F292" s="128" t="s">
        <v>1253</v>
      </c>
      <c r="G292" s="126">
        <v>6.25E-2</v>
      </c>
      <c r="H292" s="131">
        <v>0.33333333333333298</v>
      </c>
      <c r="I292" s="115">
        <f t="shared" si="9"/>
        <v>0.81249999999999978</v>
      </c>
      <c r="J292" s="134">
        <v>0.9</v>
      </c>
      <c r="K292" s="133" t="s">
        <v>1427</v>
      </c>
      <c r="L292" s="136"/>
    </row>
    <row r="293" spans="1:12" ht="14.4" customHeight="1">
      <c r="A293" s="253"/>
      <c r="B293" s="251">
        <v>45808</v>
      </c>
      <c r="C293" s="243" t="s">
        <v>1198</v>
      </c>
      <c r="D293" s="78" t="s">
        <v>1192</v>
      </c>
      <c r="E293" s="159"/>
      <c r="F293" s="111" t="s">
        <v>1251</v>
      </c>
      <c r="G293" s="107"/>
      <c r="H293" s="108">
        <v>0.33333333333333298</v>
      </c>
      <c r="I293" s="109">
        <f t="shared" si="9"/>
        <v>1</v>
      </c>
      <c r="J293" s="109">
        <v>0.9</v>
      </c>
      <c r="K293" s="82"/>
      <c r="L293" s="169" t="s">
        <v>1428</v>
      </c>
    </row>
    <row r="294" spans="1:12" ht="14.4" customHeight="1">
      <c r="A294" s="253"/>
      <c r="B294" s="244"/>
      <c r="C294" s="244"/>
      <c r="D294" s="78" t="s">
        <v>1192</v>
      </c>
      <c r="E294" s="159"/>
      <c r="F294" s="106" t="s">
        <v>1252</v>
      </c>
      <c r="G294" s="107"/>
      <c r="H294" s="108">
        <v>0.33333333333333298</v>
      </c>
      <c r="I294" s="109">
        <f t="shared" si="9"/>
        <v>1</v>
      </c>
      <c r="J294" s="109">
        <v>0.9</v>
      </c>
      <c r="K294" s="82"/>
      <c r="L294" s="169" t="s">
        <v>1428</v>
      </c>
    </row>
    <row r="295" spans="1:12" ht="14.4" customHeight="1">
      <c r="A295" s="253"/>
      <c r="B295" s="244"/>
      <c r="C295" s="245"/>
      <c r="D295" s="78" t="s">
        <v>1192</v>
      </c>
      <c r="E295" s="113"/>
      <c r="F295" s="114" t="s">
        <v>1253</v>
      </c>
      <c r="G295" s="107"/>
      <c r="H295" s="108">
        <v>0.33333333333333298</v>
      </c>
      <c r="I295" s="109">
        <f t="shared" si="9"/>
        <v>1</v>
      </c>
      <c r="J295" s="109">
        <v>0.9</v>
      </c>
      <c r="K295" s="82"/>
      <c r="L295" s="169" t="s">
        <v>1428</v>
      </c>
    </row>
    <row r="296" spans="1:12" ht="14.4" customHeight="1">
      <c r="A296" s="253"/>
      <c r="B296" s="244"/>
      <c r="C296" s="248" t="s">
        <v>1196</v>
      </c>
      <c r="D296" s="132" t="s">
        <v>1194</v>
      </c>
      <c r="E296" s="158"/>
      <c r="F296" s="125" t="s">
        <v>1251</v>
      </c>
      <c r="G296" s="126"/>
      <c r="H296" s="127">
        <v>0.33333333333333298</v>
      </c>
      <c r="I296" s="109">
        <f t="shared" si="9"/>
        <v>1</v>
      </c>
      <c r="J296" s="134">
        <v>0.9</v>
      </c>
      <c r="K296" s="135"/>
      <c r="L296" s="169" t="s">
        <v>1428</v>
      </c>
    </row>
    <row r="297" spans="1:12" ht="14.4" customHeight="1">
      <c r="A297" s="253"/>
      <c r="B297" s="244"/>
      <c r="C297" s="249"/>
      <c r="D297" s="132" t="s">
        <v>1194</v>
      </c>
      <c r="E297" s="158"/>
      <c r="F297" s="129" t="s">
        <v>1252</v>
      </c>
      <c r="G297" s="126"/>
      <c r="H297" s="127">
        <v>0.33333333333333298</v>
      </c>
      <c r="I297" s="109">
        <f t="shared" si="9"/>
        <v>1</v>
      </c>
      <c r="J297" s="134">
        <v>0.9</v>
      </c>
      <c r="K297" s="135"/>
      <c r="L297" s="169" t="s">
        <v>1428</v>
      </c>
    </row>
    <row r="298" spans="1:12" ht="14.4" customHeight="1">
      <c r="A298" s="253"/>
      <c r="B298" s="244"/>
      <c r="C298" s="250"/>
      <c r="D298" s="132" t="s">
        <v>1194</v>
      </c>
      <c r="E298" s="133"/>
      <c r="F298" s="128" t="s">
        <v>1253</v>
      </c>
      <c r="G298" s="126"/>
      <c r="H298" s="127">
        <v>0.33333333333333298</v>
      </c>
      <c r="I298" s="109">
        <f t="shared" si="9"/>
        <v>1</v>
      </c>
      <c r="J298" s="134">
        <v>0.9</v>
      </c>
      <c r="K298" s="133"/>
      <c r="L298" s="169" t="s">
        <v>1428</v>
      </c>
    </row>
    <row r="299" spans="1:12" ht="14.4" customHeight="1">
      <c r="A299" s="253"/>
      <c r="B299" s="244"/>
      <c r="C299" s="243" t="s">
        <v>1197</v>
      </c>
      <c r="D299" s="78" t="s">
        <v>1193</v>
      </c>
      <c r="E299" s="159"/>
      <c r="F299" s="111" t="s">
        <v>1251</v>
      </c>
      <c r="G299" s="107"/>
      <c r="H299" s="108">
        <v>0.33333333333333298</v>
      </c>
      <c r="I299" s="109">
        <f t="shared" si="9"/>
        <v>1</v>
      </c>
      <c r="J299" s="109">
        <v>0.9</v>
      </c>
      <c r="K299" s="82"/>
      <c r="L299" s="169" t="s">
        <v>1428</v>
      </c>
    </row>
    <row r="300" spans="1:12" ht="14.4" customHeight="1">
      <c r="A300" s="253"/>
      <c r="B300" s="244"/>
      <c r="C300" s="244"/>
      <c r="D300" s="78" t="s">
        <v>1193</v>
      </c>
      <c r="E300" s="159"/>
      <c r="F300" s="106" t="s">
        <v>1252</v>
      </c>
      <c r="G300" s="107"/>
      <c r="H300" s="108">
        <v>0.33333333333333298</v>
      </c>
      <c r="I300" s="109">
        <f t="shared" si="9"/>
        <v>1</v>
      </c>
      <c r="J300" s="109">
        <v>0.9</v>
      </c>
      <c r="K300" s="82"/>
      <c r="L300" s="169" t="s">
        <v>1428</v>
      </c>
    </row>
    <row r="301" spans="1:12" ht="15" customHeight="1">
      <c r="A301" s="253"/>
      <c r="B301" s="245"/>
      <c r="C301" s="245"/>
      <c r="D301" s="78" t="s">
        <v>1193</v>
      </c>
      <c r="E301" s="113"/>
      <c r="F301" s="114" t="s">
        <v>1253</v>
      </c>
      <c r="G301" s="107"/>
      <c r="H301" s="108">
        <v>0.33333333333333298</v>
      </c>
      <c r="I301" s="109">
        <f t="shared" si="9"/>
        <v>1</v>
      </c>
      <c r="J301" s="109">
        <v>0.9</v>
      </c>
      <c r="K301" s="82"/>
      <c r="L301" s="169" t="s">
        <v>1428</v>
      </c>
    </row>
    <row r="302" spans="1:12" ht="14.4" customHeight="1">
      <c r="A302" s="253"/>
      <c r="B302" s="117"/>
      <c r="C302" s="117"/>
      <c r="D302" s="118"/>
      <c r="E302" s="118"/>
      <c r="F302" s="119" t="s">
        <v>1251</v>
      </c>
      <c r="G302" s="124"/>
      <c r="H302" s="124"/>
      <c r="I302" s="120">
        <f>AVERAGEIF(F248:F301,F302,I248:I301)</f>
        <v>0.33333333333333331</v>
      </c>
      <c r="J302" s="121">
        <v>0.9</v>
      </c>
      <c r="K302" s="118"/>
      <c r="L302" s="116"/>
    </row>
    <row r="303" spans="1:12" ht="14.4" customHeight="1">
      <c r="A303" s="253"/>
      <c r="B303" s="117"/>
      <c r="C303" s="117"/>
      <c r="D303" s="118"/>
      <c r="E303" s="118"/>
      <c r="F303" s="119" t="s">
        <v>1252</v>
      </c>
      <c r="G303" s="124"/>
      <c r="H303" s="124"/>
      <c r="I303" s="120">
        <f>AVERAGEIF(F248:F301,F303,I248:I301)</f>
        <v>0.33333333333333331</v>
      </c>
      <c r="J303" s="121">
        <v>0.9</v>
      </c>
      <c r="K303" s="118"/>
      <c r="L303" s="116"/>
    </row>
    <row r="304" spans="1:12" ht="14.4" customHeight="1">
      <c r="A304" s="253"/>
      <c r="B304" s="117"/>
      <c r="C304" s="117"/>
      <c r="D304" s="118"/>
      <c r="E304" s="118"/>
      <c r="F304" s="119" t="s">
        <v>1253</v>
      </c>
      <c r="G304" s="124"/>
      <c r="H304" s="124"/>
      <c r="I304" s="120">
        <f>AVERAGEIF(F248:F301,F304,I248:I301)</f>
        <v>0.91412037037037031</v>
      </c>
      <c r="J304" s="121">
        <v>0.9</v>
      </c>
      <c r="K304" s="118"/>
      <c r="L304" s="116"/>
    </row>
  </sheetData>
  <mergeCells count="170">
    <mergeCell ref="N13:O13"/>
    <mergeCell ref="A182:A247"/>
    <mergeCell ref="A248:A304"/>
    <mergeCell ref="A1:F1"/>
    <mergeCell ref="G1:J1"/>
    <mergeCell ref="K1:L1"/>
    <mergeCell ref="A2:L2"/>
    <mergeCell ref="A3:F3"/>
    <mergeCell ref="G3:J3"/>
    <mergeCell ref="K3:L3"/>
    <mergeCell ref="A4:F4"/>
    <mergeCell ref="G4:J4"/>
    <mergeCell ref="K4:L4"/>
    <mergeCell ref="A11:A49"/>
    <mergeCell ref="B11:B19"/>
    <mergeCell ref="C11:C13"/>
    <mergeCell ref="C14:C16"/>
    <mergeCell ref="B20:B28"/>
    <mergeCell ref="C20:C22"/>
    <mergeCell ref="B29:B37"/>
    <mergeCell ref="A50:A115"/>
    <mergeCell ref="B50:B58"/>
    <mergeCell ref="C50:C52"/>
    <mergeCell ref="C53:C55"/>
    <mergeCell ref="C56:C58"/>
    <mergeCell ref="N22:N23"/>
    <mergeCell ref="O22:O23"/>
    <mergeCell ref="B38:B46"/>
    <mergeCell ref="C38:C40"/>
    <mergeCell ref="P22:P23"/>
    <mergeCell ref="Q22:Q23"/>
    <mergeCell ref="C23:C25"/>
    <mergeCell ref="P24:P27"/>
    <mergeCell ref="Q24:Q27"/>
    <mergeCell ref="C26:C28"/>
    <mergeCell ref="C35:C37"/>
    <mergeCell ref="N36:N37"/>
    <mergeCell ref="O36:O37"/>
    <mergeCell ref="P36:P37"/>
    <mergeCell ref="Q36:Q37"/>
    <mergeCell ref="P45:P48"/>
    <mergeCell ref="Q45:Q48"/>
    <mergeCell ref="N15:N16"/>
    <mergeCell ref="O15:O16"/>
    <mergeCell ref="P15:P16"/>
    <mergeCell ref="Q15:Q16"/>
    <mergeCell ref="C17:C19"/>
    <mergeCell ref="P17:P19"/>
    <mergeCell ref="Q17:Q19"/>
    <mergeCell ref="P38:P41"/>
    <mergeCell ref="Q38:Q41"/>
    <mergeCell ref="C41:C43"/>
    <mergeCell ref="C29:C31"/>
    <mergeCell ref="N29:N30"/>
    <mergeCell ref="O29:O30"/>
    <mergeCell ref="P29:P30"/>
    <mergeCell ref="Q29:Q30"/>
    <mergeCell ref="P31:P34"/>
    <mergeCell ref="Q31:Q34"/>
    <mergeCell ref="C32:C34"/>
    <mergeCell ref="N43:N44"/>
    <mergeCell ref="O43:O44"/>
    <mergeCell ref="P43:P44"/>
    <mergeCell ref="Q43:Q44"/>
    <mergeCell ref="C44:C46"/>
    <mergeCell ref="B59:B67"/>
    <mergeCell ref="C59:C61"/>
    <mergeCell ref="C62:C64"/>
    <mergeCell ref="C65:C67"/>
    <mergeCell ref="B68:B76"/>
    <mergeCell ref="C68:C70"/>
    <mergeCell ref="C71:C73"/>
    <mergeCell ref="C74:C76"/>
    <mergeCell ref="B95:B103"/>
    <mergeCell ref="C95:C97"/>
    <mergeCell ref="C98:C100"/>
    <mergeCell ref="C101:C103"/>
    <mergeCell ref="B104:B112"/>
    <mergeCell ref="C104:C106"/>
    <mergeCell ref="C107:C109"/>
    <mergeCell ref="C110:C112"/>
    <mergeCell ref="B77:B85"/>
    <mergeCell ref="C77:C79"/>
    <mergeCell ref="C80:C82"/>
    <mergeCell ref="C83:C85"/>
    <mergeCell ref="B86:B94"/>
    <mergeCell ref="C86:C88"/>
    <mergeCell ref="C89:C91"/>
    <mergeCell ref="C92:C94"/>
    <mergeCell ref="C134:C136"/>
    <mergeCell ref="C137:C139"/>
    <mergeCell ref="C140:C142"/>
    <mergeCell ref="B143:B151"/>
    <mergeCell ref="C143:C145"/>
    <mergeCell ref="C146:C148"/>
    <mergeCell ref="C149:C151"/>
    <mergeCell ref="A116:A181"/>
    <mergeCell ref="B116:B124"/>
    <mergeCell ref="C116:C118"/>
    <mergeCell ref="C119:C121"/>
    <mergeCell ref="C122:C124"/>
    <mergeCell ref="B125:B133"/>
    <mergeCell ref="C125:C127"/>
    <mergeCell ref="C128:C130"/>
    <mergeCell ref="C131:C133"/>
    <mergeCell ref="B134:B142"/>
    <mergeCell ref="C176:C178"/>
    <mergeCell ref="B152:B160"/>
    <mergeCell ref="C152:C154"/>
    <mergeCell ref="C155:C157"/>
    <mergeCell ref="C158:C160"/>
    <mergeCell ref="B161:B169"/>
    <mergeCell ref="C161:C163"/>
    <mergeCell ref="C164:C166"/>
    <mergeCell ref="C167:C169"/>
    <mergeCell ref="C191:C193"/>
    <mergeCell ref="B200:B208"/>
    <mergeCell ref="C200:C202"/>
    <mergeCell ref="C203:C205"/>
    <mergeCell ref="C206:C208"/>
    <mergeCell ref="B170:B178"/>
    <mergeCell ref="C170:C172"/>
    <mergeCell ref="C173:C175"/>
    <mergeCell ref="B182:B190"/>
    <mergeCell ref="C182:C184"/>
    <mergeCell ref="C185:C187"/>
    <mergeCell ref="C188:C190"/>
    <mergeCell ref="B191:B199"/>
    <mergeCell ref="C194:C196"/>
    <mergeCell ref="C197:C199"/>
    <mergeCell ref="B236:B244"/>
    <mergeCell ref="C236:C238"/>
    <mergeCell ref="C239:C241"/>
    <mergeCell ref="C242:C244"/>
    <mergeCell ref="B266:B274"/>
    <mergeCell ref="C266:C268"/>
    <mergeCell ref="C269:C271"/>
    <mergeCell ref="C272:C274"/>
    <mergeCell ref="B209:B217"/>
    <mergeCell ref="C209:C211"/>
    <mergeCell ref="C212:C214"/>
    <mergeCell ref="C215:C217"/>
    <mergeCell ref="B248:B256"/>
    <mergeCell ref="C248:C250"/>
    <mergeCell ref="C251:C253"/>
    <mergeCell ref="C254:C256"/>
    <mergeCell ref="B218:B226"/>
    <mergeCell ref="C218:C220"/>
    <mergeCell ref="C221:C223"/>
    <mergeCell ref="C224:C226"/>
    <mergeCell ref="B227:B235"/>
    <mergeCell ref="C227:C229"/>
    <mergeCell ref="C230:C232"/>
    <mergeCell ref="C233:C235"/>
    <mergeCell ref="B293:B301"/>
    <mergeCell ref="C293:C295"/>
    <mergeCell ref="C296:C298"/>
    <mergeCell ref="C299:C301"/>
    <mergeCell ref="B257:B265"/>
    <mergeCell ref="C257:C259"/>
    <mergeCell ref="C260:C262"/>
    <mergeCell ref="C263:C265"/>
    <mergeCell ref="B275:B283"/>
    <mergeCell ref="C275:C277"/>
    <mergeCell ref="C278:C280"/>
    <mergeCell ref="C281:C283"/>
    <mergeCell ref="B284:B292"/>
    <mergeCell ref="C284:C286"/>
    <mergeCell ref="C287:C289"/>
    <mergeCell ref="C290:C292"/>
  </mergeCells>
  <phoneticPr fontId="13" type="noConversion"/>
  <conditionalFormatting sqref="F11:F46">
    <cfRule type="containsText" dxfId="125" priority="2" operator="containsText" text="P'SUP">
      <formula>NOT(ISERROR(SEARCH("P'SUP",F11)))</formula>
    </cfRule>
    <cfRule type="containsText" dxfId="124" priority="3" operator="containsText" text="P'NUT">
      <formula>NOT(ISERROR(SEARCH("P'NUT",F11)))</formula>
    </cfRule>
  </conditionalFormatting>
  <conditionalFormatting sqref="F11:F304">
    <cfRule type="containsText" dxfId="123" priority="4" operator="containsText" text="P'SUP">
      <formula>NOT(ISERROR(SEARCH("P'SUP",F11)))</formula>
    </cfRule>
  </conditionalFormatting>
  <conditionalFormatting sqref="F47:F304">
    <cfRule type="containsText" dxfId="122" priority="13" operator="containsText" text="P'NUT">
      <formula>NOT(ISERROR(SEARCH("P'NUT",F47)))</formula>
    </cfRule>
    <cfRule type="containsText" dxfId="121" priority="14" operator="containsText" text="P'SUP">
      <formula>NOT(ISERROR(SEARCH("P'SUP",F47)))</formula>
    </cfRule>
  </conditionalFormatting>
  <conditionalFormatting sqref="I11:I304">
    <cfRule type="cellIs" dxfId="120" priority="11" operator="greaterThan">
      <formula>0.85</formula>
    </cfRule>
    <cfRule type="cellIs" dxfId="119" priority="12" operator="lessThan">
      <formula>0.85</formula>
    </cfRule>
  </conditionalFormatting>
  <conditionalFormatting sqref="O25:O27">
    <cfRule type="cellIs" dxfId="118" priority="7" operator="lessThan">
      <formula>0.85</formula>
    </cfRule>
  </conditionalFormatting>
  <conditionalFormatting sqref="O17:P19">
    <cfRule type="cellIs" dxfId="117" priority="10" operator="lessThan">
      <formula>0.85</formula>
    </cfRule>
  </conditionalFormatting>
  <conditionalFormatting sqref="O24:P24">
    <cfRule type="cellIs" dxfId="116" priority="9" operator="lessThan">
      <formula>0.85</formula>
    </cfRule>
  </conditionalFormatting>
  <conditionalFormatting sqref="O31:P31 O32:O34">
    <cfRule type="cellIs" dxfId="115" priority="8" operator="lessThan">
      <formula>0.85</formula>
    </cfRule>
  </conditionalFormatting>
  <conditionalFormatting sqref="O38:P38 O39:O41">
    <cfRule type="cellIs" dxfId="114" priority="6" operator="lessThan">
      <formula>0.85</formula>
    </cfRule>
  </conditionalFormatting>
  <conditionalFormatting sqref="O45:P45 O46:O48">
    <cfRule type="cellIs" dxfId="113" priority="1" operator="lessThan">
      <formula>0.85</formula>
    </cfRule>
  </conditionalFormatting>
  <pageMargins left="0.7" right="0.7" top="0.75" bottom="0.75" header="0.3" footer="0.3"/>
  <pageSetup paperSize="9" scale="44" fitToHeight="0"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6B107C7A-9A18-4D98-B916-B775A0652157}">
          <x14:formula1>
            <xm:f>n!$A$2:$A$6</xm:f>
          </x14:formula1>
          <xm:sqref>P31 P24 P38 P45</xm:sqref>
        </x14:dataValidation>
        <x14:dataValidation type="list" allowBlank="1" showInputMessage="1" showErrorMessage="1" xr:uid="{D1C8607E-6736-4137-88CD-30BF77264CEF}">
          <x14:formula1>
            <xm:f>n!$A$8:$A$10</xm:f>
          </x14:formula1>
          <xm:sqref>F11:F304</xm:sqref>
        </x14:dataValidation>
        <x14:dataValidation type="list" allowBlank="1" showInputMessage="1" showErrorMessage="1" xr:uid="{4A3FA3E4-F269-48EA-8475-B4AB91828814}">
          <x14:formula1>
            <xm:f>n!$A$1:$A$6</xm:f>
          </x14:formula1>
          <xm:sqref>D11:E304</xm:sqref>
        </x14:dataValidation>
        <x14:dataValidation type="list" allowBlank="1" showInputMessage="1" showErrorMessage="1" xr:uid="{FE2B6519-B1E9-463D-8063-42941E4ECD56}">
          <x14:formula1>
            <xm:f>n!$B$2:$B$4</xm:f>
          </x14:formula1>
          <xm:sqref>C11:C304</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7B949-B13B-4641-9BF9-AC4487B6162F}">
  <sheetPr>
    <pageSetUpPr fitToPage="1"/>
  </sheetPr>
  <dimension ref="A1:Q298"/>
  <sheetViews>
    <sheetView topLeftCell="F20" zoomScale="80" zoomScaleNormal="80" workbookViewId="0">
      <selection activeCell="O37" sqref="O37"/>
    </sheetView>
  </sheetViews>
  <sheetFormatPr baseColWidth="10" defaultRowHeight="14.4"/>
  <cols>
    <col min="2" max="3" width="13.21875" customWidth="1"/>
    <col min="4" max="4" width="14.88671875" customWidth="1"/>
    <col min="5" max="5" width="14.33203125" customWidth="1"/>
    <col min="7" max="7" width="14.21875" customWidth="1"/>
    <col min="9" max="10" width="14.5546875" customWidth="1"/>
    <col min="11" max="11" width="30.21875" customWidth="1"/>
    <col min="12" max="12" width="30.44140625" customWidth="1"/>
    <col min="14" max="14" width="14.44140625" customWidth="1"/>
    <col min="15" max="15" width="16.77734375" customWidth="1"/>
    <col min="16" max="16" width="15.21875" customWidth="1"/>
    <col min="17" max="17" width="58.5546875" customWidth="1"/>
  </cols>
  <sheetData>
    <row r="1" spans="1:14" ht="38.4" customHeight="1">
      <c r="A1" s="201"/>
      <c r="B1" s="201"/>
      <c r="C1" s="201"/>
      <c r="D1" s="201"/>
      <c r="E1" s="201"/>
      <c r="F1" s="201"/>
      <c r="G1" s="201"/>
      <c r="H1" s="201"/>
      <c r="I1" s="201"/>
      <c r="J1" s="201"/>
      <c r="K1" s="246" t="s">
        <v>1228</v>
      </c>
      <c r="L1" s="246"/>
    </row>
    <row r="2" spans="1:14" ht="26.4" customHeight="1">
      <c r="A2" s="210" t="s">
        <v>1227</v>
      </c>
      <c r="B2" s="210"/>
      <c r="C2" s="210"/>
      <c r="D2" s="210"/>
      <c r="E2" s="210"/>
      <c r="F2" s="210"/>
      <c r="G2" s="210"/>
      <c r="H2" s="210"/>
      <c r="I2" s="210"/>
      <c r="J2" s="210"/>
      <c r="K2" s="210"/>
      <c r="L2" s="210"/>
    </row>
    <row r="3" spans="1:14" ht="26.4" customHeight="1">
      <c r="A3" s="221" t="s">
        <v>1210</v>
      </c>
      <c r="B3" s="222"/>
      <c r="C3" s="222"/>
      <c r="D3" s="222"/>
      <c r="E3" s="222"/>
      <c r="F3" s="222"/>
      <c r="G3" s="221" t="s">
        <v>1209</v>
      </c>
      <c r="H3" s="222"/>
      <c r="I3" s="222"/>
      <c r="J3" s="222"/>
      <c r="K3" s="247" t="s">
        <v>1230</v>
      </c>
      <c r="L3" s="247"/>
      <c r="N3" s="67"/>
    </row>
    <row r="4" spans="1:14" ht="63" customHeight="1">
      <c r="A4" s="221" t="s">
        <v>1224</v>
      </c>
      <c r="B4" s="222"/>
      <c r="C4" s="222"/>
      <c r="D4" s="222"/>
      <c r="E4" s="222"/>
      <c r="F4" s="222"/>
      <c r="G4" s="221" t="s">
        <v>1225</v>
      </c>
      <c r="H4" s="222"/>
      <c r="I4" s="222"/>
      <c r="J4" s="222"/>
      <c r="K4" s="221" t="s">
        <v>1226</v>
      </c>
      <c r="L4" s="221"/>
    </row>
    <row r="5" spans="1:14" ht="14.4" customHeight="1"/>
    <row r="6" spans="1:14" hidden="1"/>
    <row r="7" spans="1:14" hidden="1"/>
    <row r="8" spans="1:14" hidden="1"/>
    <row r="9" spans="1:14" ht="24.6" customHeight="1" thickBot="1"/>
    <row r="10" spans="1:14" ht="36.6" customHeight="1" thickTop="1" thickBot="1">
      <c r="A10" s="139" t="s">
        <v>1190</v>
      </c>
      <c r="B10" s="140" t="s">
        <v>1258</v>
      </c>
      <c r="C10" s="141" t="s">
        <v>1257</v>
      </c>
      <c r="D10" s="141" t="s">
        <v>1250</v>
      </c>
      <c r="E10" s="141" t="s">
        <v>1285</v>
      </c>
      <c r="F10" s="141" t="s">
        <v>1246</v>
      </c>
      <c r="G10" s="142" t="s">
        <v>1259</v>
      </c>
      <c r="H10" s="143" t="s">
        <v>1248</v>
      </c>
      <c r="I10" s="143" t="s">
        <v>1249</v>
      </c>
      <c r="J10" s="143" t="s">
        <v>1254</v>
      </c>
      <c r="K10" s="144" t="s">
        <v>1247</v>
      </c>
      <c r="L10" s="145" t="s">
        <v>1255</v>
      </c>
    </row>
    <row r="11" spans="1:14" ht="14.4" customHeight="1">
      <c r="A11" s="252" t="s">
        <v>1295</v>
      </c>
      <c r="B11" s="251">
        <v>45809</v>
      </c>
      <c r="C11" s="244" t="s">
        <v>1198</v>
      </c>
      <c r="D11" s="78" t="s">
        <v>1192</v>
      </c>
      <c r="E11" s="156"/>
      <c r="F11" s="111" t="s">
        <v>1251</v>
      </c>
      <c r="G11" s="107"/>
      <c r="H11" s="108">
        <v>0.33333333333333331</v>
      </c>
      <c r="I11" s="109">
        <f>1-(G11/H11)</f>
        <v>1</v>
      </c>
      <c r="J11" s="109">
        <v>0.9</v>
      </c>
      <c r="K11" s="82" t="s">
        <v>1478</v>
      </c>
      <c r="L11" s="82"/>
    </row>
    <row r="12" spans="1:14" ht="14.4" customHeight="1">
      <c r="A12" s="253"/>
      <c r="B12" s="244"/>
      <c r="C12" s="244"/>
      <c r="D12" s="78" t="s">
        <v>1192</v>
      </c>
      <c r="E12" s="156"/>
      <c r="F12" s="111" t="s">
        <v>1252</v>
      </c>
      <c r="G12" s="107"/>
      <c r="H12" s="108">
        <v>0.33333333333333331</v>
      </c>
      <c r="I12" s="109">
        <f>1-(G12/H12)</f>
        <v>1</v>
      </c>
      <c r="J12" s="109">
        <v>0.9</v>
      </c>
      <c r="K12" s="82" t="s">
        <v>1478</v>
      </c>
      <c r="L12" s="82"/>
    </row>
    <row r="13" spans="1:14" ht="14.4" customHeight="1">
      <c r="A13" s="253"/>
      <c r="B13" s="244"/>
      <c r="C13" s="245"/>
      <c r="D13" s="78" t="s">
        <v>1192</v>
      </c>
      <c r="E13" s="157"/>
      <c r="F13" s="114" t="s">
        <v>1253</v>
      </c>
      <c r="G13" s="107"/>
      <c r="H13" s="108">
        <v>0.33333333333333298</v>
      </c>
      <c r="I13" s="109">
        <f t="shared" ref="I13:I24" si="0">1-(G13/H13)</f>
        <v>1</v>
      </c>
      <c r="J13" s="109">
        <v>0.9</v>
      </c>
      <c r="K13" s="82" t="s">
        <v>1478</v>
      </c>
      <c r="L13" s="82"/>
    </row>
    <row r="14" spans="1:14" ht="14.4" customHeight="1">
      <c r="A14" s="253"/>
      <c r="B14" s="244"/>
      <c r="C14" s="248" t="s">
        <v>1196</v>
      </c>
      <c r="D14" s="132"/>
      <c r="E14" s="158"/>
      <c r="F14" s="125" t="s">
        <v>1251</v>
      </c>
      <c r="G14" s="126"/>
      <c r="H14" s="127">
        <v>0.33333333333333298</v>
      </c>
      <c r="I14" s="134">
        <f t="shared" si="0"/>
        <v>1</v>
      </c>
      <c r="J14" s="134">
        <v>0.9</v>
      </c>
      <c r="K14" s="135"/>
      <c r="L14" s="136"/>
    </row>
    <row r="15" spans="1:14" ht="14.4" customHeight="1">
      <c r="A15" s="253"/>
      <c r="B15" s="244"/>
      <c r="C15" s="249"/>
      <c r="D15" s="132"/>
      <c r="E15" s="158"/>
      <c r="F15" s="125" t="s">
        <v>1252</v>
      </c>
      <c r="G15" s="126"/>
      <c r="H15" s="127">
        <v>0.33333333333333298</v>
      </c>
      <c r="I15" s="134">
        <f t="shared" si="0"/>
        <v>1</v>
      </c>
      <c r="J15" s="134">
        <v>0.9</v>
      </c>
      <c r="K15" s="135"/>
      <c r="L15" s="136"/>
    </row>
    <row r="16" spans="1:14" ht="14.4" customHeight="1">
      <c r="A16" s="253"/>
      <c r="B16" s="244"/>
      <c r="C16" s="250"/>
      <c r="D16" s="132"/>
      <c r="E16" s="133"/>
      <c r="F16" s="128" t="s">
        <v>1253</v>
      </c>
      <c r="G16" s="126"/>
      <c r="H16" s="127">
        <v>0.33333333333333298</v>
      </c>
      <c r="I16" s="134">
        <f t="shared" si="0"/>
        <v>1</v>
      </c>
      <c r="J16" s="134">
        <v>0.9</v>
      </c>
      <c r="K16" s="133"/>
      <c r="L16" s="136"/>
    </row>
    <row r="17" spans="1:17" ht="14.4" customHeight="1">
      <c r="A17" s="253"/>
      <c r="B17" s="244"/>
      <c r="C17" s="243" t="s">
        <v>1197</v>
      </c>
      <c r="D17" s="78"/>
      <c r="E17" s="159"/>
      <c r="F17" s="111" t="s">
        <v>1251</v>
      </c>
      <c r="G17" s="107"/>
      <c r="H17" s="108">
        <v>0.33333333333333298</v>
      </c>
      <c r="I17" s="109">
        <f t="shared" si="0"/>
        <v>1</v>
      </c>
      <c r="J17" s="109">
        <v>0.9</v>
      </c>
      <c r="K17" s="82"/>
      <c r="L17" s="112"/>
    </row>
    <row r="18" spans="1:17" ht="14.4" customHeight="1">
      <c r="A18" s="253"/>
      <c r="B18" s="244"/>
      <c r="C18" s="244"/>
      <c r="D18" s="78"/>
      <c r="E18" s="159"/>
      <c r="F18" s="111" t="s">
        <v>1252</v>
      </c>
      <c r="G18" s="107"/>
      <c r="H18" s="108">
        <v>0.33333333333333298</v>
      </c>
      <c r="I18" s="109">
        <f t="shared" si="0"/>
        <v>1</v>
      </c>
      <c r="J18" s="109">
        <v>0.9</v>
      </c>
      <c r="K18" s="82"/>
      <c r="L18" s="82"/>
    </row>
    <row r="19" spans="1:17" ht="14.4" customHeight="1">
      <c r="A19" s="253"/>
      <c r="B19" s="244"/>
      <c r="C19" s="244"/>
      <c r="D19" s="78"/>
      <c r="E19" s="159"/>
      <c r="F19" s="173" t="s">
        <v>1253</v>
      </c>
      <c r="G19" s="107"/>
      <c r="H19" s="108">
        <v>0.33333333333333298</v>
      </c>
      <c r="I19" s="109">
        <f t="shared" si="0"/>
        <v>1</v>
      </c>
      <c r="J19" s="109">
        <v>0.9</v>
      </c>
      <c r="K19" s="82"/>
      <c r="L19" s="82"/>
    </row>
    <row r="20" spans="1:17" ht="14.4" customHeight="1">
      <c r="A20" s="253"/>
      <c r="B20" s="117"/>
      <c r="C20" s="117"/>
      <c r="D20" s="118"/>
      <c r="E20" s="118"/>
      <c r="F20" s="119" t="s">
        <v>1251</v>
      </c>
      <c r="G20" s="124"/>
      <c r="H20" s="124"/>
      <c r="I20" s="120">
        <f>AVERAGEIF(F11:F19,F20,I11:I19)</f>
        <v>1</v>
      </c>
      <c r="J20" s="121">
        <v>0.9</v>
      </c>
      <c r="K20" s="118"/>
      <c r="L20" s="116"/>
    </row>
    <row r="21" spans="1:17" ht="14.4" customHeight="1">
      <c r="A21" s="253"/>
      <c r="B21" s="117"/>
      <c r="C21" s="117"/>
      <c r="D21" s="118"/>
      <c r="E21" s="118"/>
      <c r="F21" s="119" t="s">
        <v>1252</v>
      </c>
      <c r="G21" s="124"/>
      <c r="H21" s="124"/>
      <c r="I21" s="120">
        <f>AVERAGEIF(F11:F19,F21,I11:I19)</f>
        <v>1</v>
      </c>
      <c r="J21" s="121">
        <v>0.9</v>
      </c>
      <c r="K21" s="118"/>
      <c r="L21" s="116"/>
    </row>
    <row r="22" spans="1:17" ht="14.4" customHeight="1">
      <c r="A22" s="253"/>
      <c r="B22" s="117"/>
      <c r="C22" s="117"/>
      <c r="D22" s="118"/>
      <c r="E22" s="118"/>
      <c r="F22" s="119" t="s">
        <v>1253</v>
      </c>
      <c r="G22" s="124"/>
      <c r="H22" s="124"/>
      <c r="I22" s="120">
        <f>AVERAGEIF(F11:F19,F22,I11:I19)</f>
        <v>1</v>
      </c>
      <c r="J22" s="121">
        <v>0.9</v>
      </c>
      <c r="K22" s="118"/>
      <c r="L22" s="116"/>
    </row>
    <row r="23" spans="1:17" ht="14.4" customHeight="1">
      <c r="A23" s="253"/>
      <c r="B23" s="244">
        <v>45810</v>
      </c>
      <c r="C23" s="244" t="s">
        <v>1198</v>
      </c>
      <c r="D23" s="78" t="s">
        <v>1201</v>
      </c>
      <c r="E23" s="156"/>
      <c r="F23" s="111" t="s">
        <v>1251</v>
      </c>
      <c r="G23" s="107"/>
      <c r="H23" s="108">
        <v>0.33333333333333298</v>
      </c>
      <c r="I23" s="109">
        <f t="shared" si="0"/>
        <v>1</v>
      </c>
      <c r="J23" s="109">
        <v>0.9</v>
      </c>
      <c r="K23" s="82"/>
      <c r="L23" s="82"/>
    </row>
    <row r="24" spans="1:17" ht="14.4" customHeight="1">
      <c r="A24" s="253"/>
      <c r="B24" s="244"/>
      <c r="C24" s="244"/>
      <c r="D24" s="78" t="s">
        <v>1201</v>
      </c>
      <c r="E24" s="172"/>
      <c r="F24" s="171" t="s">
        <v>1252</v>
      </c>
      <c r="G24" s="107"/>
      <c r="H24" s="108">
        <v>0.33333333333333331</v>
      </c>
      <c r="I24" s="109">
        <f t="shared" si="0"/>
        <v>1</v>
      </c>
      <c r="J24" s="109">
        <v>0.9</v>
      </c>
      <c r="K24" s="82"/>
      <c r="L24" s="82"/>
    </row>
    <row r="25" spans="1:17" ht="14.4" customHeight="1">
      <c r="A25" s="253"/>
      <c r="B25" s="244"/>
      <c r="C25" s="245"/>
      <c r="D25" s="78" t="s">
        <v>1201</v>
      </c>
      <c r="E25" s="156"/>
      <c r="F25" s="114" t="s">
        <v>1253</v>
      </c>
      <c r="G25" s="107"/>
      <c r="H25" s="108">
        <v>0.33333333333333298</v>
      </c>
      <c r="I25" s="109">
        <f t="shared" ref="I25:I85" si="1">1-(G25/H25)</f>
        <v>1</v>
      </c>
      <c r="J25" s="109">
        <v>0.9</v>
      </c>
      <c r="K25" s="82"/>
      <c r="L25" s="82"/>
    </row>
    <row r="26" spans="1:17" ht="14.4" customHeight="1">
      <c r="A26" s="253"/>
      <c r="B26" s="244"/>
      <c r="C26" s="248" t="s">
        <v>1196</v>
      </c>
      <c r="D26" s="132" t="s">
        <v>1192</v>
      </c>
      <c r="E26" s="158"/>
      <c r="F26" s="125" t="s">
        <v>1251</v>
      </c>
      <c r="G26" s="126"/>
      <c r="H26" s="127">
        <v>0.33333333333333298</v>
      </c>
      <c r="I26" s="134">
        <f t="shared" si="1"/>
        <v>1</v>
      </c>
      <c r="J26" s="134">
        <v>0.9</v>
      </c>
      <c r="K26" s="135" t="s">
        <v>1462</v>
      </c>
      <c r="L26" s="136"/>
    </row>
    <row r="27" spans="1:17" ht="14.4" customHeight="1">
      <c r="A27" s="253"/>
      <c r="B27" s="244"/>
      <c r="C27" s="249"/>
      <c r="D27" s="132" t="s">
        <v>1192</v>
      </c>
      <c r="E27" s="158"/>
      <c r="F27" s="125" t="s">
        <v>1252</v>
      </c>
      <c r="G27" s="126"/>
      <c r="H27" s="127">
        <v>0.33333333333333298</v>
      </c>
      <c r="I27" s="134">
        <f t="shared" si="1"/>
        <v>1</v>
      </c>
      <c r="J27" s="134">
        <v>0.9</v>
      </c>
      <c r="K27" s="135" t="s">
        <v>1462</v>
      </c>
      <c r="L27" s="136"/>
      <c r="N27" s="255" t="s">
        <v>1287</v>
      </c>
      <c r="O27" s="255" t="s">
        <v>1288</v>
      </c>
      <c r="P27" s="255" t="s">
        <v>1289</v>
      </c>
      <c r="Q27" s="255" t="s">
        <v>1290</v>
      </c>
    </row>
    <row r="28" spans="1:17" ht="14.4" customHeight="1">
      <c r="A28" s="253"/>
      <c r="B28" s="244"/>
      <c r="C28" s="250"/>
      <c r="D28" s="132" t="s">
        <v>1192</v>
      </c>
      <c r="E28" s="133"/>
      <c r="F28" s="128" t="s">
        <v>1253</v>
      </c>
      <c r="G28" s="126"/>
      <c r="H28" s="127">
        <v>0.33333333333333298</v>
      </c>
      <c r="I28" s="134">
        <f t="shared" si="1"/>
        <v>1</v>
      </c>
      <c r="J28" s="134">
        <v>0.9</v>
      </c>
      <c r="K28" s="133"/>
      <c r="L28" s="136"/>
      <c r="N28" s="255"/>
      <c r="O28" s="255"/>
      <c r="P28" s="255"/>
      <c r="Q28" s="255"/>
    </row>
    <row r="29" spans="1:17" ht="14.4" customHeight="1">
      <c r="A29" s="253"/>
      <c r="B29" s="244"/>
      <c r="C29" s="243" t="s">
        <v>1197</v>
      </c>
      <c r="D29" s="78" t="s">
        <v>1194</v>
      </c>
      <c r="E29" s="159"/>
      <c r="F29" s="111" t="s">
        <v>1251</v>
      </c>
      <c r="G29" s="107"/>
      <c r="H29" s="108">
        <v>0.33333333333333298</v>
      </c>
      <c r="I29" s="109">
        <f t="shared" si="1"/>
        <v>1</v>
      </c>
      <c r="J29" s="109">
        <v>0.9</v>
      </c>
      <c r="K29" s="82" t="s">
        <v>1462</v>
      </c>
      <c r="L29" s="112"/>
      <c r="N29" s="161" t="s">
        <v>1251</v>
      </c>
      <c r="O29" s="162">
        <f>(I20+I86+I152+I218+I284+I296)/6</f>
        <v>0.85267857142857129</v>
      </c>
      <c r="P29" s="265">
        <f>(O29+O30+O31)/3</f>
        <v>0.73326719576719557</v>
      </c>
      <c r="Q29" s="264" t="s">
        <v>1477</v>
      </c>
    </row>
    <row r="30" spans="1:17" ht="14.4" customHeight="1">
      <c r="A30" s="253"/>
      <c r="B30" s="244"/>
      <c r="C30" s="244"/>
      <c r="D30" s="78" t="s">
        <v>1194</v>
      </c>
      <c r="E30" s="159"/>
      <c r="F30" s="111" t="s">
        <v>1252</v>
      </c>
      <c r="G30" s="107"/>
      <c r="H30" s="108">
        <v>0.33333333333333298</v>
      </c>
      <c r="I30" s="109">
        <f t="shared" si="1"/>
        <v>1</v>
      </c>
      <c r="J30" s="109">
        <v>0.9</v>
      </c>
      <c r="K30" s="82" t="s">
        <v>1462</v>
      </c>
      <c r="L30" s="82"/>
      <c r="N30" s="161" t="s">
        <v>1252</v>
      </c>
      <c r="O30" s="162">
        <f>(I21+I87+I153+I219+I285+I297)/6</f>
        <v>0.88920304232804226</v>
      </c>
      <c r="P30" s="266"/>
      <c r="Q30" s="264"/>
    </row>
    <row r="31" spans="1:17" ht="15" customHeight="1" thickBot="1">
      <c r="A31" s="253"/>
      <c r="B31" s="263"/>
      <c r="C31" s="245"/>
      <c r="D31" s="78" t="s">
        <v>1194</v>
      </c>
      <c r="E31" s="113"/>
      <c r="F31" s="114" t="s">
        <v>1253</v>
      </c>
      <c r="G31" s="107"/>
      <c r="H31" s="108">
        <v>0.33333333333333298</v>
      </c>
      <c r="I31" s="109">
        <f t="shared" si="1"/>
        <v>1</v>
      </c>
      <c r="J31" s="109">
        <v>0.9</v>
      </c>
      <c r="K31" s="82"/>
      <c r="L31" s="82"/>
      <c r="N31" s="161" t="s">
        <v>1286</v>
      </c>
      <c r="O31" s="162">
        <f>(I22+I88+I154+I220+I286+I298)/6</f>
        <v>0.45791997354497349</v>
      </c>
      <c r="P31" s="267"/>
      <c r="Q31" s="264"/>
    </row>
    <row r="32" spans="1:17" ht="14.4" customHeight="1">
      <c r="A32" s="253"/>
      <c r="B32" s="244">
        <v>45811</v>
      </c>
      <c r="C32" s="248" t="s">
        <v>1198</v>
      </c>
      <c r="D32" s="132" t="s">
        <v>1191</v>
      </c>
      <c r="E32" s="158"/>
      <c r="F32" s="125" t="s">
        <v>1251</v>
      </c>
      <c r="G32" s="126"/>
      <c r="H32" s="127">
        <v>0.33333333333333298</v>
      </c>
      <c r="I32" s="134">
        <f t="shared" si="1"/>
        <v>1</v>
      </c>
      <c r="J32" s="134">
        <v>0.9</v>
      </c>
      <c r="K32" s="135" t="s">
        <v>1462</v>
      </c>
      <c r="L32" s="137"/>
    </row>
    <row r="33" spans="1:17" ht="14.4" customHeight="1">
      <c r="A33" s="253"/>
      <c r="B33" s="244"/>
      <c r="C33" s="249"/>
      <c r="D33" s="132" t="s">
        <v>1191</v>
      </c>
      <c r="E33" s="158"/>
      <c r="F33" s="125" t="s">
        <v>1252</v>
      </c>
      <c r="G33" s="126"/>
      <c r="H33" s="127">
        <v>0.33333333333333298</v>
      </c>
      <c r="I33" s="134">
        <f t="shared" si="1"/>
        <v>1</v>
      </c>
      <c r="J33" s="134">
        <v>0.9</v>
      </c>
      <c r="K33" s="135" t="s">
        <v>1462</v>
      </c>
      <c r="L33" s="136"/>
    </row>
    <row r="34" spans="1:17" ht="14.4" customHeight="1">
      <c r="A34" s="253"/>
      <c r="B34" s="244"/>
      <c r="C34" s="250"/>
      <c r="D34" s="132" t="s">
        <v>1191</v>
      </c>
      <c r="E34" s="133"/>
      <c r="F34" s="128" t="s">
        <v>1253</v>
      </c>
      <c r="G34" s="126"/>
      <c r="H34" s="127">
        <v>0.33333333333333298</v>
      </c>
      <c r="I34" s="134">
        <f t="shared" si="1"/>
        <v>1</v>
      </c>
      <c r="J34" s="134">
        <v>0.9</v>
      </c>
      <c r="K34" s="133"/>
      <c r="L34" s="136"/>
      <c r="N34" s="255" t="s">
        <v>1287</v>
      </c>
      <c r="O34" s="255" t="s">
        <v>1288</v>
      </c>
      <c r="P34" s="255" t="s">
        <v>1292</v>
      </c>
      <c r="Q34" s="255" t="s">
        <v>1290</v>
      </c>
    </row>
    <row r="35" spans="1:17" ht="14.4" customHeight="1">
      <c r="A35" s="253"/>
      <c r="B35" s="244"/>
      <c r="C35" s="243" t="s">
        <v>1196</v>
      </c>
      <c r="D35" s="78" t="s">
        <v>1192</v>
      </c>
      <c r="E35" s="159"/>
      <c r="F35" s="111" t="s">
        <v>1251</v>
      </c>
      <c r="G35" s="107"/>
      <c r="H35" s="108">
        <v>0.33333333333333298</v>
      </c>
      <c r="I35" s="109">
        <f t="shared" si="1"/>
        <v>1</v>
      </c>
      <c r="J35" s="109">
        <v>0.9</v>
      </c>
      <c r="K35" s="82" t="s">
        <v>1462</v>
      </c>
      <c r="L35" s="112"/>
      <c r="N35" s="255"/>
      <c r="O35" s="255"/>
      <c r="P35" s="255"/>
      <c r="Q35" s="255"/>
    </row>
    <row r="36" spans="1:17" ht="14.4" customHeight="1">
      <c r="A36" s="253"/>
      <c r="B36" s="244"/>
      <c r="C36" s="244"/>
      <c r="D36" s="78" t="s">
        <v>1192</v>
      </c>
      <c r="E36" s="159"/>
      <c r="F36" s="111" t="s">
        <v>1252</v>
      </c>
      <c r="G36" s="107"/>
      <c r="H36" s="108">
        <v>0.33333333333333298</v>
      </c>
      <c r="I36" s="109">
        <f t="shared" si="1"/>
        <v>1</v>
      </c>
      <c r="J36" s="109">
        <v>0.9</v>
      </c>
      <c r="K36" s="82" t="s">
        <v>1462</v>
      </c>
      <c r="L36" s="82"/>
      <c r="N36" s="161" t="s">
        <v>1251</v>
      </c>
      <c r="O36" s="162">
        <f>(AVERAGEIFS(I23:I85,D23:D85,P36,F23:F85,N36)+AVERAGEIFS(I89:I151,D89:D151,P36,F89:F151,N36)+AVERAGEIFS(I155:I217,D155:D217,P36,F155:F217,N36)+AVERAGEIFS(I221:I283,D221:D283,P36,F221:F283,N36)+AVERAGEIFS(I287:I295,D287:D295,P36,F287:F295,N36))/5</f>
        <v>0.83499999999999996</v>
      </c>
      <c r="P36" s="260" t="s">
        <v>1191</v>
      </c>
      <c r="Q36" s="224"/>
    </row>
    <row r="37" spans="1:17" ht="14.4" customHeight="1">
      <c r="A37" s="253"/>
      <c r="B37" s="244"/>
      <c r="C37" s="245"/>
      <c r="D37" s="78" t="s">
        <v>1192</v>
      </c>
      <c r="E37" s="113"/>
      <c r="F37" s="114" t="s">
        <v>1253</v>
      </c>
      <c r="G37" s="108">
        <v>0.27430555555555558</v>
      </c>
      <c r="H37" s="108">
        <v>0.33333333333333298</v>
      </c>
      <c r="I37" s="109">
        <f t="shared" si="1"/>
        <v>0.17708333333333237</v>
      </c>
      <c r="J37" s="109">
        <v>0.9</v>
      </c>
      <c r="K37" s="82" t="s">
        <v>1463</v>
      </c>
      <c r="L37" s="82"/>
      <c r="N37" s="161" t="s">
        <v>1252</v>
      </c>
      <c r="O37" s="162">
        <f>(AVERAGEIFS(I23:I85,D23:D85,P36,F23:F85,N37)+AVERAGEIFS(I89:I151,D89:D151,P36,F89:F151,N37)+AVERAGEIFS(I155:I217,D155:D217,P36,F155:F217,N37)+AVERAGEIFS(I221:I283,D221:D283,P36,F221:F283,N37)+AVERAGEIFS(I287:I295,D287:D295,P36,F287:F295,N37))/5</f>
        <v>0.90166666666666662</v>
      </c>
      <c r="P37" s="261"/>
      <c r="Q37" s="227"/>
    </row>
    <row r="38" spans="1:17" ht="14.4" customHeight="1">
      <c r="A38" s="253"/>
      <c r="B38" s="244"/>
      <c r="C38" s="248" t="s">
        <v>1197</v>
      </c>
      <c r="D38" s="132" t="s">
        <v>1194</v>
      </c>
      <c r="E38" s="158"/>
      <c r="F38" s="125" t="s">
        <v>1251</v>
      </c>
      <c r="G38" s="126"/>
      <c r="H38" s="127">
        <v>0.33333333333333298</v>
      </c>
      <c r="I38" s="134">
        <f t="shared" si="1"/>
        <v>1</v>
      </c>
      <c r="J38" s="134">
        <v>0.9</v>
      </c>
      <c r="K38" s="135" t="s">
        <v>1462</v>
      </c>
      <c r="L38" s="137"/>
      <c r="N38" s="161" t="s">
        <v>1253</v>
      </c>
      <c r="O38" s="162">
        <f>(AVERAGEIFS(I23:I85,D23:D85,P36,F23:F85,N38)+AVERAGEIFS(I89:I151,D89:D151,P36,F89:F151,N38)+AVERAGEIFS(I155:I217,D155:D217,P36,F155:F217,N38)+AVERAGEIFS(I221:I283,D221:D283,P36,F221:F283,N38)+AVERAGEIFS(I287:I295,D287:D295,P36,F287:F295,N38))/5</f>
        <v>0.19499999999999998</v>
      </c>
      <c r="P38" s="261"/>
      <c r="Q38" s="227"/>
    </row>
    <row r="39" spans="1:17" ht="14.4" customHeight="1">
      <c r="A39" s="253"/>
      <c r="B39" s="244"/>
      <c r="C39" s="249"/>
      <c r="D39" s="132" t="s">
        <v>1194</v>
      </c>
      <c r="E39" s="158"/>
      <c r="F39" s="129" t="s">
        <v>1252</v>
      </c>
      <c r="G39" s="126"/>
      <c r="H39" s="127">
        <v>0.33333333333333298</v>
      </c>
      <c r="I39" s="134">
        <f t="shared" si="1"/>
        <v>1</v>
      </c>
      <c r="J39" s="134">
        <v>0.9</v>
      </c>
      <c r="K39" s="135" t="s">
        <v>1462</v>
      </c>
      <c r="L39" s="136"/>
      <c r="N39" s="161" t="s">
        <v>1293</v>
      </c>
      <c r="O39" s="162">
        <f>(O36+O37+O38)/3</f>
        <v>0.64388888888888884</v>
      </c>
      <c r="P39" s="261"/>
      <c r="Q39" s="227"/>
    </row>
    <row r="40" spans="1:17" ht="14.4" customHeight="1" thickBot="1">
      <c r="A40" s="253"/>
      <c r="B40" s="263"/>
      <c r="C40" s="250"/>
      <c r="D40" s="132" t="s">
        <v>1194</v>
      </c>
      <c r="E40" s="133"/>
      <c r="F40" s="128" t="s">
        <v>1253</v>
      </c>
      <c r="G40" s="131">
        <v>0.22916666666666666</v>
      </c>
      <c r="H40" s="127">
        <v>0.33333333333333298</v>
      </c>
      <c r="I40" s="138">
        <f t="shared" si="1"/>
        <v>0.31249999999999933</v>
      </c>
      <c r="J40" s="134">
        <v>0.9</v>
      </c>
      <c r="K40" s="133" t="s">
        <v>1463</v>
      </c>
      <c r="L40" s="136"/>
    </row>
    <row r="41" spans="1:17" ht="15" customHeight="1">
      <c r="A41" s="253"/>
      <c r="B41" s="244">
        <v>45812</v>
      </c>
      <c r="C41" s="243" t="s">
        <v>1198</v>
      </c>
      <c r="D41" s="78" t="s">
        <v>1193</v>
      </c>
      <c r="E41" s="159"/>
      <c r="F41" s="111" t="s">
        <v>1251</v>
      </c>
      <c r="G41" s="107"/>
      <c r="H41" s="108">
        <v>0.33333333333333298</v>
      </c>
      <c r="I41" s="109">
        <f t="shared" si="1"/>
        <v>1</v>
      </c>
      <c r="J41" s="109">
        <v>0.9</v>
      </c>
      <c r="K41" s="82" t="s">
        <v>1462</v>
      </c>
      <c r="L41" s="112"/>
      <c r="N41" s="255" t="s">
        <v>1287</v>
      </c>
      <c r="O41" s="255" t="s">
        <v>1288</v>
      </c>
      <c r="P41" s="255" t="s">
        <v>1292</v>
      </c>
      <c r="Q41" s="255" t="s">
        <v>1290</v>
      </c>
    </row>
    <row r="42" spans="1:17" ht="15" customHeight="1">
      <c r="A42" s="253"/>
      <c r="B42" s="244"/>
      <c r="C42" s="244"/>
      <c r="D42" s="78" t="s">
        <v>1193</v>
      </c>
      <c r="E42" s="159"/>
      <c r="F42" s="106" t="s">
        <v>1252</v>
      </c>
      <c r="G42" s="107"/>
      <c r="H42" s="108">
        <v>0.33333333333333298</v>
      </c>
      <c r="I42" s="109">
        <f t="shared" si="1"/>
        <v>1</v>
      </c>
      <c r="J42" s="109">
        <v>0.9</v>
      </c>
      <c r="K42" s="82" t="s">
        <v>1462</v>
      </c>
      <c r="L42" s="82"/>
      <c r="N42" s="255"/>
      <c r="O42" s="255"/>
      <c r="P42" s="255"/>
      <c r="Q42" s="255"/>
    </row>
    <row r="43" spans="1:17" ht="15" customHeight="1">
      <c r="A43" s="253"/>
      <c r="B43" s="244"/>
      <c r="C43" s="245"/>
      <c r="D43" s="78" t="s">
        <v>1193</v>
      </c>
      <c r="E43" s="113"/>
      <c r="F43" s="114" t="s">
        <v>1253</v>
      </c>
      <c r="G43" s="107"/>
      <c r="H43" s="108">
        <v>0.33333333333333298</v>
      </c>
      <c r="I43" s="109">
        <f t="shared" si="1"/>
        <v>1</v>
      </c>
      <c r="J43" s="109">
        <v>0.9</v>
      </c>
      <c r="K43" s="82"/>
      <c r="L43" s="82"/>
      <c r="N43" s="161" t="s">
        <v>1251</v>
      </c>
      <c r="O43" s="162">
        <f>(AVERAGEIFS(I23:I85,D23:D85,P43,F23:F85,N43)+AVERAGEIFS(I89:I151,D89:D151,P43,F89:F151,N43)+AVERAGEIFS(I155:I217,D155:D217,P43,F155:F217,N43)+AVERAGEIFS(I221:I283,D221:D283,P43,F221:F283,N43))/4</f>
        <v>0.64739583333333317</v>
      </c>
      <c r="P43" s="254" t="s">
        <v>1194</v>
      </c>
      <c r="Q43" s="259"/>
    </row>
    <row r="44" spans="1:17" ht="15" customHeight="1">
      <c r="A44" s="253"/>
      <c r="B44" s="244"/>
      <c r="C44" s="248" t="s">
        <v>1196</v>
      </c>
      <c r="D44" s="132" t="s">
        <v>1191</v>
      </c>
      <c r="E44" s="158"/>
      <c r="F44" s="125" t="s">
        <v>1251</v>
      </c>
      <c r="G44" s="126"/>
      <c r="H44" s="127">
        <v>0.33333333333333298</v>
      </c>
      <c r="I44" s="134">
        <f t="shared" si="1"/>
        <v>1</v>
      </c>
      <c r="J44" s="134">
        <v>0.9</v>
      </c>
      <c r="K44" s="135" t="s">
        <v>1462</v>
      </c>
      <c r="L44" s="137"/>
      <c r="N44" s="161" t="s">
        <v>1252</v>
      </c>
      <c r="O44" s="162">
        <f>(AVERAGEIFS(I23:I85,D23:D85,P43,F23:F85,N44)+AVERAGEIFS(I89:I151,D89:D151,P43,F89:F151,N44)+AVERAGEIFS(I155:I217,D155:D217,P43,F155:F217,N44)+AVERAGEIFS(I221:I283,D221:D283,P43,F221:F283,N44))/4</f>
        <v>0.70598958333333317</v>
      </c>
      <c r="P44" s="254"/>
      <c r="Q44" s="259"/>
    </row>
    <row r="45" spans="1:17" ht="15" customHeight="1">
      <c r="A45" s="253"/>
      <c r="B45" s="244"/>
      <c r="C45" s="249"/>
      <c r="D45" s="132" t="s">
        <v>1191</v>
      </c>
      <c r="E45" s="158"/>
      <c r="F45" s="129" t="s">
        <v>1252</v>
      </c>
      <c r="G45" s="126"/>
      <c r="H45" s="127">
        <v>0.33333333333333298</v>
      </c>
      <c r="I45" s="134">
        <f t="shared" si="1"/>
        <v>1</v>
      </c>
      <c r="J45" s="134">
        <v>0.9</v>
      </c>
      <c r="K45" s="135" t="s">
        <v>1462</v>
      </c>
      <c r="L45" s="136"/>
      <c r="N45" s="161" t="s">
        <v>1253</v>
      </c>
      <c r="O45" s="162">
        <f>(AVERAGEIFS(I23:I85,D23:D85,P43,F23:F85,N45)+AVERAGEIFS(I89:I151,D89:D151,P43,F89:F151,N45)+AVERAGEIFS(I155:I217,D155:D217,P43,F155:F217,N45)+AVERAGEIFS(I221:I283,D221:D283,P43,F221:F283,N45))/4</f>
        <v>0.28098958333333324</v>
      </c>
      <c r="P45" s="254"/>
      <c r="Q45" s="259"/>
    </row>
    <row r="46" spans="1:17" ht="15" customHeight="1">
      <c r="A46" s="253"/>
      <c r="B46" s="244"/>
      <c r="C46" s="250"/>
      <c r="D46" s="132" t="s">
        <v>1191</v>
      </c>
      <c r="E46" s="133"/>
      <c r="F46" s="128" t="s">
        <v>1253</v>
      </c>
      <c r="G46" s="126"/>
      <c r="H46" s="127">
        <v>0.33333333333333298</v>
      </c>
      <c r="I46" s="134">
        <f t="shared" si="1"/>
        <v>1</v>
      </c>
      <c r="J46" s="134">
        <v>0.9</v>
      </c>
      <c r="K46" s="133"/>
      <c r="L46" s="136"/>
      <c r="N46" s="161" t="s">
        <v>1293</v>
      </c>
      <c r="O46" s="162">
        <f>(O43+O44+O45)/3</f>
        <v>0.54479166666666645</v>
      </c>
      <c r="P46" s="254"/>
      <c r="Q46" s="259"/>
    </row>
    <row r="47" spans="1:17" ht="15" customHeight="1">
      <c r="A47" s="253"/>
      <c r="B47" s="244"/>
      <c r="C47" s="243" t="s">
        <v>1197</v>
      </c>
      <c r="D47" s="78" t="s">
        <v>1192</v>
      </c>
      <c r="E47" s="159"/>
      <c r="F47" s="111" t="s">
        <v>1251</v>
      </c>
      <c r="G47" s="107"/>
      <c r="H47" s="108">
        <v>0.33333333333333298</v>
      </c>
      <c r="I47" s="109">
        <f t="shared" si="1"/>
        <v>1</v>
      </c>
      <c r="J47" s="109">
        <v>0.9</v>
      </c>
      <c r="K47" s="82" t="s">
        <v>1462</v>
      </c>
      <c r="L47" s="112"/>
    </row>
    <row r="48" spans="1:17" ht="15" customHeight="1">
      <c r="A48" s="253"/>
      <c r="B48" s="244"/>
      <c r="C48" s="244"/>
      <c r="D48" s="78" t="s">
        <v>1192</v>
      </c>
      <c r="E48" s="159"/>
      <c r="F48" s="106" t="s">
        <v>1252</v>
      </c>
      <c r="G48" s="107"/>
      <c r="H48" s="108">
        <v>0.33333333333333298</v>
      </c>
      <c r="I48" s="109">
        <f t="shared" si="1"/>
        <v>1</v>
      </c>
      <c r="J48" s="109">
        <v>0.9</v>
      </c>
      <c r="K48" s="82" t="s">
        <v>1462</v>
      </c>
      <c r="L48" s="82"/>
      <c r="N48" s="255" t="s">
        <v>1287</v>
      </c>
      <c r="O48" s="255" t="s">
        <v>1288</v>
      </c>
      <c r="P48" s="255" t="s">
        <v>1292</v>
      </c>
      <c r="Q48" s="255" t="s">
        <v>1290</v>
      </c>
    </row>
    <row r="49" spans="1:17" ht="15.6" customHeight="1" thickBot="1">
      <c r="A49" s="253"/>
      <c r="B49" s="263"/>
      <c r="C49" s="245"/>
      <c r="D49" s="78" t="s">
        <v>1192</v>
      </c>
      <c r="E49" s="113"/>
      <c r="F49" s="114" t="s">
        <v>1253</v>
      </c>
      <c r="G49" s="108">
        <v>0.27777777777777779</v>
      </c>
      <c r="H49" s="108">
        <v>0.33333333333333298</v>
      </c>
      <c r="I49" s="109">
        <f t="shared" si="1"/>
        <v>0.16666666666666574</v>
      </c>
      <c r="J49" s="109">
        <v>0.9</v>
      </c>
      <c r="K49" s="82" t="s">
        <v>1463</v>
      </c>
      <c r="L49" s="82"/>
      <c r="N49" s="255"/>
      <c r="O49" s="255"/>
      <c r="P49" s="255"/>
      <c r="Q49" s="255"/>
    </row>
    <row r="50" spans="1:17" ht="15" customHeight="1">
      <c r="A50" s="253"/>
      <c r="B50" s="244">
        <v>45813</v>
      </c>
      <c r="C50" s="248" t="s">
        <v>1198</v>
      </c>
      <c r="D50" s="132" t="s">
        <v>1193</v>
      </c>
      <c r="E50" s="158"/>
      <c r="F50" s="125" t="s">
        <v>1251</v>
      </c>
      <c r="G50" s="126"/>
      <c r="H50" s="127">
        <v>0.33333333333333298</v>
      </c>
      <c r="I50" s="134">
        <f t="shared" si="1"/>
        <v>1</v>
      </c>
      <c r="J50" s="134">
        <v>0.9</v>
      </c>
      <c r="K50" s="135" t="s">
        <v>1462</v>
      </c>
      <c r="L50" s="137"/>
      <c r="N50" s="161" t="s">
        <v>1251</v>
      </c>
      <c r="O50" s="162">
        <f>(AVERAGEIFS(I23:I85,D23:D85,P50,F23:F85,N50)+AVERAGEIFS(I89:I151,D89:D151,P50,F89:F151,N50)+AVERAGEIFS(I155:I217,D155:D217,P50,F155:F217,N50)+AVERAGEIFS(I221:I283,D221:D283,P50,F221:F283,N50)+AVERAGEIFS(I287:I295,D287:D295,P50,F287:F295,N50))/5</f>
        <v>0.84941666666666649</v>
      </c>
      <c r="P50" s="254" t="s">
        <v>1193</v>
      </c>
      <c r="Q50" s="259"/>
    </row>
    <row r="51" spans="1:17" ht="15" customHeight="1">
      <c r="A51" s="253"/>
      <c r="B51" s="244"/>
      <c r="C51" s="249"/>
      <c r="D51" s="132" t="s">
        <v>1193</v>
      </c>
      <c r="E51" s="158"/>
      <c r="F51" s="129" t="s">
        <v>1252</v>
      </c>
      <c r="G51" s="126"/>
      <c r="H51" s="127">
        <v>0.33333333333333298</v>
      </c>
      <c r="I51" s="134">
        <f t="shared" si="1"/>
        <v>1</v>
      </c>
      <c r="J51" s="134">
        <v>0.9</v>
      </c>
      <c r="K51" s="135" t="s">
        <v>1462</v>
      </c>
      <c r="L51" s="136"/>
      <c r="N51" s="161" t="s">
        <v>1252</v>
      </c>
      <c r="O51" s="162">
        <f>(AVERAGEIFS(I23:I85,D23:D85,P50,F23:F85,N51)+AVERAGEIFS(I89:I151,D89:D151,P50,F89:F151,N51)+AVERAGEIFS(I155:I217,D155:D217,P50,F155:F217,N51)+AVERAGEIFS(I221:I283,D221:D283,P50,F221:F283,N51)+AVERAGEIFS(I287:I295,D287:D295,P50,F287:F295,N51))/5</f>
        <v>0.87941666666666651</v>
      </c>
      <c r="P51" s="254"/>
      <c r="Q51" s="259"/>
    </row>
    <row r="52" spans="1:17" ht="15" customHeight="1">
      <c r="A52" s="253"/>
      <c r="B52" s="244"/>
      <c r="C52" s="250"/>
      <c r="D52" s="132" t="s">
        <v>1193</v>
      </c>
      <c r="E52" s="133"/>
      <c r="F52" s="128" t="s">
        <v>1253</v>
      </c>
      <c r="G52" s="126"/>
      <c r="H52" s="127">
        <v>0.33333333333333298</v>
      </c>
      <c r="I52" s="134">
        <f t="shared" si="1"/>
        <v>1</v>
      </c>
      <c r="J52" s="134">
        <v>0.9</v>
      </c>
      <c r="K52" s="133"/>
      <c r="L52" s="136"/>
      <c r="N52" s="161" t="s">
        <v>1253</v>
      </c>
      <c r="O52" s="162">
        <f>(AVERAGEIFS(I23:I85,D23:D85,P50,F23:F85,N52)+AVERAGEIFS(I89:I151,D89:D151,P50,F89:F151,N52)+AVERAGEIFS(I155:I217,D155:D217,P50,F155:F217,N52)+AVERAGEIFS(I221:I283,D221:D283,P50,F221:F283,N52)+AVERAGEIFS(I287:I295,D287:D295,P50,F287:F295,N52))/5</f>
        <v>0.27749999999999997</v>
      </c>
      <c r="P52" s="254"/>
      <c r="Q52" s="259"/>
    </row>
    <row r="53" spans="1:17" ht="15" customHeight="1">
      <c r="A53" s="253"/>
      <c r="B53" s="244"/>
      <c r="C53" s="243" t="s">
        <v>1196</v>
      </c>
      <c r="D53" s="78" t="s">
        <v>1191</v>
      </c>
      <c r="E53" s="159"/>
      <c r="F53" s="111" t="s">
        <v>1251</v>
      </c>
      <c r="G53" s="107"/>
      <c r="H53" s="108">
        <v>0.33333333333333298</v>
      </c>
      <c r="I53" s="109">
        <f t="shared" si="1"/>
        <v>1</v>
      </c>
      <c r="J53" s="109">
        <v>0.9</v>
      </c>
      <c r="K53" s="82" t="s">
        <v>1462</v>
      </c>
      <c r="L53" s="112"/>
      <c r="N53" s="161" t="s">
        <v>1293</v>
      </c>
      <c r="O53" s="162">
        <f>(O50+O51+O52)/3</f>
        <v>0.66877777777777769</v>
      </c>
      <c r="P53" s="254"/>
      <c r="Q53" s="259"/>
    </row>
    <row r="54" spans="1:17" ht="15" customHeight="1">
      <c r="A54" s="253"/>
      <c r="B54" s="244"/>
      <c r="C54" s="244"/>
      <c r="D54" s="78" t="s">
        <v>1191</v>
      </c>
      <c r="E54" s="159"/>
      <c r="F54" s="106" t="s">
        <v>1252</v>
      </c>
      <c r="G54" s="107"/>
      <c r="H54" s="108">
        <v>0.33333333333333298</v>
      </c>
      <c r="I54" s="109">
        <f t="shared" si="1"/>
        <v>1</v>
      </c>
      <c r="J54" s="109">
        <v>0.9</v>
      </c>
      <c r="K54" s="82" t="s">
        <v>1462</v>
      </c>
      <c r="L54" s="82"/>
    </row>
    <row r="55" spans="1:17" ht="15" customHeight="1">
      <c r="A55" s="253"/>
      <c r="B55" s="244"/>
      <c r="C55" s="245"/>
      <c r="D55" s="78" t="s">
        <v>1191</v>
      </c>
      <c r="E55" s="113"/>
      <c r="F55" s="114" t="s">
        <v>1253</v>
      </c>
      <c r="G55" s="107"/>
      <c r="H55" s="108">
        <v>0.33333333333333298</v>
      </c>
      <c r="I55" s="109">
        <f t="shared" si="1"/>
        <v>1</v>
      </c>
      <c r="J55" s="109">
        <v>0.9</v>
      </c>
      <c r="K55" s="82"/>
      <c r="L55" s="82"/>
      <c r="N55" s="255" t="s">
        <v>1287</v>
      </c>
      <c r="O55" s="255" t="s">
        <v>1288</v>
      </c>
      <c r="P55" s="255" t="s">
        <v>1292</v>
      </c>
      <c r="Q55" s="255" t="s">
        <v>1290</v>
      </c>
    </row>
    <row r="56" spans="1:17" ht="15" customHeight="1">
      <c r="A56" s="253"/>
      <c r="B56" s="244"/>
      <c r="C56" s="248" t="s">
        <v>1197</v>
      </c>
      <c r="D56" s="132"/>
      <c r="E56" s="158"/>
      <c r="F56" s="125" t="s">
        <v>1251</v>
      </c>
      <c r="G56" s="126"/>
      <c r="H56" s="127">
        <v>0.33333333333333298</v>
      </c>
      <c r="I56" s="134">
        <f t="shared" si="1"/>
        <v>1</v>
      </c>
      <c r="J56" s="134">
        <v>0.9</v>
      </c>
      <c r="K56" s="135" t="s">
        <v>1462</v>
      </c>
      <c r="L56" s="137"/>
      <c r="N56" s="255"/>
      <c r="O56" s="255"/>
      <c r="P56" s="255"/>
      <c r="Q56" s="255"/>
    </row>
    <row r="57" spans="1:17" ht="15" customHeight="1">
      <c r="A57" s="253"/>
      <c r="B57" s="244"/>
      <c r="C57" s="249"/>
      <c r="D57" s="132"/>
      <c r="E57" s="158"/>
      <c r="F57" s="129" t="s">
        <v>1252</v>
      </c>
      <c r="G57" s="126"/>
      <c r="H57" s="127">
        <v>0.33333333333333298</v>
      </c>
      <c r="I57" s="134">
        <f t="shared" si="1"/>
        <v>1</v>
      </c>
      <c r="J57" s="134">
        <v>0.9</v>
      </c>
      <c r="K57" s="135" t="s">
        <v>1462</v>
      </c>
      <c r="L57" s="136"/>
      <c r="N57" s="161" t="s">
        <v>1251</v>
      </c>
      <c r="O57" s="162">
        <f>(AVERAGEIFS(I11:I19,D11:D19,P57,F11:F19,N57)+AVERAGEIFS(I23:I85,D23:D85,P57,F23:F85,N57)+AVERAGEIFS(I89:I151,D89:D151,P57,F89:F151,N57)+AVERAGEIFS(I155:I217,D155:D217,P57,F155:F217,N57)+AVERAGEIFS(I221:I283,D221:D283,P57,F221:F283,N57))/5</f>
        <v>0.79427083333333326</v>
      </c>
      <c r="P57" s="254" t="s">
        <v>1192</v>
      </c>
      <c r="Q57" s="259"/>
    </row>
    <row r="58" spans="1:17" ht="15.6" customHeight="1" thickBot="1">
      <c r="A58" s="253"/>
      <c r="B58" s="263"/>
      <c r="C58" s="250"/>
      <c r="D58" s="132"/>
      <c r="E58" s="133"/>
      <c r="F58" s="128" t="s">
        <v>1253</v>
      </c>
      <c r="G58" s="126"/>
      <c r="H58" s="127">
        <v>0.33333333333333298</v>
      </c>
      <c r="I58" s="134">
        <f t="shared" si="1"/>
        <v>1</v>
      </c>
      <c r="J58" s="134">
        <v>0.9</v>
      </c>
      <c r="K58" s="133"/>
      <c r="L58" s="136"/>
      <c r="N58" s="161" t="s">
        <v>1252</v>
      </c>
      <c r="O58" s="162">
        <f>(AVERAGEIFS(I11:I19,D11:D19,P57,F11:F19,N58)+AVERAGEIFS(I23:I85,D23:D85,P57,F23:F85,N58)+AVERAGEIFS(I89:I151,D89:D151,P57,F89:F151,N58)+AVERAGEIFS(I155:I217,D155:D217,P57,F155:F217,N58)+AVERAGEIFS(I221:I283,D221:D283,P57,F221:F283,N58))/5</f>
        <v>0.86999999999999988</v>
      </c>
      <c r="P58" s="254"/>
      <c r="Q58" s="259"/>
    </row>
    <row r="59" spans="1:17" ht="15" customHeight="1">
      <c r="A59" s="253"/>
      <c r="B59" s="244">
        <v>45814</v>
      </c>
      <c r="C59" s="243" t="s">
        <v>1198</v>
      </c>
      <c r="D59" s="78"/>
      <c r="E59" s="159"/>
      <c r="F59" s="111" t="s">
        <v>1251</v>
      </c>
      <c r="G59" s="107"/>
      <c r="H59" s="108">
        <v>0.33333333333333298</v>
      </c>
      <c r="I59" s="109">
        <f t="shared" si="1"/>
        <v>1</v>
      </c>
      <c r="J59" s="109">
        <v>0.9</v>
      </c>
      <c r="K59" s="168" t="s">
        <v>1464</v>
      </c>
      <c r="L59" s="112"/>
      <c r="N59" s="161" t="s">
        <v>1253</v>
      </c>
      <c r="O59" s="162">
        <f>(AVERAGEIFS(I11:I19,D11:D19,P57,F11:F19,N59)+AVERAGEIFS(I23:I85,D23:D85,P57,F23:F85,N59)+AVERAGEIFS(I89:I151,D89:D151,P57,F89:F151,N59)+AVERAGEIFS(I155:I217,D155:D217,P57,F155:F217,N59)+AVERAGEIFS(I221:I283,D221:D283,P57,F221:F283,N59))/5</f>
        <v>0.40718749999999992</v>
      </c>
      <c r="P59" s="254"/>
      <c r="Q59" s="259"/>
    </row>
    <row r="60" spans="1:17" ht="15" customHeight="1">
      <c r="A60" s="253"/>
      <c r="B60" s="244"/>
      <c r="C60" s="244"/>
      <c r="D60" s="78"/>
      <c r="E60" s="159"/>
      <c r="F60" s="106" t="s">
        <v>1252</v>
      </c>
      <c r="G60" s="107"/>
      <c r="H60" s="108">
        <v>0.33333333333333298</v>
      </c>
      <c r="I60" s="109">
        <f t="shared" si="1"/>
        <v>1</v>
      </c>
      <c r="J60" s="109">
        <v>0.9</v>
      </c>
      <c r="K60" s="168" t="s">
        <v>1464</v>
      </c>
      <c r="L60" s="82"/>
      <c r="N60" s="161" t="s">
        <v>1293</v>
      </c>
      <c r="O60" s="162">
        <f>(O57+O58+O59)/3</f>
        <v>0.69048611111111102</v>
      </c>
      <c r="P60" s="254"/>
      <c r="Q60" s="259"/>
    </row>
    <row r="61" spans="1:17" ht="15" customHeight="1">
      <c r="A61" s="253"/>
      <c r="B61" s="244"/>
      <c r="C61" s="245"/>
      <c r="D61" s="78"/>
      <c r="E61" s="113"/>
      <c r="F61" s="114" t="s">
        <v>1253</v>
      </c>
      <c r="G61" s="107"/>
      <c r="H61" s="108">
        <v>0.33333333333333298</v>
      </c>
      <c r="I61" s="109">
        <f t="shared" si="1"/>
        <v>1</v>
      </c>
      <c r="J61" s="109">
        <v>0.9</v>
      </c>
      <c r="K61" s="168" t="s">
        <v>1464</v>
      </c>
      <c r="L61" s="82"/>
    </row>
    <row r="62" spans="1:17" ht="15" customHeight="1">
      <c r="A62" s="253"/>
      <c r="B62" s="244"/>
      <c r="C62" s="248" t="s">
        <v>1196</v>
      </c>
      <c r="D62" s="132"/>
      <c r="E62" s="158"/>
      <c r="F62" s="125" t="s">
        <v>1251</v>
      </c>
      <c r="G62" s="126"/>
      <c r="H62" s="127">
        <v>0.33333333333333298</v>
      </c>
      <c r="I62" s="134">
        <f t="shared" si="1"/>
        <v>1</v>
      </c>
      <c r="J62" s="134">
        <v>0.9</v>
      </c>
      <c r="K62" s="174" t="s">
        <v>1464</v>
      </c>
      <c r="L62" s="137"/>
    </row>
    <row r="63" spans="1:17" ht="15" customHeight="1">
      <c r="A63" s="253"/>
      <c r="B63" s="244"/>
      <c r="C63" s="249"/>
      <c r="D63" s="132"/>
      <c r="E63" s="158"/>
      <c r="F63" s="129" t="s">
        <v>1252</v>
      </c>
      <c r="G63" s="126"/>
      <c r="H63" s="127">
        <v>0.33333333333333298</v>
      </c>
      <c r="I63" s="134">
        <f t="shared" si="1"/>
        <v>1</v>
      </c>
      <c r="J63" s="134">
        <v>0.9</v>
      </c>
      <c r="K63" s="174" t="s">
        <v>1464</v>
      </c>
      <c r="L63" s="136"/>
    </row>
    <row r="64" spans="1:17" ht="15" customHeight="1">
      <c r="A64" s="253"/>
      <c r="B64" s="244"/>
      <c r="C64" s="250"/>
      <c r="D64" s="132"/>
      <c r="E64" s="133"/>
      <c r="F64" s="128" t="s">
        <v>1253</v>
      </c>
      <c r="G64" s="126"/>
      <c r="H64" s="127">
        <v>0.33333333333333298</v>
      </c>
      <c r="I64" s="134">
        <f t="shared" si="1"/>
        <v>1</v>
      </c>
      <c r="J64" s="134">
        <v>0.9</v>
      </c>
      <c r="K64" s="174" t="s">
        <v>1464</v>
      </c>
      <c r="L64" s="136"/>
    </row>
    <row r="65" spans="1:12" ht="15" customHeight="1">
      <c r="A65" s="253"/>
      <c r="B65" s="244"/>
      <c r="C65" s="243" t="s">
        <v>1197</v>
      </c>
      <c r="D65" s="78"/>
      <c r="E65" s="159"/>
      <c r="F65" s="111" t="s">
        <v>1251</v>
      </c>
      <c r="G65" s="107"/>
      <c r="H65" s="108">
        <v>0.33333333333333298</v>
      </c>
      <c r="I65" s="109">
        <f t="shared" si="1"/>
        <v>1</v>
      </c>
      <c r="J65" s="109">
        <v>0.9</v>
      </c>
      <c r="K65" s="168" t="s">
        <v>1464</v>
      </c>
      <c r="L65" s="82"/>
    </row>
    <row r="66" spans="1:12" ht="15" customHeight="1">
      <c r="A66" s="253"/>
      <c r="B66" s="244"/>
      <c r="C66" s="244"/>
      <c r="D66" s="78"/>
      <c r="E66" s="159"/>
      <c r="F66" s="106" t="s">
        <v>1252</v>
      </c>
      <c r="G66" s="107"/>
      <c r="H66" s="108">
        <v>0.33333333333333298</v>
      </c>
      <c r="I66" s="109">
        <f t="shared" si="1"/>
        <v>1</v>
      </c>
      <c r="J66" s="109">
        <v>0.9</v>
      </c>
      <c r="K66" s="168" t="s">
        <v>1464</v>
      </c>
      <c r="L66" s="82"/>
    </row>
    <row r="67" spans="1:12" ht="15.6" customHeight="1" thickBot="1">
      <c r="A67" s="253"/>
      <c r="B67" s="263"/>
      <c r="C67" s="245"/>
      <c r="D67" s="78"/>
      <c r="E67" s="113"/>
      <c r="F67" s="114" t="s">
        <v>1253</v>
      </c>
      <c r="G67" s="107"/>
      <c r="H67" s="123">
        <v>0.33333333333333298</v>
      </c>
      <c r="I67" s="109">
        <f t="shared" si="1"/>
        <v>1</v>
      </c>
      <c r="J67" s="109">
        <v>0.9</v>
      </c>
      <c r="K67" s="168" t="s">
        <v>1464</v>
      </c>
      <c r="L67" s="82"/>
    </row>
    <row r="68" spans="1:12" ht="15.6" customHeight="1">
      <c r="A68" s="253"/>
      <c r="B68" s="244">
        <v>45815</v>
      </c>
      <c r="C68" s="243" t="s">
        <v>1198</v>
      </c>
      <c r="D68" s="78" t="s">
        <v>1194</v>
      </c>
      <c r="E68" s="159"/>
      <c r="F68" s="111" t="s">
        <v>1251</v>
      </c>
      <c r="G68" s="108">
        <v>8.3333333333333329E-2</v>
      </c>
      <c r="H68" s="108">
        <v>0.33333333333333331</v>
      </c>
      <c r="I68" s="109">
        <f t="shared" si="1"/>
        <v>0.75</v>
      </c>
      <c r="J68" s="109">
        <v>0.9</v>
      </c>
      <c r="K68" s="82" t="s">
        <v>1465</v>
      </c>
      <c r="L68" s="112"/>
    </row>
    <row r="69" spans="1:12" ht="15.6" customHeight="1">
      <c r="A69" s="253"/>
      <c r="B69" s="244"/>
      <c r="C69" s="244"/>
      <c r="D69" s="78" t="s">
        <v>1194</v>
      </c>
      <c r="E69" s="159"/>
      <c r="F69" s="106" t="s">
        <v>1252</v>
      </c>
      <c r="G69" s="107"/>
      <c r="H69" s="108">
        <v>0.33333333333333298</v>
      </c>
      <c r="I69" s="109">
        <f t="shared" si="1"/>
        <v>1</v>
      </c>
      <c r="J69" s="109">
        <v>0.9</v>
      </c>
      <c r="K69" s="82"/>
      <c r="L69" s="82"/>
    </row>
    <row r="70" spans="1:12" ht="15.6" customHeight="1">
      <c r="A70" s="253"/>
      <c r="B70" s="244"/>
      <c r="C70" s="245"/>
      <c r="D70" s="78" t="s">
        <v>1194</v>
      </c>
      <c r="E70" s="113"/>
      <c r="F70" s="114" t="s">
        <v>1253</v>
      </c>
      <c r="G70" s="107"/>
      <c r="H70" s="123">
        <v>0.33333333333333298</v>
      </c>
      <c r="I70" s="109">
        <f t="shared" si="1"/>
        <v>1</v>
      </c>
      <c r="J70" s="109">
        <v>0.9</v>
      </c>
      <c r="K70" s="82"/>
      <c r="L70" s="82"/>
    </row>
    <row r="71" spans="1:12" ht="15.6" customHeight="1">
      <c r="A71" s="253"/>
      <c r="B71" s="244"/>
      <c r="C71" s="248" t="s">
        <v>1196</v>
      </c>
      <c r="D71" s="132" t="s">
        <v>1193</v>
      </c>
      <c r="E71" s="158"/>
      <c r="F71" s="125" t="s">
        <v>1251</v>
      </c>
      <c r="G71" s="126">
        <v>0.16666666666666666</v>
      </c>
      <c r="H71" s="108">
        <v>0.33333333333333298</v>
      </c>
      <c r="I71" s="109">
        <f t="shared" si="1"/>
        <v>0.49999999999999944</v>
      </c>
      <c r="J71" s="134">
        <v>0.9</v>
      </c>
      <c r="K71" s="135"/>
      <c r="L71" s="137"/>
    </row>
    <row r="72" spans="1:12" ht="15.6" customHeight="1">
      <c r="A72" s="253"/>
      <c r="B72" s="244"/>
      <c r="C72" s="249"/>
      <c r="D72" s="132" t="s">
        <v>1193</v>
      </c>
      <c r="E72" s="158"/>
      <c r="F72" s="129" t="s">
        <v>1252</v>
      </c>
      <c r="G72" s="126"/>
      <c r="H72" s="108">
        <v>0.33333333333333298</v>
      </c>
      <c r="I72" s="109">
        <f t="shared" si="1"/>
        <v>1</v>
      </c>
      <c r="J72" s="134">
        <v>0.9</v>
      </c>
      <c r="K72" s="135"/>
      <c r="L72" s="136"/>
    </row>
    <row r="73" spans="1:12" ht="15.6" customHeight="1">
      <c r="A73" s="253"/>
      <c r="B73" s="244"/>
      <c r="C73" s="250"/>
      <c r="D73" s="132" t="s">
        <v>1193</v>
      </c>
      <c r="E73" s="133"/>
      <c r="F73" s="128" t="s">
        <v>1253</v>
      </c>
      <c r="G73" s="126">
        <v>0.33333333333333331</v>
      </c>
      <c r="H73" s="123">
        <v>0.33333333333333331</v>
      </c>
      <c r="I73" s="109">
        <f t="shared" si="1"/>
        <v>0</v>
      </c>
      <c r="J73" s="134">
        <v>0.9</v>
      </c>
      <c r="K73" s="135" t="s">
        <v>1462</v>
      </c>
      <c r="L73" s="136"/>
    </row>
    <row r="74" spans="1:12" ht="15.6" customHeight="1">
      <c r="A74" s="253"/>
      <c r="B74" s="244"/>
      <c r="C74" s="243" t="s">
        <v>1197</v>
      </c>
      <c r="D74" s="78" t="s">
        <v>1191</v>
      </c>
      <c r="E74" s="159"/>
      <c r="F74" s="111" t="s">
        <v>1251</v>
      </c>
      <c r="G74" s="108">
        <v>0.33333333333333298</v>
      </c>
      <c r="H74" s="108">
        <v>0.33333333333333298</v>
      </c>
      <c r="I74" s="109">
        <f t="shared" si="1"/>
        <v>0</v>
      </c>
      <c r="J74" s="109">
        <v>0.9</v>
      </c>
      <c r="K74" s="82" t="s">
        <v>1466</v>
      </c>
      <c r="L74" s="82"/>
    </row>
    <row r="75" spans="1:12" ht="15.6" customHeight="1">
      <c r="A75" s="253"/>
      <c r="B75" s="244"/>
      <c r="C75" s="244"/>
      <c r="D75" s="78" t="s">
        <v>1191</v>
      </c>
      <c r="E75" s="159"/>
      <c r="F75" s="106" t="s">
        <v>1252</v>
      </c>
      <c r="G75" s="107"/>
      <c r="H75" s="108">
        <v>0.33333333333333298</v>
      </c>
      <c r="I75" s="109">
        <f t="shared" si="1"/>
        <v>1</v>
      </c>
      <c r="J75" s="109">
        <v>0.9</v>
      </c>
      <c r="K75" s="82"/>
      <c r="L75" s="82"/>
    </row>
    <row r="76" spans="1:12" ht="15.6" customHeight="1" thickBot="1">
      <c r="A76" s="253"/>
      <c r="B76" s="263"/>
      <c r="C76" s="245"/>
      <c r="D76" s="78" t="s">
        <v>1191</v>
      </c>
      <c r="E76" s="113"/>
      <c r="F76" s="114" t="s">
        <v>1253</v>
      </c>
      <c r="G76" s="108">
        <v>0.33333333333333298</v>
      </c>
      <c r="H76" s="123">
        <v>0.33333333333333298</v>
      </c>
      <c r="I76" s="109">
        <f t="shared" si="1"/>
        <v>0</v>
      </c>
      <c r="J76" s="109">
        <v>0.9</v>
      </c>
      <c r="K76" s="82" t="s">
        <v>1462</v>
      </c>
      <c r="L76" s="82"/>
    </row>
    <row r="77" spans="1:12" ht="15.6" customHeight="1">
      <c r="A77" s="253"/>
      <c r="B77" s="244">
        <v>45816</v>
      </c>
      <c r="C77" s="243" t="s">
        <v>1198</v>
      </c>
      <c r="D77" s="132" t="s">
        <v>1192</v>
      </c>
      <c r="E77" s="158"/>
      <c r="F77" s="125" t="s">
        <v>1251</v>
      </c>
      <c r="G77" s="126">
        <v>0.1875</v>
      </c>
      <c r="H77" s="108">
        <v>0.33333333333333331</v>
      </c>
      <c r="I77" s="109">
        <f t="shared" si="1"/>
        <v>0.4375</v>
      </c>
      <c r="J77" s="134">
        <v>0.9</v>
      </c>
      <c r="K77" s="136" t="s">
        <v>1467</v>
      </c>
      <c r="L77" s="137"/>
    </row>
    <row r="78" spans="1:12" ht="15.6" customHeight="1">
      <c r="A78" s="253"/>
      <c r="B78" s="244"/>
      <c r="C78" s="244"/>
      <c r="D78" s="132" t="s">
        <v>1192</v>
      </c>
      <c r="E78" s="158"/>
      <c r="F78" s="129" t="s">
        <v>1252</v>
      </c>
      <c r="G78" s="126"/>
      <c r="H78" s="108">
        <v>0.33333333333333298</v>
      </c>
      <c r="I78" s="109">
        <f t="shared" si="1"/>
        <v>1</v>
      </c>
      <c r="J78" s="134">
        <v>0.9</v>
      </c>
      <c r="K78" s="136"/>
      <c r="L78" s="136"/>
    </row>
    <row r="79" spans="1:12" ht="15.6" customHeight="1">
      <c r="A79" s="253"/>
      <c r="B79" s="244"/>
      <c r="C79" s="245"/>
      <c r="D79" s="132" t="s">
        <v>1192</v>
      </c>
      <c r="E79" s="133"/>
      <c r="F79" s="128" t="s">
        <v>1253</v>
      </c>
      <c r="G79" s="126">
        <v>0.33333333333333331</v>
      </c>
      <c r="H79" s="123">
        <v>0.33333333333333331</v>
      </c>
      <c r="I79" s="109">
        <f t="shared" si="1"/>
        <v>0</v>
      </c>
      <c r="J79" s="134">
        <v>0.9</v>
      </c>
      <c r="K79" s="136" t="s">
        <v>1462</v>
      </c>
      <c r="L79" s="136"/>
    </row>
    <row r="80" spans="1:12" ht="15.6" customHeight="1">
      <c r="A80" s="253"/>
      <c r="B80" s="244"/>
      <c r="C80" s="248" t="s">
        <v>1196</v>
      </c>
      <c r="D80" s="147" t="s">
        <v>1194</v>
      </c>
      <c r="E80" s="160"/>
      <c r="F80" s="148" t="s">
        <v>1251</v>
      </c>
      <c r="G80" s="149">
        <v>0.22916666666666666</v>
      </c>
      <c r="H80" s="108">
        <v>0.33333333333333331</v>
      </c>
      <c r="I80" s="109">
        <f t="shared" si="1"/>
        <v>0.3125</v>
      </c>
      <c r="J80" s="109">
        <v>0.9</v>
      </c>
      <c r="K80" s="150" t="s">
        <v>1468</v>
      </c>
      <c r="L80" s="151"/>
    </row>
    <row r="81" spans="1:12" ht="15.6" customHeight="1">
      <c r="A81" s="253"/>
      <c r="B81" s="244"/>
      <c r="C81" s="249"/>
      <c r="D81" s="147" t="s">
        <v>1194</v>
      </c>
      <c r="E81" s="160"/>
      <c r="F81" s="152" t="s">
        <v>1252</v>
      </c>
      <c r="G81" s="149"/>
      <c r="H81" s="108">
        <v>0.33333333333333298</v>
      </c>
      <c r="I81" s="109">
        <f t="shared" si="1"/>
        <v>1</v>
      </c>
      <c r="J81" s="109">
        <v>0.9</v>
      </c>
      <c r="K81" s="150"/>
      <c r="L81" s="153"/>
    </row>
    <row r="82" spans="1:12" ht="15.6" customHeight="1">
      <c r="A82" s="253"/>
      <c r="B82" s="244"/>
      <c r="C82" s="250"/>
      <c r="D82" s="147" t="s">
        <v>1194</v>
      </c>
      <c r="E82" s="154"/>
      <c r="F82" s="155" t="s">
        <v>1253</v>
      </c>
      <c r="G82" s="149">
        <v>0.33333333333333331</v>
      </c>
      <c r="H82" s="123">
        <v>0.33333333333333331</v>
      </c>
      <c r="I82" s="109">
        <f t="shared" si="1"/>
        <v>0</v>
      </c>
      <c r="J82" s="109">
        <v>0.9</v>
      </c>
      <c r="K82" s="150" t="s">
        <v>1462</v>
      </c>
      <c r="L82" s="153"/>
    </row>
    <row r="83" spans="1:12" ht="15.6" customHeight="1">
      <c r="A83" s="253"/>
      <c r="B83" s="244"/>
      <c r="C83" s="243" t="s">
        <v>1197</v>
      </c>
      <c r="D83" s="132" t="s">
        <v>1193</v>
      </c>
      <c r="E83" s="158"/>
      <c r="F83" s="125" t="s">
        <v>1251</v>
      </c>
      <c r="G83" s="126"/>
      <c r="H83" s="108">
        <v>0.33333333333333298</v>
      </c>
      <c r="I83" s="109">
        <f t="shared" si="1"/>
        <v>1</v>
      </c>
      <c r="J83" s="134">
        <v>0.9</v>
      </c>
      <c r="K83" s="136"/>
      <c r="L83" s="136"/>
    </row>
    <row r="84" spans="1:12" ht="15.6" customHeight="1">
      <c r="A84" s="253"/>
      <c r="B84" s="244"/>
      <c r="C84" s="244"/>
      <c r="D84" s="132" t="s">
        <v>1193</v>
      </c>
      <c r="E84" s="158"/>
      <c r="F84" s="129" t="s">
        <v>1252</v>
      </c>
      <c r="G84" s="126"/>
      <c r="H84" s="108">
        <v>0.33333333333333298</v>
      </c>
      <c r="I84" s="109">
        <f t="shared" si="1"/>
        <v>1</v>
      </c>
      <c r="J84" s="134">
        <v>0.9</v>
      </c>
      <c r="K84" s="136"/>
      <c r="L84" s="136"/>
    </row>
    <row r="85" spans="1:12" ht="15.6" customHeight="1" thickBot="1">
      <c r="A85" s="253"/>
      <c r="B85" s="263"/>
      <c r="C85" s="245"/>
      <c r="D85" s="132" t="s">
        <v>1193</v>
      </c>
      <c r="E85" s="133"/>
      <c r="F85" s="128" t="s">
        <v>1253</v>
      </c>
      <c r="G85" s="126"/>
      <c r="H85" s="123">
        <v>0.33333333333333298</v>
      </c>
      <c r="I85" s="109">
        <f t="shared" si="1"/>
        <v>1</v>
      </c>
      <c r="J85" s="134">
        <v>0.9</v>
      </c>
      <c r="K85" s="136"/>
      <c r="L85" s="136"/>
    </row>
    <row r="86" spans="1:12" ht="15.6" customHeight="1">
      <c r="A86" s="253"/>
      <c r="B86" s="117"/>
      <c r="C86" s="117"/>
      <c r="D86" s="118"/>
      <c r="E86" s="118"/>
      <c r="F86" s="119" t="s">
        <v>1251</v>
      </c>
      <c r="G86" s="124"/>
      <c r="H86" s="124"/>
      <c r="I86" s="120">
        <f>AVERAGEIF(F23:F85,F86,I23:I85)</f>
        <v>0.8571428571428571</v>
      </c>
      <c r="J86" s="121">
        <v>0.9</v>
      </c>
      <c r="K86" s="118"/>
      <c r="L86" s="116"/>
    </row>
    <row r="87" spans="1:12" ht="15.6" customHeight="1">
      <c r="A87" s="253"/>
      <c r="B87" s="117"/>
      <c r="C87" s="117"/>
      <c r="D87" s="118"/>
      <c r="E87" s="118"/>
      <c r="F87" s="119" t="s">
        <v>1252</v>
      </c>
      <c r="G87" s="124"/>
      <c r="H87" s="124"/>
      <c r="I87" s="120">
        <f>AVERAGEIF(F23:F85,F87,I23:I85)</f>
        <v>1</v>
      </c>
      <c r="J87" s="121">
        <v>0.9</v>
      </c>
      <c r="K87" s="118"/>
      <c r="L87" s="116"/>
    </row>
    <row r="88" spans="1:12" ht="15.6" customHeight="1" thickBot="1">
      <c r="A88" s="253"/>
      <c r="B88" s="117"/>
      <c r="C88" s="117"/>
      <c r="D88" s="118"/>
      <c r="E88" s="118"/>
      <c r="F88" s="119" t="s">
        <v>1253</v>
      </c>
      <c r="G88" s="124"/>
      <c r="H88" s="124"/>
      <c r="I88" s="120">
        <f>AVERAGEIF(F23:F85,F88,I23:I85)</f>
        <v>0.69791666666666652</v>
      </c>
      <c r="J88" s="121">
        <v>0.9</v>
      </c>
      <c r="K88" s="118"/>
      <c r="L88" s="116"/>
    </row>
    <row r="89" spans="1:12" ht="14.4" customHeight="1">
      <c r="A89" s="252" t="s">
        <v>1296</v>
      </c>
      <c r="B89" s="251">
        <v>45817</v>
      </c>
      <c r="C89" s="243" t="s">
        <v>1198</v>
      </c>
      <c r="D89" s="110" t="s">
        <v>1201</v>
      </c>
      <c r="E89" s="156"/>
      <c r="F89" s="111" t="s">
        <v>1251</v>
      </c>
      <c r="G89" s="107"/>
      <c r="H89" s="108">
        <v>0.33333333333333331</v>
      </c>
      <c r="I89" s="109">
        <f>1-(G89/H89)</f>
        <v>1</v>
      </c>
      <c r="J89" s="109">
        <v>0.9</v>
      </c>
      <c r="K89" s="82"/>
      <c r="L89" s="82"/>
    </row>
    <row r="90" spans="1:12" ht="14.4" customHeight="1">
      <c r="A90" s="253"/>
      <c r="B90" s="244"/>
      <c r="C90" s="244"/>
      <c r="D90" s="110" t="s">
        <v>1201</v>
      </c>
      <c r="E90" s="156"/>
      <c r="F90" s="111" t="s">
        <v>1252</v>
      </c>
      <c r="G90" s="107"/>
      <c r="H90" s="108">
        <v>0.33333333333333331</v>
      </c>
      <c r="I90" s="109">
        <f>1-(G90/H90)</f>
        <v>1</v>
      </c>
      <c r="J90" s="109">
        <v>0.9</v>
      </c>
      <c r="K90" s="82"/>
      <c r="L90" s="82"/>
    </row>
    <row r="91" spans="1:12" ht="14.4" customHeight="1">
      <c r="A91" s="253"/>
      <c r="B91" s="244"/>
      <c r="C91" s="245"/>
      <c r="D91" s="110" t="s">
        <v>1201</v>
      </c>
      <c r="E91" s="157"/>
      <c r="F91" s="114" t="s">
        <v>1253</v>
      </c>
      <c r="G91" s="107"/>
      <c r="H91" s="108">
        <v>0.33333333333333298</v>
      </c>
      <c r="I91" s="109">
        <f t="shared" ref="I91:I134" si="2">1-(G91/H91)</f>
        <v>1</v>
      </c>
      <c r="J91" s="109">
        <v>0.9</v>
      </c>
      <c r="K91" s="82"/>
      <c r="L91" s="82"/>
    </row>
    <row r="92" spans="1:12" ht="14.4" customHeight="1">
      <c r="A92" s="253"/>
      <c r="B92" s="244"/>
      <c r="C92" s="248" t="s">
        <v>1196</v>
      </c>
      <c r="D92" s="132" t="s">
        <v>1194</v>
      </c>
      <c r="E92" s="158"/>
      <c r="F92" s="125" t="s">
        <v>1251</v>
      </c>
      <c r="G92" s="126">
        <v>0.33333333333333331</v>
      </c>
      <c r="H92" s="127">
        <v>0.33333333333333331</v>
      </c>
      <c r="I92" s="109">
        <f t="shared" si="2"/>
        <v>0</v>
      </c>
      <c r="J92" s="134">
        <v>0.9</v>
      </c>
      <c r="K92" s="135" t="s">
        <v>1462</v>
      </c>
      <c r="L92" s="136"/>
    </row>
    <row r="93" spans="1:12" ht="14.4" customHeight="1">
      <c r="A93" s="253"/>
      <c r="B93" s="244"/>
      <c r="C93" s="249"/>
      <c r="D93" s="132" t="s">
        <v>1194</v>
      </c>
      <c r="E93" s="158"/>
      <c r="F93" s="125" t="s">
        <v>1252</v>
      </c>
      <c r="G93" s="126">
        <v>0.33333333333333331</v>
      </c>
      <c r="H93" s="127">
        <v>0.33333333333333298</v>
      </c>
      <c r="I93" s="109">
        <f t="shared" si="2"/>
        <v>0</v>
      </c>
      <c r="J93" s="134">
        <v>0.9</v>
      </c>
      <c r="K93" s="135" t="s">
        <v>1462</v>
      </c>
      <c r="L93" s="136"/>
    </row>
    <row r="94" spans="1:12" ht="14.4" customHeight="1">
      <c r="A94" s="253"/>
      <c r="B94" s="244"/>
      <c r="C94" s="250"/>
      <c r="D94" s="132" t="s">
        <v>1194</v>
      </c>
      <c r="E94" s="133"/>
      <c r="F94" s="128" t="s">
        <v>1253</v>
      </c>
      <c r="G94" s="126"/>
      <c r="H94" s="127">
        <v>0.33333333333333298</v>
      </c>
      <c r="I94" s="109">
        <f t="shared" si="2"/>
        <v>1</v>
      </c>
      <c r="J94" s="134">
        <v>0.9</v>
      </c>
      <c r="K94" s="133"/>
      <c r="L94" s="136"/>
    </row>
    <row r="95" spans="1:12" ht="14.4" customHeight="1">
      <c r="A95" s="253"/>
      <c r="B95" s="244"/>
      <c r="C95" s="243" t="s">
        <v>1197</v>
      </c>
      <c r="D95" s="78" t="s">
        <v>1193</v>
      </c>
      <c r="E95" s="159"/>
      <c r="F95" s="111" t="s">
        <v>1251</v>
      </c>
      <c r="G95" s="107">
        <v>0.33333333333333331</v>
      </c>
      <c r="H95" s="108">
        <v>0.33333333333333298</v>
      </c>
      <c r="I95" s="109">
        <f t="shared" si="2"/>
        <v>0</v>
      </c>
      <c r="J95" s="109">
        <v>0.9</v>
      </c>
      <c r="K95" s="82" t="s">
        <v>1462</v>
      </c>
      <c r="L95" s="82"/>
    </row>
    <row r="96" spans="1:12" ht="14.4" customHeight="1">
      <c r="A96" s="253"/>
      <c r="B96" s="244"/>
      <c r="C96" s="244"/>
      <c r="D96" s="78" t="s">
        <v>1193</v>
      </c>
      <c r="E96" s="159"/>
      <c r="F96" s="111" t="s">
        <v>1252</v>
      </c>
      <c r="G96" s="107">
        <v>0.33333333333333331</v>
      </c>
      <c r="H96" s="108">
        <v>0.33333333333333298</v>
      </c>
      <c r="I96" s="109">
        <f t="shared" si="2"/>
        <v>0</v>
      </c>
      <c r="J96" s="109">
        <v>0.9</v>
      </c>
      <c r="K96" s="82" t="s">
        <v>1462</v>
      </c>
      <c r="L96" s="82"/>
    </row>
    <row r="97" spans="1:12" ht="15" customHeight="1" thickBot="1">
      <c r="A97" s="253"/>
      <c r="B97" s="245"/>
      <c r="C97" s="245"/>
      <c r="D97" s="78" t="s">
        <v>1193</v>
      </c>
      <c r="E97" s="113"/>
      <c r="F97" s="114" t="s">
        <v>1253</v>
      </c>
      <c r="G97" s="107"/>
      <c r="H97" s="108">
        <v>0.33333333333333298</v>
      </c>
      <c r="I97" s="109">
        <f t="shared" si="2"/>
        <v>1</v>
      </c>
      <c r="J97" s="109">
        <v>0.9</v>
      </c>
      <c r="K97" s="82"/>
      <c r="L97" s="82"/>
    </row>
    <row r="98" spans="1:12" ht="14.4" customHeight="1">
      <c r="A98" s="253"/>
      <c r="B98" s="251">
        <v>45818</v>
      </c>
      <c r="C98" s="248" t="s">
        <v>1198</v>
      </c>
      <c r="D98" s="132" t="s">
        <v>1191</v>
      </c>
      <c r="E98" s="158"/>
      <c r="F98" s="125" t="s">
        <v>1251</v>
      </c>
      <c r="G98" s="126">
        <v>0.33333333333333331</v>
      </c>
      <c r="H98" s="127">
        <v>0.33333333333333298</v>
      </c>
      <c r="I98" s="109">
        <f t="shared" si="2"/>
        <v>0</v>
      </c>
      <c r="J98" s="134">
        <v>0.9</v>
      </c>
      <c r="K98" s="135" t="s">
        <v>1462</v>
      </c>
      <c r="L98" s="137"/>
    </row>
    <row r="99" spans="1:12" ht="14.4" customHeight="1">
      <c r="A99" s="253"/>
      <c r="B99" s="244"/>
      <c r="C99" s="249"/>
      <c r="D99" s="132" t="s">
        <v>1191</v>
      </c>
      <c r="E99" s="158"/>
      <c r="F99" s="125" t="s">
        <v>1252</v>
      </c>
      <c r="G99" s="126">
        <v>0.33333333333333331</v>
      </c>
      <c r="H99" s="127">
        <v>0.33333333333333298</v>
      </c>
      <c r="I99" s="109">
        <f t="shared" si="2"/>
        <v>0</v>
      </c>
      <c r="J99" s="134">
        <v>0.9</v>
      </c>
      <c r="K99" s="135" t="s">
        <v>1462</v>
      </c>
      <c r="L99" s="136"/>
    </row>
    <row r="100" spans="1:12" ht="14.4" customHeight="1">
      <c r="A100" s="253"/>
      <c r="B100" s="244"/>
      <c r="C100" s="250"/>
      <c r="D100" s="132" t="s">
        <v>1191</v>
      </c>
      <c r="E100" s="133"/>
      <c r="F100" s="128" t="s">
        <v>1253</v>
      </c>
      <c r="G100" s="126"/>
      <c r="H100" s="127">
        <v>0.33333333333333298</v>
      </c>
      <c r="I100" s="109">
        <f t="shared" si="2"/>
        <v>1</v>
      </c>
      <c r="J100" s="134">
        <v>0.9</v>
      </c>
      <c r="K100" s="133"/>
      <c r="L100" s="136"/>
    </row>
    <row r="101" spans="1:12" ht="14.4" customHeight="1">
      <c r="A101" s="253"/>
      <c r="B101" s="244"/>
      <c r="C101" s="243" t="s">
        <v>1196</v>
      </c>
      <c r="D101" s="78" t="s">
        <v>1192</v>
      </c>
      <c r="E101" s="159"/>
      <c r="F101" s="111" t="s">
        <v>1251</v>
      </c>
      <c r="G101" s="107">
        <v>0.33333333333333331</v>
      </c>
      <c r="H101" s="108">
        <v>0.33333333333333298</v>
      </c>
      <c r="I101" s="109">
        <f t="shared" si="2"/>
        <v>0</v>
      </c>
      <c r="J101" s="109">
        <v>0.9</v>
      </c>
      <c r="K101" s="112" t="s">
        <v>1462</v>
      </c>
      <c r="L101" s="112"/>
    </row>
    <row r="102" spans="1:12" ht="14.4" customHeight="1">
      <c r="A102" s="253"/>
      <c r="B102" s="244"/>
      <c r="C102" s="244"/>
      <c r="D102" s="78" t="s">
        <v>1192</v>
      </c>
      <c r="E102" s="159"/>
      <c r="F102" s="111" t="s">
        <v>1252</v>
      </c>
      <c r="G102" s="107">
        <v>0.33333333333333331</v>
      </c>
      <c r="H102" s="108">
        <v>0.33333333333333298</v>
      </c>
      <c r="I102" s="109">
        <f t="shared" si="2"/>
        <v>0</v>
      </c>
      <c r="J102" s="109">
        <v>0.9</v>
      </c>
      <c r="K102" s="82" t="s">
        <v>1462</v>
      </c>
      <c r="L102" s="82"/>
    </row>
    <row r="103" spans="1:12" ht="14.4" customHeight="1">
      <c r="A103" s="253"/>
      <c r="B103" s="244"/>
      <c r="C103" s="245"/>
      <c r="D103" s="78" t="s">
        <v>1192</v>
      </c>
      <c r="E103" s="113"/>
      <c r="F103" s="114" t="s">
        <v>1253</v>
      </c>
      <c r="G103" s="107"/>
      <c r="H103" s="108">
        <v>0.33333333333333298</v>
      </c>
      <c r="I103" s="109">
        <f t="shared" si="2"/>
        <v>1</v>
      </c>
      <c r="J103" s="109">
        <v>0.9</v>
      </c>
      <c r="K103" s="82"/>
      <c r="L103" s="82"/>
    </row>
    <row r="104" spans="1:12" ht="14.4" customHeight="1">
      <c r="A104" s="253"/>
      <c r="B104" s="244"/>
      <c r="C104" s="248" t="s">
        <v>1197</v>
      </c>
      <c r="D104" s="132" t="s">
        <v>1194</v>
      </c>
      <c r="E104" s="158"/>
      <c r="F104" s="125" t="s">
        <v>1251</v>
      </c>
      <c r="G104" s="126">
        <v>0.33333333333333331</v>
      </c>
      <c r="H104" s="127">
        <v>0.33333333333333298</v>
      </c>
      <c r="I104" s="109">
        <f t="shared" si="2"/>
        <v>0</v>
      </c>
      <c r="J104" s="134">
        <v>0.9</v>
      </c>
      <c r="K104" s="146" t="s">
        <v>1462</v>
      </c>
      <c r="L104" s="136"/>
    </row>
    <row r="105" spans="1:12" ht="14.4" customHeight="1">
      <c r="A105" s="253"/>
      <c r="B105" s="244"/>
      <c r="C105" s="249"/>
      <c r="D105" s="132" t="s">
        <v>1194</v>
      </c>
      <c r="E105" s="158"/>
      <c r="F105" s="129" t="s">
        <v>1252</v>
      </c>
      <c r="G105" s="126">
        <v>0.33333333333333331</v>
      </c>
      <c r="H105" s="127">
        <v>0.33333333333333298</v>
      </c>
      <c r="I105" s="109">
        <f t="shared" si="2"/>
        <v>0</v>
      </c>
      <c r="J105" s="134">
        <v>0.9</v>
      </c>
      <c r="K105" s="136" t="s">
        <v>1462</v>
      </c>
      <c r="L105" s="136"/>
    </row>
    <row r="106" spans="1:12" ht="15" customHeight="1" thickBot="1">
      <c r="A106" s="253"/>
      <c r="B106" s="245"/>
      <c r="C106" s="250"/>
      <c r="D106" s="132" t="s">
        <v>1194</v>
      </c>
      <c r="E106" s="133"/>
      <c r="F106" s="128" t="s">
        <v>1253</v>
      </c>
      <c r="G106" s="126">
        <v>0.25</v>
      </c>
      <c r="H106" s="131">
        <v>0.33333333333333298</v>
      </c>
      <c r="I106" s="115">
        <f t="shared" si="2"/>
        <v>0.24999999999999922</v>
      </c>
      <c r="J106" s="134">
        <v>0.9</v>
      </c>
      <c r="K106" s="136" t="s">
        <v>1463</v>
      </c>
      <c r="L106" s="136"/>
    </row>
    <row r="107" spans="1:12" ht="14.4" customHeight="1">
      <c r="A107" s="253"/>
      <c r="B107" s="251">
        <v>45819</v>
      </c>
      <c r="C107" s="243" t="s">
        <v>1198</v>
      </c>
      <c r="D107" s="78" t="s">
        <v>1191</v>
      </c>
      <c r="E107" s="159"/>
      <c r="F107" s="111" t="s">
        <v>1251</v>
      </c>
      <c r="G107" s="107">
        <v>0.33333333333333331</v>
      </c>
      <c r="H107" s="108">
        <v>0.33333333333333331</v>
      </c>
      <c r="I107" s="109">
        <f t="shared" si="2"/>
        <v>0</v>
      </c>
      <c r="J107" s="109">
        <v>0.9</v>
      </c>
      <c r="K107" s="82" t="s">
        <v>1462</v>
      </c>
      <c r="L107" s="112"/>
    </row>
    <row r="108" spans="1:12" ht="14.4" customHeight="1">
      <c r="A108" s="253"/>
      <c r="B108" s="244"/>
      <c r="C108" s="244"/>
      <c r="D108" s="78" t="s">
        <v>1191</v>
      </c>
      <c r="E108" s="159"/>
      <c r="F108" s="106" t="s">
        <v>1252</v>
      </c>
      <c r="G108" s="107">
        <v>0.33333333333333331</v>
      </c>
      <c r="H108" s="108">
        <v>0.33333333333333298</v>
      </c>
      <c r="I108" s="109">
        <f t="shared" si="2"/>
        <v>0</v>
      </c>
      <c r="J108" s="109">
        <v>0.9</v>
      </c>
      <c r="K108" s="82" t="s">
        <v>1462</v>
      </c>
      <c r="L108" s="82"/>
    </row>
    <row r="109" spans="1:12" ht="14.4" customHeight="1">
      <c r="A109" s="253"/>
      <c r="B109" s="244"/>
      <c r="C109" s="245"/>
      <c r="D109" s="78" t="s">
        <v>1191</v>
      </c>
      <c r="E109" s="113"/>
      <c r="F109" s="114" t="s">
        <v>1253</v>
      </c>
      <c r="G109" s="108">
        <v>0.29166666666666669</v>
      </c>
      <c r="H109" s="108">
        <v>0.33333333333333298</v>
      </c>
      <c r="I109" s="109">
        <f t="shared" si="2"/>
        <v>0.124999999999999</v>
      </c>
      <c r="J109" s="109">
        <v>0.9</v>
      </c>
      <c r="K109" s="82" t="s">
        <v>1463</v>
      </c>
      <c r="L109" s="82"/>
    </row>
    <row r="110" spans="1:12" ht="14.4" customHeight="1">
      <c r="A110" s="253"/>
      <c r="B110" s="244"/>
      <c r="C110" s="248" t="s">
        <v>1196</v>
      </c>
      <c r="D110" s="132" t="s">
        <v>1192</v>
      </c>
      <c r="E110" s="158"/>
      <c r="F110" s="125" t="s">
        <v>1251</v>
      </c>
      <c r="G110" s="126">
        <v>0.33333333333333331</v>
      </c>
      <c r="H110" s="127">
        <v>0.33333333333333298</v>
      </c>
      <c r="I110" s="109">
        <f t="shared" si="2"/>
        <v>0</v>
      </c>
      <c r="J110" s="134">
        <v>0.9</v>
      </c>
      <c r="K110" s="135" t="s">
        <v>1462</v>
      </c>
      <c r="L110" s="136"/>
    </row>
    <row r="111" spans="1:12" ht="14.4" customHeight="1">
      <c r="A111" s="253"/>
      <c r="B111" s="244"/>
      <c r="C111" s="249"/>
      <c r="D111" s="132" t="s">
        <v>1192</v>
      </c>
      <c r="E111" s="158"/>
      <c r="F111" s="129" t="s">
        <v>1252</v>
      </c>
      <c r="G111" s="126">
        <v>0.33333333333333331</v>
      </c>
      <c r="H111" s="127">
        <v>0.33333333333333298</v>
      </c>
      <c r="I111" s="109">
        <f t="shared" si="2"/>
        <v>0</v>
      </c>
      <c r="J111" s="134">
        <v>0.9</v>
      </c>
      <c r="K111" s="135" t="s">
        <v>1462</v>
      </c>
      <c r="L111" s="136"/>
    </row>
    <row r="112" spans="1:12" ht="14.4" customHeight="1">
      <c r="A112" s="253"/>
      <c r="B112" s="244"/>
      <c r="C112" s="250"/>
      <c r="D112" s="132" t="s">
        <v>1192</v>
      </c>
      <c r="E112" s="133"/>
      <c r="F112" s="128" t="s">
        <v>1253</v>
      </c>
      <c r="G112" s="126"/>
      <c r="H112" s="127">
        <v>0.33333333333333298</v>
      </c>
      <c r="I112" s="109">
        <f t="shared" si="2"/>
        <v>1</v>
      </c>
      <c r="J112" s="134">
        <v>0.9</v>
      </c>
      <c r="K112" s="133"/>
      <c r="L112" s="136"/>
    </row>
    <row r="113" spans="1:12" ht="14.4" customHeight="1">
      <c r="A113" s="253"/>
      <c r="B113" s="244"/>
      <c r="C113" s="243" t="s">
        <v>1197</v>
      </c>
      <c r="D113" s="78" t="s">
        <v>1194</v>
      </c>
      <c r="E113" s="159"/>
      <c r="F113" s="111" t="s">
        <v>1251</v>
      </c>
      <c r="G113" s="108">
        <v>0.33333333333333331</v>
      </c>
      <c r="H113" s="108">
        <v>0.33333333333333298</v>
      </c>
      <c r="I113" s="109">
        <f t="shared" si="2"/>
        <v>0</v>
      </c>
      <c r="J113" s="109">
        <v>0.9</v>
      </c>
      <c r="K113" s="82" t="s">
        <v>1462</v>
      </c>
      <c r="L113" s="82"/>
    </row>
    <row r="114" spans="1:12" ht="14.4" customHeight="1">
      <c r="A114" s="253"/>
      <c r="B114" s="244"/>
      <c r="C114" s="244"/>
      <c r="D114" s="78" t="s">
        <v>1194</v>
      </c>
      <c r="E114" s="159"/>
      <c r="F114" s="106" t="s">
        <v>1252</v>
      </c>
      <c r="G114" s="108">
        <v>0.33333333333333298</v>
      </c>
      <c r="H114" s="108">
        <v>0.33333333333333298</v>
      </c>
      <c r="I114" s="109">
        <f t="shared" si="2"/>
        <v>0</v>
      </c>
      <c r="J114" s="109">
        <v>0.9</v>
      </c>
      <c r="K114" s="82" t="s">
        <v>1462</v>
      </c>
      <c r="L114" s="82"/>
    </row>
    <row r="115" spans="1:12" ht="15" customHeight="1" thickBot="1">
      <c r="A115" s="253"/>
      <c r="B115" s="245"/>
      <c r="C115" s="245"/>
      <c r="D115" s="78" t="s">
        <v>1194</v>
      </c>
      <c r="E115" s="113"/>
      <c r="F115" s="114" t="s">
        <v>1253</v>
      </c>
      <c r="G115" s="108">
        <v>0.1736111111111111</v>
      </c>
      <c r="H115" s="108">
        <v>0.33333333333333298</v>
      </c>
      <c r="I115" s="109">
        <f t="shared" si="2"/>
        <v>0.47916666666666619</v>
      </c>
      <c r="J115" s="109">
        <v>0.9</v>
      </c>
      <c r="K115" s="82" t="s">
        <v>1463</v>
      </c>
      <c r="L115" s="82"/>
    </row>
    <row r="116" spans="1:12" ht="14.4" customHeight="1">
      <c r="A116" s="253"/>
      <c r="B116" s="251">
        <v>45820</v>
      </c>
      <c r="C116" s="248" t="s">
        <v>1198</v>
      </c>
      <c r="D116" s="132" t="s">
        <v>1193</v>
      </c>
      <c r="E116" s="158"/>
      <c r="F116" s="125" t="s">
        <v>1251</v>
      </c>
      <c r="G116" s="126">
        <v>0.3125</v>
      </c>
      <c r="H116" s="127">
        <v>0.33333333333333331</v>
      </c>
      <c r="I116" s="109">
        <f>1-(G116/H116)</f>
        <v>6.25E-2</v>
      </c>
      <c r="J116" s="134">
        <v>0.9</v>
      </c>
      <c r="K116" s="135" t="s">
        <v>1462</v>
      </c>
      <c r="L116" s="137"/>
    </row>
    <row r="117" spans="1:12" ht="14.4" customHeight="1">
      <c r="A117" s="253"/>
      <c r="B117" s="244"/>
      <c r="C117" s="249"/>
      <c r="D117" s="132" t="s">
        <v>1193</v>
      </c>
      <c r="E117" s="158"/>
      <c r="F117" s="129" t="s">
        <v>1252</v>
      </c>
      <c r="G117" s="126">
        <v>0.27083333333333331</v>
      </c>
      <c r="H117" s="127">
        <v>0.33333333333333298</v>
      </c>
      <c r="I117" s="109">
        <f>1-(G117/H117)</f>
        <v>0.18749999999999922</v>
      </c>
      <c r="J117" s="134">
        <v>0.9</v>
      </c>
      <c r="K117" s="135" t="s">
        <v>1462</v>
      </c>
      <c r="L117" s="136"/>
    </row>
    <row r="118" spans="1:12" ht="14.4" customHeight="1">
      <c r="A118" s="253"/>
      <c r="B118" s="244"/>
      <c r="C118" s="250"/>
      <c r="D118" s="132" t="s">
        <v>1193</v>
      </c>
      <c r="E118" s="133"/>
      <c r="F118" s="128" t="s">
        <v>1253</v>
      </c>
      <c r="G118" s="126">
        <v>0.27083333333333331</v>
      </c>
      <c r="H118" s="127">
        <v>0.33333333333333298</v>
      </c>
      <c r="I118" s="109">
        <f t="shared" si="2"/>
        <v>0.18749999999999922</v>
      </c>
      <c r="J118" s="134">
        <v>0.9</v>
      </c>
      <c r="K118" s="133" t="s">
        <v>1462</v>
      </c>
      <c r="L118" s="136"/>
    </row>
    <row r="119" spans="1:12" ht="14.4" customHeight="1">
      <c r="A119" s="253"/>
      <c r="B119" s="244"/>
      <c r="C119" s="243" t="s">
        <v>1196</v>
      </c>
      <c r="D119" s="78" t="s">
        <v>1191</v>
      </c>
      <c r="E119" s="159"/>
      <c r="F119" s="111" t="s">
        <v>1251</v>
      </c>
      <c r="G119" s="107">
        <v>4.1666666666666664E-2</v>
      </c>
      <c r="H119" s="108">
        <v>0.33333333333333298</v>
      </c>
      <c r="I119" s="109">
        <f t="shared" si="2"/>
        <v>0.87499999999999989</v>
      </c>
      <c r="J119" s="109">
        <v>0.9</v>
      </c>
      <c r="K119" s="82" t="s">
        <v>1462</v>
      </c>
      <c r="L119" s="112"/>
    </row>
    <row r="120" spans="1:12" ht="14.4" customHeight="1">
      <c r="A120" s="253"/>
      <c r="B120" s="244"/>
      <c r="C120" s="244"/>
      <c r="D120" s="78" t="s">
        <v>1191</v>
      </c>
      <c r="E120" s="159"/>
      <c r="F120" s="106" t="s">
        <v>1252</v>
      </c>
      <c r="G120" s="107"/>
      <c r="H120" s="108">
        <v>0.33333333333333298</v>
      </c>
      <c r="I120" s="109">
        <f t="shared" si="2"/>
        <v>1</v>
      </c>
      <c r="J120" s="109">
        <v>0.9</v>
      </c>
      <c r="K120" s="82"/>
      <c r="L120" s="82"/>
    </row>
    <row r="121" spans="1:12" ht="14.4" customHeight="1">
      <c r="A121" s="253"/>
      <c r="B121" s="244"/>
      <c r="C121" s="245"/>
      <c r="D121" s="78" t="s">
        <v>1191</v>
      </c>
      <c r="E121" s="113"/>
      <c r="F121" s="114" t="s">
        <v>1253</v>
      </c>
      <c r="G121" s="108">
        <v>0.33333333333333331</v>
      </c>
      <c r="H121" s="108">
        <v>0.33333333333333298</v>
      </c>
      <c r="I121" s="109">
        <f t="shared" si="2"/>
        <v>0</v>
      </c>
      <c r="J121" s="109">
        <v>0.9</v>
      </c>
      <c r="K121" s="82" t="s">
        <v>1462</v>
      </c>
      <c r="L121" s="82"/>
    </row>
    <row r="122" spans="1:12" ht="14.4" customHeight="1">
      <c r="A122" s="253"/>
      <c r="B122" s="244"/>
      <c r="C122" s="248" t="s">
        <v>1197</v>
      </c>
      <c r="D122" s="132" t="s">
        <v>1192</v>
      </c>
      <c r="E122" s="158"/>
      <c r="F122" s="125" t="s">
        <v>1251</v>
      </c>
      <c r="G122" s="126"/>
      <c r="H122" s="127">
        <v>0.33333333333333298</v>
      </c>
      <c r="I122" s="109">
        <f t="shared" si="2"/>
        <v>1</v>
      </c>
      <c r="J122" s="134">
        <v>0.9</v>
      </c>
      <c r="K122" s="135"/>
      <c r="L122" s="136"/>
    </row>
    <row r="123" spans="1:12" ht="14.4" customHeight="1">
      <c r="A123" s="253"/>
      <c r="B123" s="244"/>
      <c r="C123" s="249"/>
      <c r="D123" s="132" t="s">
        <v>1192</v>
      </c>
      <c r="E123" s="158"/>
      <c r="F123" s="129" t="s">
        <v>1252</v>
      </c>
      <c r="G123" s="126"/>
      <c r="H123" s="127">
        <v>0.33333333333333298</v>
      </c>
      <c r="I123" s="109">
        <f t="shared" si="2"/>
        <v>1</v>
      </c>
      <c r="J123" s="134">
        <v>0.9</v>
      </c>
      <c r="K123" s="135"/>
      <c r="L123" s="136"/>
    </row>
    <row r="124" spans="1:12" ht="15" customHeight="1" thickBot="1">
      <c r="A124" s="253"/>
      <c r="B124" s="245"/>
      <c r="C124" s="250"/>
      <c r="D124" s="132" t="s">
        <v>1192</v>
      </c>
      <c r="E124" s="133"/>
      <c r="F124" s="128" t="s">
        <v>1253</v>
      </c>
      <c r="G124" s="127">
        <v>0.33333333333333298</v>
      </c>
      <c r="H124" s="127">
        <v>0.33333333333333298</v>
      </c>
      <c r="I124" s="109">
        <f t="shared" si="2"/>
        <v>0</v>
      </c>
      <c r="J124" s="134">
        <v>0.9</v>
      </c>
      <c r="K124" s="135" t="s">
        <v>1462</v>
      </c>
      <c r="L124" s="136"/>
    </row>
    <row r="125" spans="1:12" ht="14.4" customHeight="1">
      <c r="A125" s="253"/>
      <c r="B125" s="251">
        <v>45821</v>
      </c>
      <c r="C125" s="243" t="s">
        <v>1198</v>
      </c>
      <c r="D125" s="78" t="s">
        <v>1193</v>
      </c>
      <c r="E125" s="159"/>
      <c r="F125" s="111" t="s">
        <v>1251</v>
      </c>
      <c r="G125" s="107"/>
      <c r="H125" s="108">
        <v>0.33333333333333298</v>
      </c>
      <c r="I125" s="109">
        <f t="shared" si="2"/>
        <v>1</v>
      </c>
      <c r="J125" s="109">
        <v>0.9</v>
      </c>
      <c r="K125" s="82"/>
      <c r="L125" s="112"/>
    </row>
    <row r="126" spans="1:12" ht="14.4" customHeight="1">
      <c r="A126" s="253"/>
      <c r="B126" s="244"/>
      <c r="C126" s="244"/>
      <c r="D126" s="78" t="s">
        <v>1193</v>
      </c>
      <c r="E126" s="159"/>
      <c r="F126" s="106" t="s">
        <v>1252</v>
      </c>
      <c r="G126" s="107"/>
      <c r="H126" s="108">
        <v>0.33333333333333298</v>
      </c>
      <c r="I126" s="109">
        <f t="shared" si="2"/>
        <v>1</v>
      </c>
      <c r="J126" s="109">
        <v>0.9</v>
      </c>
      <c r="K126" s="82"/>
      <c r="L126" s="82"/>
    </row>
    <row r="127" spans="1:12" ht="14.4" customHeight="1">
      <c r="A127" s="253"/>
      <c r="B127" s="244"/>
      <c r="C127" s="245"/>
      <c r="D127" s="78" t="s">
        <v>1193</v>
      </c>
      <c r="E127" s="113"/>
      <c r="F127" s="114" t="s">
        <v>1253</v>
      </c>
      <c r="G127" s="108">
        <v>0.33333333333333331</v>
      </c>
      <c r="H127" s="108">
        <v>0.33333333333333298</v>
      </c>
      <c r="I127" s="109">
        <f t="shared" si="2"/>
        <v>0</v>
      </c>
      <c r="J127" s="109">
        <v>0.9</v>
      </c>
      <c r="K127" s="82" t="s">
        <v>1462</v>
      </c>
      <c r="L127" s="82"/>
    </row>
    <row r="128" spans="1:12" ht="14.4" customHeight="1">
      <c r="A128" s="253"/>
      <c r="B128" s="244"/>
      <c r="C128" s="248" t="s">
        <v>1196</v>
      </c>
      <c r="D128" s="132" t="s">
        <v>1191</v>
      </c>
      <c r="E128" s="158"/>
      <c r="F128" s="125" t="s">
        <v>1251</v>
      </c>
      <c r="G128" s="126"/>
      <c r="H128" s="127">
        <v>0.33333333333333298</v>
      </c>
      <c r="I128" s="109">
        <f t="shared" si="2"/>
        <v>1</v>
      </c>
      <c r="J128" s="134">
        <v>0.9</v>
      </c>
      <c r="K128" s="137"/>
      <c r="L128" s="137"/>
    </row>
    <row r="129" spans="1:12" ht="14.4" customHeight="1">
      <c r="A129" s="253"/>
      <c r="B129" s="244"/>
      <c r="C129" s="249"/>
      <c r="D129" s="132" t="s">
        <v>1191</v>
      </c>
      <c r="E129" s="158"/>
      <c r="F129" s="129" t="s">
        <v>1252</v>
      </c>
      <c r="G129" s="126"/>
      <c r="H129" s="127">
        <v>0.33333333333333298</v>
      </c>
      <c r="I129" s="109">
        <f t="shared" si="2"/>
        <v>1</v>
      </c>
      <c r="J129" s="134">
        <v>0.9</v>
      </c>
      <c r="K129" s="135"/>
      <c r="L129" s="136"/>
    </row>
    <row r="130" spans="1:12" ht="14.4" customHeight="1">
      <c r="A130" s="253"/>
      <c r="B130" s="244"/>
      <c r="C130" s="250"/>
      <c r="D130" s="132" t="s">
        <v>1191</v>
      </c>
      <c r="E130" s="133"/>
      <c r="F130" s="128" t="s">
        <v>1253</v>
      </c>
      <c r="G130" s="127">
        <v>0.33333333333333331</v>
      </c>
      <c r="H130" s="127">
        <v>0.33333333333333298</v>
      </c>
      <c r="I130" s="109">
        <f t="shared" si="2"/>
        <v>0</v>
      </c>
      <c r="J130" s="134">
        <v>0.9</v>
      </c>
      <c r="K130" s="135" t="s">
        <v>1462</v>
      </c>
      <c r="L130" s="136"/>
    </row>
    <row r="131" spans="1:12" ht="14.4" customHeight="1">
      <c r="A131" s="253"/>
      <c r="B131" s="244"/>
      <c r="C131" s="243" t="s">
        <v>1197</v>
      </c>
      <c r="D131" s="78" t="s">
        <v>1192</v>
      </c>
      <c r="E131" s="159"/>
      <c r="F131" s="111" t="s">
        <v>1251</v>
      </c>
      <c r="G131" s="107">
        <v>5.0694444444444445E-2</v>
      </c>
      <c r="H131" s="108">
        <v>0.33333333333333298</v>
      </c>
      <c r="I131" s="109">
        <f t="shared" si="2"/>
        <v>0.84791666666666654</v>
      </c>
      <c r="J131" s="109">
        <v>0.9</v>
      </c>
      <c r="K131" s="82" t="s">
        <v>1463</v>
      </c>
      <c r="L131" s="82"/>
    </row>
    <row r="132" spans="1:12" ht="14.4" customHeight="1">
      <c r="A132" s="253"/>
      <c r="B132" s="244"/>
      <c r="C132" s="244"/>
      <c r="D132" s="78" t="s">
        <v>1192</v>
      </c>
      <c r="E132" s="159"/>
      <c r="F132" s="106" t="s">
        <v>1252</v>
      </c>
      <c r="G132" s="107"/>
      <c r="H132" s="108">
        <v>0.33333333333333298</v>
      </c>
      <c r="I132" s="109">
        <f t="shared" si="2"/>
        <v>1</v>
      </c>
      <c r="J132" s="109">
        <v>0.9</v>
      </c>
      <c r="K132" s="82"/>
      <c r="L132" s="82"/>
    </row>
    <row r="133" spans="1:12" ht="14.4" customHeight="1" thickBot="1">
      <c r="A133" s="253"/>
      <c r="B133" s="245"/>
      <c r="C133" s="245"/>
      <c r="D133" s="78" t="s">
        <v>1192</v>
      </c>
      <c r="E133" s="113"/>
      <c r="F133" s="114" t="s">
        <v>1253</v>
      </c>
      <c r="G133" s="122">
        <v>0.33333333333333331</v>
      </c>
      <c r="H133" s="123">
        <v>0.33333333333333298</v>
      </c>
      <c r="I133" s="109">
        <f t="shared" si="2"/>
        <v>0</v>
      </c>
      <c r="J133" s="109">
        <v>0.9</v>
      </c>
      <c r="K133" s="82" t="s">
        <v>1462</v>
      </c>
      <c r="L133" s="82"/>
    </row>
    <row r="134" spans="1:12" ht="14.4" customHeight="1">
      <c r="A134" s="253"/>
      <c r="B134" s="251">
        <v>45822</v>
      </c>
      <c r="C134" s="248" t="s">
        <v>1198</v>
      </c>
      <c r="D134" s="132" t="s">
        <v>1194</v>
      </c>
      <c r="E134" s="158"/>
      <c r="F134" s="125" t="s">
        <v>1251</v>
      </c>
      <c r="G134" s="127"/>
      <c r="H134" s="127">
        <v>0.33333333333333298</v>
      </c>
      <c r="I134" s="109">
        <f t="shared" si="2"/>
        <v>1</v>
      </c>
      <c r="J134" s="134">
        <v>0.9</v>
      </c>
      <c r="K134" s="135"/>
      <c r="L134" s="137"/>
    </row>
    <row r="135" spans="1:12" ht="14.4" customHeight="1">
      <c r="A135" s="253"/>
      <c r="B135" s="244"/>
      <c r="C135" s="249"/>
      <c r="D135" s="132" t="s">
        <v>1194</v>
      </c>
      <c r="E135" s="158"/>
      <c r="F135" s="129" t="s">
        <v>1252</v>
      </c>
      <c r="G135" s="126"/>
      <c r="H135" s="127">
        <v>0.33333333333333298</v>
      </c>
      <c r="I135" s="109">
        <f>1-(G135/H135)</f>
        <v>1</v>
      </c>
      <c r="J135" s="134">
        <v>0.9</v>
      </c>
      <c r="K135" s="135"/>
      <c r="L135" s="136"/>
    </row>
    <row r="136" spans="1:12" ht="14.4" customHeight="1">
      <c r="A136" s="253"/>
      <c r="B136" s="244"/>
      <c r="C136" s="250"/>
      <c r="D136" s="132" t="s">
        <v>1194</v>
      </c>
      <c r="E136" s="133"/>
      <c r="F136" s="128" t="s">
        <v>1253</v>
      </c>
      <c r="G136" s="127">
        <v>0.33333333333333331</v>
      </c>
      <c r="H136" s="127">
        <v>0.33333333333333298</v>
      </c>
      <c r="I136" s="109">
        <f>1-(G134/H136)</f>
        <v>1</v>
      </c>
      <c r="J136" s="134">
        <v>0.9</v>
      </c>
      <c r="K136" s="135" t="s">
        <v>1462</v>
      </c>
      <c r="L136" s="136"/>
    </row>
    <row r="137" spans="1:12" ht="14.4" customHeight="1">
      <c r="A137" s="253"/>
      <c r="B137" s="244"/>
      <c r="C137" s="243" t="s">
        <v>1196</v>
      </c>
      <c r="D137" s="78" t="s">
        <v>1193</v>
      </c>
      <c r="E137" s="159"/>
      <c r="F137" s="111" t="s">
        <v>1251</v>
      </c>
      <c r="G137" s="107"/>
      <c r="H137" s="108">
        <v>0.33333333333333298</v>
      </c>
      <c r="I137" s="109">
        <f t="shared" ref="I137:I151" si="3">1-(G137/H137)</f>
        <v>1</v>
      </c>
      <c r="J137" s="109">
        <v>0.9</v>
      </c>
      <c r="K137" s="82"/>
      <c r="L137" s="112"/>
    </row>
    <row r="138" spans="1:12" ht="14.4" customHeight="1">
      <c r="A138" s="253"/>
      <c r="B138" s="244"/>
      <c r="C138" s="244"/>
      <c r="D138" s="78" t="s">
        <v>1193</v>
      </c>
      <c r="E138" s="159"/>
      <c r="F138" s="106" t="s">
        <v>1252</v>
      </c>
      <c r="G138" s="107"/>
      <c r="H138" s="108">
        <v>0.33333333333333298</v>
      </c>
      <c r="I138" s="109">
        <f t="shared" si="3"/>
        <v>1</v>
      </c>
      <c r="J138" s="109">
        <v>0.9</v>
      </c>
      <c r="K138" s="82"/>
      <c r="L138" s="82"/>
    </row>
    <row r="139" spans="1:12" ht="14.4" customHeight="1">
      <c r="A139" s="253"/>
      <c r="B139" s="244"/>
      <c r="C139" s="245"/>
      <c r="D139" s="78" t="s">
        <v>1193</v>
      </c>
      <c r="E139" s="113"/>
      <c r="F139" s="114" t="s">
        <v>1253</v>
      </c>
      <c r="G139" s="108">
        <v>0.33333333333333298</v>
      </c>
      <c r="H139" s="108">
        <v>0.33333333333333298</v>
      </c>
      <c r="I139" s="109">
        <f t="shared" si="3"/>
        <v>0</v>
      </c>
      <c r="J139" s="109">
        <v>0.9</v>
      </c>
      <c r="K139" s="82"/>
      <c r="L139" s="82"/>
    </row>
    <row r="140" spans="1:12" ht="14.4" customHeight="1">
      <c r="A140" s="253"/>
      <c r="B140" s="244"/>
      <c r="C140" s="248" t="s">
        <v>1197</v>
      </c>
      <c r="D140" s="132" t="s">
        <v>1191</v>
      </c>
      <c r="E140" s="158"/>
      <c r="F140" s="125" t="s">
        <v>1251</v>
      </c>
      <c r="G140" s="127">
        <v>1.3888888888888888E-2</v>
      </c>
      <c r="H140" s="127">
        <v>0.33333333333333298</v>
      </c>
      <c r="I140" s="109">
        <f t="shared" si="3"/>
        <v>0.95833333333333326</v>
      </c>
      <c r="J140" s="134">
        <v>0.9</v>
      </c>
      <c r="K140" s="135" t="s">
        <v>1469</v>
      </c>
      <c r="L140" s="136"/>
    </row>
    <row r="141" spans="1:12" ht="14.4" customHeight="1">
      <c r="A141" s="253"/>
      <c r="B141" s="244"/>
      <c r="C141" s="249"/>
      <c r="D141" s="132" t="s">
        <v>1191</v>
      </c>
      <c r="E141" s="158"/>
      <c r="F141" s="129" t="s">
        <v>1252</v>
      </c>
      <c r="G141" s="127">
        <v>1.3888888888888888E-2</v>
      </c>
      <c r="H141" s="127">
        <v>0.33333333333333298</v>
      </c>
      <c r="I141" s="109">
        <f t="shared" si="3"/>
        <v>0.95833333333333326</v>
      </c>
      <c r="J141" s="134">
        <v>0.9</v>
      </c>
      <c r="K141" s="135" t="s">
        <v>1470</v>
      </c>
      <c r="L141" s="136"/>
    </row>
    <row r="142" spans="1:12" ht="14.4" customHeight="1" thickBot="1">
      <c r="A142" s="253"/>
      <c r="B142" s="245"/>
      <c r="C142" s="250"/>
      <c r="D142" s="132" t="s">
        <v>1191</v>
      </c>
      <c r="E142" s="133"/>
      <c r="F142" s="128" t="s">
        <v>1253</v>
      </c>
      <c r="G142" s="127">
        <v>0.33333333333333298</v>
      </c>
      <c r="H142" s="127">
        <v>0.33333333333333298</v>
      </c>
      <c r="I142" s="109">
        <f t="shared" si="3"/>
        <v>0</v>
      </c>
      <c r="J142" s="134">
        <v>0.9</v>
      </c>
      <c r="K142" s="135" t="s">
        <v>1462</v>
      </c>
      <c r="L142" s="136"/>
    </row>
    <row r="143" spans="1:12" ht="14.4" customHeight="1">
      <c r="A143" s="253"/>
      <c r="B143" s="251">
        <v>45823</v>
      </c>
      <c r="C143" s="243" t="s">
        <v>1198</v>
      </c>
      <c r="D143" s="78" t="s">
        <v>1194</v>
      </c>
      <c r="E143" s="159"/>
      <c r="F143" s="111" t="s">
        <v>1251</v>
      </c>
      <c r="G143" s="108">
        <v>0.33333333333333298</v>
      </c>
      <c r="H143" s="108">
        <v>0.33333333333333298</v>
      </c>
      <c r="I143" s="109">
        <f t="shared" si="3"/>
        <v>0</v>
      </c>
      <c r="J143" s="109">
        <v>0.9</v>
      </c>
      <c r="K143" s="82" t="s">
        <v>1469</v>
      </c>
      <c r="L143" s="112"/>
    </row>
    <row r="144" spans="1:12" ht="14.4" customHeight="1">
      <c r="A144" s="253"/>
      <c r="B144" s="244"/>
      <c r="C144" s="244"/>
      <c r="D144" s="78" t="s">
        <v>1194</v>
      </c>
      <c r="E144" s="159"/>
      <c r="F144" s="106" t="s">
        <v>1252</v>
      </c>
      <c r="G144" s="108">
        <v>0.33333333333333298</v>
      </c>
      <c r="H144" s="108">
        <v>0.33333333333333298</v>
      </c>
      <c r="I144" s="109">
        <f t="shared" si="3"/>
        <v>0</v>
      </c>
      <c r="J144" s="109">
        <v>0.9</v>
      </c>
      <c r="K144" s="82" t="s">
        <v>1470</v>
      </c>
      <c r="L144" s="82"/>
    </row>
    <row r="145" spans="1:12" ht="14.4" customHeight="1">
      <c r="A145" s="253"/>
      <c r="B145" s="244"/>
      <c r="C145" s="245"/>
      <c r="D145" s="78" t="s">
        <v>1194</v>
      </c>
      <c r="E145" s="113"/>
      <c r="F145" s="114" t="s">
        <v>1253</v>
      </c>
      <c r="G145" s="108">
        <v>0.33333333333333298</v>
      </c>
      <c r="H145" s="108">
        <v>0.33333333333333298</v>
      </c>
      <c r="I145" s="109">
        <f t="shared" si="3"/>
        <v>0</v>
      </c>
      <c r="J145" s="109">
        <v>0.9</v>
      </c>
      <c r="K145" s="82" t="s">
        <v>1471</v>
      </c>
      <c r="L145" s="82"/>
    </row>
    <row r="146" spans="1:12" ht="14.4" customHeight="1">
      <c r="A146" s="253"/>
      <c r="B146" s="244"/>
      <c r="C146" s="248" t="s">
        <v>1196</v>
      </c>
      <c r="D146" s="132" t="s">
        <v>1193</v>
      </c>
      <c r="E146" s="158"/>
      <c r="F146" s="125" t="s">
        <v>1251</v>
      </c>
      <c r="G146" s="127">
        <v>0.25</v>
      </c>
      <c r="H146" s="127">
        <v>0.33333333333333298</v>
      </c>
      <c r="I146" s="109">
        <f t="shared" si="3"/>
        <v>0.24999999999999922</v>
      </c>
      <c r="J146" s="134">
        <v>0.9</v>
      </c>
      <c r="K146" s="137" t="s">
        <v>1469</v>
      </c>
      <c r="L146" s="137"/>
    </row>
    <row r="147" spans="1:12" ht="14.4" customHeight="1">
      <c r="A147" s="253"/>
      <c r="B147" s="244"/>
      <c r="C147" s="249"/>
      <c r="D147" s="132" t="s">
        <v>1193</v>
      </c>
      <c r="E147" s="158"/>
      <c r="F147" s="129" t="s">
        <v>1252</v>
      </c>
      <c r="G147" s="127">
        <v>0.25</v>
      </c>
      <c r="H147" s="127">
        <v>0.33333333333333298</v>
      </c>
      <c r="I147" s="109">
        <f t="shared" si="3"/>
        <v>0.24999999999999922</v>
      </c>
      <c r="J147" s="134">
        <v>0.9</v>
      </c>
      <c r="K147" s="135" t="s">
        <v>1469</v>
      </c>
      <c r="L147" s="136"/>
    </row>
    <row r="148" spans="1:12" ht="14.4" customHeight="1">
      <c r="A148" s="253"/>
      <c r="B148" s="244"/>
      <c r="C148" s="250"/>
      <c r="D148" s="132" t="s">
        <v>1193</v>
      </c>
      <c r="E148" s="133"/>
      <c r="F148" s="128" t="s">
        <v>1253</v>
      </c>
      <c r="G148" s="127">
        <v>0.33333333333333298</v>
      </c>
      <c r="H148" s="127">
        <v>0.33333333333333298</v>
      </c>
      <c r="I148" s="109">
        <f t="shared" si="3"/>
        <v>0</v>
      </c>
      <c r="J148" s="134">
        <v>0.9</v>
      </c>
      <c r="K148" s="135" t="s">
        <v>1462</v>
      </c>
      <c r="L148" s="136"/>
    </row>
    <row r="149" spans="1:12" ht="14.4" customHeight="1">
      <c r="A149" s="253"/>
      <c r="B149" s="244"/>
      <c r="C149" s="243" t="s">
        <v>1197</v>
      </c>
      <c r="D149" s="78"/>
      <c r="E149" s="159"/>
      <c r="F149" s="111" t="s">
        <v>1251</v>
      </c>
      <c r="G149" s="107"/>
      <c r="H149" s="108">
        <v>0.33333333333333298</v>
      </c>
      <c r="I149" s="109">
        <f t="shared" si="3"/>
        <v>1</v>
      </c>
      <c r="J149" s="109">
        <v>0.9</v>
      </c>
      <c r="K149" s="82"/>
      <c r="L149" s="82"/>
    </row>
    <row r="150" spans="1:12" ht="14.4" customHeight="1">
      <c r="A150" s="253"/>
      <c r="B150" s="244"/>
      <c r="C150" s="244"/>
      <c r="D150" s="78"/>
      <c r="E150" s="159"/>
      <c r="F150" s="106" t="s">
        <v>1252</v>
      </c>
      <c r="G150" s="107"/>
      <c r="H150" s="108">
        <v>0.33333333333333298</v>
      </c>
      <c r="I150" s="109">
        <f t="shared" si="3"/>
        <v>1</v>
      </c>
      <c r="J150" s="109">
        <v>0.9</v>
      </c>
      <c r="K150" s="82"/>
      <c r="L150" s="82"/>
    </row>
    <row r="151" spans="1:12" ht="14.4" customHeight="1">
      <c r="A151" s="253"/>
      <c r="B151" s="245"/>
      <c r="C151" s="245"/>
      <c r="D151" s="78"/>
      <c r="E151" s="113"/>
      <c r="F151" s="114" t="s">
        <v>1253</v>
      </c>
      <c r="G151" s="123"/>
      <c r="H151" s="123">
        <v>0.33333333333333298</v>
      </c>
      <c r="I151" s="109">
        <f t="shared" si="3"/>
        <v>1</v>
      </c>
      <c r="J151" s="109">
        <v>0.9</v>
      </c>
      <c r="K151" s="82"/>
      <c r="L151" s="82"/>
    </row>
    <row r="152" spans="1:12" ht="14.4" customHeight="1">
      <c r="A152" s="253"/>
      <c r="B152" s="117"/>
      <c r="C152" s="117"/>
      <c r="D152" s="118"/>
      <c r="E152" s="118"/>
      <c r="F152" s="119" t="s">
        <v>1251</v>
      </c>
      <c r="G152" s="124"/>
      <c r="H152" s="124"/>
      <c r="I152" s="120">
        <f>AVERAGEIF(F89:F151,F152,I89:I151)</f>
        <v>0.47589285714285717</v>
      </c>
      <c r="J152" s="121">
        <v>0.9</v>
      </c>
      <c r="K152" s="118"/>
      <c r="L152" s="116"/>
    </row>
    <row r="153" spans="1:12" ht="14.4" customHeight="1">
      <c r="A153" s="253"/>
      <c r="B153" s="117"/>
      <c r="C153" s="117"/>
      <c r="D153" s="118"/>
      <c r="E153" s="118"/>
      <c r="F153" s="119" t="s">
        <v>1252</v>
      </c>
      <c r="G153" s="124"/>
      <c r="H153" s="124"/>
      <c r="I153" s="120">
        <f>AVERAGEIF(F89:F151,F153,I89:I151)</f>
        <v>0.49503968253968256</v>
      </c>
      <c r="J153" s="121">
        <v>0.9</v>
      </c>
      <c r="K153" s="118"/>
      <c r="L153" s="116"/>
    </row>
    <row r="154" spans="1:12" ht="15" customHeight="1" thickBot="1">
      <c r="A154" s="253"/>
      <c r="B154" s="117"/>
      <c r="C154" s="117"/>
      <c r="D154" s="118"/>
      <c r="E154" s="118"/>
      <c r="F154" s="119" t="s">
        <v>1253</v>
      </c>
      <c r="G154" s="124"/>
      <c r="H154" s="124"/>
      <c r="I154" s="120">
        <f>AVERAGEIF(F89:F151,F154,I89:I151)</f>
        <v>0.43055555555555547</v>
      </c>
      <c r="J154" s="121">
        <v>0.9</v>
      </c>
      <c r="K154" s="118"/>
      <c r="L154" s="116"/>
    </row>
    <row r="155" spans="1:12" ht="14.4" customHeight="1">
      <c r="A155" s="252" t="s">
        <v>1202</v>
      </c>
      <c r="B155" s="251">
        <v>45824</v>
      </c>
      <c r="C155" s="243" t="s">
        <v>1198</v>
      </c>
      <c r="D155" s="110" t="s">
        <v>1201</v>
      </c>
      <c r="E155" s="156"/>
      <c r="F155" s="111" t="s">
        <v>1251</v>
      </c>
      <c r="G155" s="107"/>
      <c r="H155" s="108">
        <v>0.33333333333333331</v>
      </c>
      <c r="I155" s="109">
        <f>1-(G155/H155)</f>
        <v>1</v>
      </c>
      <c r="J155" s="109">
        <v>0.9</v>
      </c>
      <c r="K155" s="82"/>
      <c r="L155" s="82"/>
    </row>
    <row r="156" spans="1:12" ht="14.4" customHeight="1">
      <c r="A156" s="253"/>
      <c r="B156" s="244"/>
      <c r="C156" s="244"/>
      <c r="D156" s="110" t="s">
        <v>1201</v>
      </c>
      <c r="E156" s="156"/>
      <c r="F156" s="111" t="s">
        <v>1252</v>
      </c>
      <c r="G156" s="107"/>
      <c r="H156" s="108">
        <v>0.33333333333333331</v>
      </c>
      <c r="I156" s="109">
        <f>1-(G156/H156)</f>
        <v>1</v>
      </c>
      <c r="J156" s="109">
        <v>0.9</v>
      </c>
      <c r="K156" s="82"/>
      <c r="L156" s="82"/>
    </row>
    <row r="157" spans="1:12" ht="14.4" customHeight="1">
      <c r="A157" s="253"/>
      <c r="B157" s="244"/>
      <c r="C157" s="245"/>
      <c r="D157" s="110" t="s">
        <v>1201</v>
      </c>
      <c r="E157" s="157"/>
      <c r="F157" s="114" t="s">
        <v>1253</v>
      </c>
      <c r="G157" s="107"/>
      <c r="H157" s="108">
        <v>0.33333333333333298</v>
      </c>
      <c r="I157" s="109">
        <f t="shared" ref="I157:I217" si="4">1-(G157/H157)</f>
        <v>1</v>
      </c>
      <c r="J157" s="109">
        <v>0.9</v>
      </c>
      <c r="K157" s="82"/>
      <c r="L157" s="82"/>
    </row>
    <row r="158" spans="1:12" ht="14.4" customHeight="1">
      <c r="A158" s="253"/>
      <c r="B158" s="244"/>
      <c r="C158" s="248" t="s">
        <v>1196</v>
      </c>
      <c r="D158" s="132" t="s">
        <v>1194</v>
      </c>
      <c r="E158" s="158"/>
      <c r="F158" s="125" t="s">
        <v>1251</v>
      </c>
      <c r="G158" s="126"/>
      <c r="H158" s="127">
        <v>0.33333333333333298</v>
      </c>
      <c r="I158" s="109">
        <f t="shared" si="4"/>
        <v>1</v>
      </c>
      <c r="J158" s="134">
        <v>0.9</v>
      </c>
      <c r="K158" s="82"/>
      <c r="L158" s="136"/>
    </row>
    <row r="159" spans="1:12" ht="14.4" customHeight="1">
      <c r="A159" s="253"/>
      <c r="B159" s="244"/>
      <c r="C159" s="249"/>
      <c r="D159" s="132" t="s">
        <v>1194</v>
      </c>
      <c r="E159" s="158"/>
      <c r="F159" s="125" t="s">
        <v>1252</v>
      </c>
      <c r="G159" s="126"/>
      <c r="H159" s="127">
        <v>0.33333333333333298</v>
      </c>
      <c r="I159" s="109">
        <f t="shared" si="4"/>
        <v>1</v>
      </c>
      <c r="J159" s="134">
        <v>0.9</v>
      </c>
      <c r="K159" s="135"/>
      <c r="L159" s="136"/>
    </row>
    <row r="160" spans="1:12" ht="14.4" customHeight="1">
      <c r="A160" s="253"/>
      <c r="B160" s="244"/>
      <c r="C160" s="250"/>
      <c r="D160" s="132" t="s">
        <v>1194</v>
      </c>
      <c r="E160" s="133"/>
      <c r="F160" s="128" t="s">
        <v>1253</v>
      </c>
      <c r="G160" s="127">
        <v>0.33333333333333298</v>
      </c>
      <c r="H160" s="127">
        <v>0.33333333333333298</v>
      </c>
      <c r="I160" s="109">
        <f t="shared" si="4"/>
        <v>0</v>
      </c>
      <c r="J160" s="134">
        <v>0.9</v>
      </c>
      <c r="K160" s="133" t="s">
        <v>1462</v>
      </c>
      <c r="L160" s="136"/>
    </row>
    <row r="161" spans="1:12" ht="14.4" customHeight="1">
      <c r="A161" s="253"/>
      <c r="B161" s="244"/>
      <c r="C161" s="243" t="s">
        <v>1197</v>
      </c>
      <c r="D161" s="78" t="s">
        <v>1193</v>
      </c>
      <c r="E161" s="159"/>
      <c r="F161" s="111" t="s">
        <v>1251</v>
      </c>
      <c r="G161" s="107"/>
      <c r="H161" s="108">
        <v>0.33333333333333298</v>
      </c>
      <c r="I161" s="109">
        <f t="shared" si="4"/>
        <v>1</v>
      </c>
      <c r="J161" s="109">
        <v>0.9</v>
      </c>
      <c r="K161" s="82"/>
      <c r="L161" s="112"/>
    </row>
    <row r="162" spans="1:12" ht="14.4" customHeight="1">
      <c r="A162" s="253"/>
      <c r="B162" s="244"/>
      <c r="C162" s="244"/>
      <c r="D162" s="78" t="s">
        <v>1193</v>
      </c>
      <c r="E162" s="159"/>
      <c r="F162" s="111" t="s">
        <v>1252</v>
      </c>
      <c r="G162" s="107"/>
      <c r="H162" s="108">
        <v>0.33333333333333298</v>
      </c>
      <c r="I162" s="109">
        <f t="shared" si="4"/>
        <v>1</v>
      </c>
      <c r="J162" s="109">
        <v>0.9</v>
      </c>
      <c r="K162" s="82"/>
      <c r="L162" s="82"/>
    </row>
    <row r="163" spans="1:12" ht="15" customHeight="1" thickBot="1">
      <c r="A163" s="253"/>
      <c r="B163" s="245"/>
      <c r="C163" s="245"/>
      <c r="D163" s="78" t="s">
        <v>1193</v>
      </c>
      <c r="E163" s="113"/>
      <c r="F163" s="114" t="s">
        <v>1253</v>
      </c>
      <c r="G163" s="107"/>
      <c r="H163" s="108">
        <v>0.33333333333333298</v>
      </c>
      <c r="I163" s="109">
        <f t="shared" si="4"/>
        <v>1</v>
      </c>
      <c r="J163" s="109">
        <v>0.9</v>
      </c>
      <c r="K163" s="82"/>
      <c r="L163" s="82"/>
    </row>
    <row r="164" spans="1:12" ht="14.4" customHeight="1">
      <c r="A164" s="253"/>
      <c r="B164" s="251">
        <v>45825</v>
      </c>
      <c r="C164" s="248" t="s">
        <v>1198</v>
      </c>
      <c r="D164" s="132" t="s">
        <v>1192</v>
      </c>
      <c r="E164" s="158"/>
      <c r="F164" s="125" t="s">
        <v>1251</v>
      </c>
      <c r="G164" s="127">
        <v>0.33333333333333298</v>
      </c>
      <c r="H164" s="127">
        <v>0.33333333333333298</v>
      </c>
      <c r="I164" s="109">
        <f t="shared" si="4"/>
        <v>0</v>
      </c>
      <c r="J164" s="134">
        <v>0.9</v>
      </c>
      <c r="K164" s="135" t="s">
        <v>1462</v>
      </c>
      <c r="L164" s="137"/>
    </row>
    <row r="165" spans="1:12" ht="14.4" customHeight="1">
      <c r="A165" s="253"/>
      <c r="B165" s="244"/>
      <c r="C165" s="249"/>
      <c r="D165" s="132" t="s">
        <v>1192</v>
      </c>
      <c r="E165" s="158"/>
      <c r="F165" s="125" t="s">
        <v>1252</v>
      </c>
      <c r="G165" s="126"/>
      <c r="H165" s="127">
        <v>0.33333333333333298</v>
      </c>
      <c r="I165" s="109">
        <f t="shared" si="4"/>
        <v>1</v>
      </c>
      <c r="J165" s="134">
        <v>0.9</v>
      </c>
      <c r="K165" s="135"/>
      <c r="L165" s="136"/>
    </row>
    <row r="166" spans="1:12" ht="14.4" customHeight="1">
      <c r="A166" s="253"/>
      <c r="B166" s="244"/>
      <c r="C166" s="250"/>
      <c r="D166" s="132" t="s">
        <v>1192</v>
      </c>
      <c r="E166" s="133"/>
      <c r="F166" s="128" t="s">
        <v>1253</v>
      </c>
      <c r="G166" s="126"/>
      <c r="H166" s="127">
        <v>0.33333333333333298</v>
      </c>
      <c r="I166" s="109">
        <f t="shared" si="4"/>
        <v>1</v>
      </c>
      <c r="J166" s="134">
        <v>0.9</v>
      </c>
      <c r="K166" s="133"/>
      <c r="L166" s="136"/>
    </row>
    <row r="167" spans="1:12" ht="14.4" customHeight="1">
      <c r="A167" s="253"/>
      <c r="B167" s="244"/>
      <c r="C167" s="243" t="s">
        <v>1196</v>
      </c>
      <c r="D167" s="78" t="s">
        <v>1194</v>
      </c>
      <c r="E167" s="159"/>
      <c r="F167" s="111" t="s">
        <v>1251</v>
      </c>
      <c r="G167" s="108">
        <v>0.2361111111111111</v>
      </c>
      <c r="H167" s="108">
        <v>0.33333333333333298</v>
      </c>
      <c r="I167" s="109">
        <f t="shared" si="4"/>
        <v>0.29166666666666596</v>
      </c>
      <c r="J167" s="109">
        <v>0.9</v>
      </c>
      <c r="K167" s="82"/>
      <c r="L167" s="112"/>
    </row>
    <row r="168" spans="1:12" ht="14.4" customHeight="1">
      <c r="A168" s="253"/>
      <c r="B168" s="244"/>
      <c r="C168" s="244"/>
      <c r="D168" s="78" t="s">
        <v>1194</v>
      </c>
      <c r="E168" s="159"/>
      <c r="F168" s="111" t="s">
        <v>1252</v>
      </c>
      <c r="G168" s="108">
        <v>0.2361111111111111</v>
      </c>
      <c r="H168" s="108">
        <v>0.33333333333333298</v>
      </c>
      <c r="I168" s="109">
        <f t="shared" si="4"/>
        <v>0.29166666666666596</v>
      </c>
      <c r="J168" s="109">
        <v>0.9</v>
      </c>
      <c r="K168" s="82"/>
      <c r="L168" s="82"/>
    </row>
    <row r="169" spans="1:12" ht="14.4" customHeight="1">
      <c r="A169" s="253"/>
      <c r="B169" s="244"/>
      <c r="C169" s="245"/>
      <c r="D169" s="78" t="s">
        <v>1194</v>
      </c>
      <c r="E169" s="113"/>
      <c r="F169" s="114" t="s">
        <v>1253</v>
      </c>
      <c r="G169" s="108">
        <v>0.33333333333333298</v>
      </c>
      <c r="H169" s="108">
        <v>0.33333333333333298</v>
      </c>
      <c r="I169" s="109">
        <f t="shared" si="4"/>
        <v>0</v>
      </c>
      <c r="J169" s="109">
        <v>0.9</v>
      </c>
      <c r="K169" s="82" t="s">
        <v>1462</v>
      </c>
      <c r="L169" s="82"/>
    </row>
    <row r="170" spans="1:12" ht="14.4" customHeight="1">
      <c r="A170" s="253"/>
      <c r="B170" s="244"/>
      <c r="C170" s="248" t="s">
        <v>1197</v>
      </c>
      <c r="D170" s="132" t="s">
        <v>1193</v>
      </c>
      <c r="E170" s="158"/>
      <c r="F170" s="125" t="s">
        <v>1251</v>
      </c>
      <c r="G170" s="126"/>
      <c r="H170" s="127">
        <v>0.33333333333333298</v>
      </c>
      <c r="I170" s="109">
        <f t="shared" si="4"/>
        <v>1</v>
      </c>
      <c r="J170" s="134">
        <v>0.9</v>
      </c>
      <c r="K170" s="135"/>
      <c r="L170" s="137"/>
    </row>
    <row r="171" spans="1:12" ht="14.4" customHeight="1">
      <c r="A171" s="253"/>
      <c r="B171" s="244"/>
      <c r="C171" s="249"/>
      <c r="D171" s="132" t="s">
        <v>1193</v>
      </c>
      <c r="E171" s="158"/>
      <c r="F171" s="129" t="s">
        <v>1252</v>
      </c>
      <c r="G171" s="126"/>
      <c r="H171" s="127">
        <v>0.33333333333333298</v>
      </c>
      <c r="I171" s="109">
        <f t="shared" si="4"/>
        <v>1</v>
      </c>
      <c r="J171" s="134">
        <v>0.9</v>
      </c>
      <c r="K171" s="135"/>
      <c r="L171" s="136"/>
    </row>
    <row r="172" spans="1:12" ht="15" customHeight="1" thickBot="1">
      <c r="A172" s="253"/>
      <c r="B172" s="245"/>
      <c r="C172" s="250"/>
      <c r="D172" s="132" t="s">
        <v>1193</v>
      </c>
      <c r="E172" s="133"/>
      <c r="F172" s="128" t="s">
        <v>1253</v>
      </c>
      <c r="G172" s="126"/>
      <c r="H172" s="131">
        <v>0.33333333333333298</v>
      </c>
      <c r="I172" s="115">
        <f t="shared" si="4"/>
        <v>1</v>
      </c>
      <c r="J172" s="134">
        <v>0.9</v>
      </c>
      <c r="K172" s="133"/>
      <c r="L172" s="136"/>
    </row>
    <row r="173" spans="1:12" ht="14.4" customHeight="1">
      <c r="A173" s="253"/>
      <c r="B173" s="251">
        <v>45826</v>
      </c>
      <c r="C173" s="243" t="s">
        <v>1198</v>
      </c>
      <c r="D173" s="78" t="s">
        <v>1191</v>
      </c>
      <c r="E173" s="159"/>
      <c r="F173" s="111" t="s">
        <v>1251</v>
      </c>
      <c r="G173" s="107"/>
      <c r="H173" s="108">
        <v>0.33333333333333298</v>
      </c>
      <c r="I173" s="109">
        <f t="shared" si="4"/>
        <v>1</v>
      </c>
      <c r="J173" s="109">
        <v>0.9</v>
      </c>
      <c r="K173" s="82"/>
      <c r="L173" s="112"/>
    </row>
    <row r="174" spans="1:12" ht="14.4" customHeight="1">
      <c r="A174" s="253"/>
      <c r="B174" s="244"/>
      <c r="C174" s="244"/>
      <c r="D174" s="78" t="s">
        <v>1191</v>
      </c>
      <c r="E174" s="159"/>
      <c r="F174" s="106" t="s">
        <v>1252</v>
      </c>
      <c r="G174" s="107"/>
      <c r="H174" s="108">
        <v>0.33333333333333298</v>
      </c>
      <c r="I174" s="109">
        <f t="shared" si="4"/>
        <v>1</v>
      </c>
      <c r="J174" s="109">
        <v>0.9</v>
      </c>
      <c r="K174" s="82"/>
      <c r="L174" s="82"/>
    </row>
    <row r="175" spans="1:12" ht="14.4" customHeight="1">
      <c r="A175" s="253"/>
      <c r="B175" s="244"/>
      <c r="C175" s="245"/>
      <c r="D175" s="78" t="s">
        <v>1191</v>
      </c>
      <c r="E175" s="113"/>
      <c r="F175" s="114" t="s">
        <v>1253</v>
      </c>
      <c r="G175" s="108">
        <v>0.33333333333333298</v>
      </c>
      <c r="H175" s="108">
        <v>0.33333333333333298</v>
      </c>
      <c r="I175" s="109">
        <f t="shared" si="4"/>
        <v>0</v>
      </c>
      <c r="J175" s="109">
        <v>0.9</v>
      </c>
      <c r="K175" s="82" t="s">
        <v>1462</v>
      </c>
      <c r="L175" s="82"/>
    </row>
    <row r="176" spans="1:12" ht="14.4" customHeight="1">
      <c r="A176" s="253"/>
      <c r="B176" s="244"/>
      <c r="C176" s="248" t="s">
        <v>1196</v>
      </c>
      <c r="D176" s="132" t="s">
        <v>1192</v>
      </c>
      <c r="E176" s="158"/>
      <c r="F176" s="125" t="s">
        <v>1251</v>
      </c>
      <c r="G176" s="126"/>
      <c r="H176" s="127">
        <v>0.33333333333333298</v>
      </c>
      <c r="I176" s="109">
        <f t="shared" si="4"/>
        <v>1</v>
      </c>
      <c r="J176" s="134">
        <v>0.9</v>
      </c>
      <c r="K176" s="135"/>
      <c r="L176" s="137"/>
    </row>
    <row r="177" spans="1:12" ht="14.4" customHeight="1">
      <c r="A177" s="253"/>
      <c r="B177" s="244"/>
      <c r="C177" s="249"/>
      <c r="D177" s="132" t="s">
        <v>1192</v>
      </c>
      <c r="E177" s="158"/>
      <c r="F177" s="129" t="s">
        <v>1252</v>
      </c>
      <c r="G177" s="126"/>
      <c r="H177" s="127">
        <v>0.33333333333333298</v>
      </c>
      <c r="I177" s="109">
        <f t="shared" si="4"/>
        <v>1</v>
      </c>
      <c r="J177" s="134">
        <v>0.9</v>
      </c>
      <c r="K177" s="135"/>
      <c r="L177" s="136"/>
    </row>
    <row r="178" spans="1:12" ht="14.4" customHeight="1">
      <c r="A178" s="253"/>
      <c r="B178" s="244"/>
      <c r="C178" s="250"/>
      <c r="D178" s="132" t="s">
        <v>1192</v>
      </c>
      <c r="E178" s="133"/>
      <c r="F178" s="128" t="s">
        <v>1253</v>
      </c>
      <c r="G178" s="127">
        <v>0.33333333333333298</v>
      </c>
      <c r="H178" s="127">
        <v>0.33333333333333298</v>
      </c>
      <c r="I178" s="109">
        <f t="shared" si="4"/>
        <v>0</v>
      </c>
      <c r="J178" s="134">
        <v>0.9</v>
      </c>
      <c r="K178" s="133" t="s">
        <v>1462</v>
      </c>
      <c r="L178" s="136"/>
    </row>
    <row r="179" spans="1:12" ht="14.4" customHeight="1">
      <c r="A179" s="253"/>
      <c r="B179" s="244"/>
      <c r="C179" s="243" t="s">
        <v>1197</v>
      </c>
      <c r="D179" s="78" t="s">
        <v>1194</v>
      </c>
      <c r="E179" s="159"/>
      <c r="F179" s="111" t="s">
        <v>1251</v>
      </c>
      <c r="G179" s="107"/>
      <c r="H179" s="108">
        <v>0.33333333333333298</v>
      </c>
      <c r="I179" s="109">
        <f t="shared" si="4"/>
        <v>1</v>
      </c>
      <c r="J179" s="109">
        <v>0.9</v>
      </c>
      <c r="K179" s="82"/>
      <c r="L179" s="112"/>
    </row>
    <row r="180" spans="1:12" ht="14.4" customHeight="1">
      <c r="A180" s="253"/>
      <c r="B180" s="244"/>
      <c r="C180" s="244"/>
      <c r="D180" s="78" t="s">
        <v>1194</v>
      </c>
      <c r="E180" s="159"/>
      <c r="F180" s="106" t="s">
        <v>1252</v>
      </c>
      <c r="G180" s="107"/>
      <c r="H180" s="108">
        <v>0.33333333333333298</v>
      </c>
      <c r="I180" s="109">
        <f t="shared" si="4"/>
        <v>1</v>
      </c>
      <c r="J180" s="109">
        <v>0.9</v>
      </c>
      <c r="K180" s="82"/>
      <c r="L180" s="82"/>
    </row>
    <row r="181" spans="1:12" ht="15" customHeight="1" thickBot="1">
      <c r="A181" s="253"/>
      <c r="B181" s="245"/>
      <c r="C181" s="245"/>
      <c r="D181" s="78" t="s">
        <v>1194</v>
      </c>
      <c r="E181" s="113"/>
      <c r="F181" s="114" t="s">
        <v>1253</v>
      </c>
      <c r="G181" s="108">
        <v>0.33333333333333298</v>
      </c>
      <c r="H181" s="108">
        <v>0.33333333333333298</v>
      </c>
      <c r="I181" s="109">
        <f t="shared" si="4"/>
        <v>0</v>
      </c>
      <c r="J181" s="109">
        <v>0.9</v>
      </c>
      <c r="K181" s="82" t="s">
        <v>1462</v>
      </c>
      <c r="L181" s="82"/>
    </row>
    <row r="182" spans="1:12" ht="14.4" customHeight="1">
      <c r="A182" s="253"/>
      <c r="B182" s="251">
        <v>45827</v>
      </c>
      <c r="C182" s="248" t="s">
        <v>1198</v>
      </c>
      <c r="D182" s="132" t="s">
        <v>1191</v>
      </c>
      <c r="E182" s="158"/>
      <c r="F182" s="125" t="s">
        <v>1251</v>
      </c>
      <c r="G182" s="126"/>
      <c r="H182" s="127">
        <v>0.33333333333333298</v>
      </c>
      <c r="I182" s="109">
        <f t="shared" si="4"/>
        <v>1</v>
      </c>
      <c r="J182" s="134">
        <v>0.9</v>
      </c>
      <c r="K182" s="135"/>
      <c r="L182" s="137"/>
    </row>
    <row r="183" spans="1:12" ht="14.4" customHeight="1">
      <c r="A183" s="253"/>
      <c r="B183" s="244"/>
      <c r="C183" s="249"/>
      <c r="D183" s="132" t="s">
        <v>1191</v>
      </c>
      <c r="E183" s="158"/>
      <c r="F183" s="129" t="s">
        <v>1252</v>
      </c>
      <c r="G183" s="126"/>
      <c r="H183" s="127">
        <v>0.33333333333333298</v>
      </c>
      <c r="I183" s="109">
        <f t="shared" si="4"/>
        <v>1</v>
      </c>
      <c r="J183" s="134">
        <v>0.9</v>
      </c>
      <c r="K183" s="135"/>
      <c r="L183" s="136"/>
    </row>
    <row r="184" spans="1:12" ht="14.4" customHeight="1">
      <c r="A184" s="253"/>
      <c r="B184" s="244"/>
      <c r="C184" s="250"/>
      <c r="D184" s="132" t="s">
        <v>1191</v>
      </c>
      <c r="E184" s="133"/>
      <c r="F184" s="128" t="s">
        <v>1253</v>
      </c>
      <c r="G184" s="127">
        <v>0.33333333333333298</v>
      </c>
      <c r="H184" s="127">
        <v>0.33333333333333298</v>
      </c>
      <c r="I184" s="109">
        <f t="shared" si="4"/>
        <v>0</v>
      </c>
      <c r="J184" s="134">
        <v>0.9</v>
      </c>
      <c r="K184" s="133" t="s">
        <v>1462</v>
      </c>
      <c r="L184" s="136"/>
    </row>
    <row r="185" spans="1:12" ht="14.4" customHeight="1">
      <c r="A185" s="253"/>
      <c r="B185" s="244"/>
      <c r="C185" s="243" t="s">
        <v>1196</v>
      </c>
      <c r="D185" s="78" t="s">
        <v>1192</v>
      </c>
      <c r="E185" s="159"/>
      <c r="F185" s="111" t="s">
        <v>1251</v>
      </c>
      <c r="G185" s="107"/>
      <c r="H185" s="108">
        <v>0.33333333333333298</v>
      </c>
      <c r="I185" s="109">
        <f t="shared" si="4"/>
        <v>1</v>
      </c>
      <c r="J185" s="109">
        <v>0.9</v>
      </c>
      <c r="K185" s="82"/>
      <c r="L185" s="112"/>
    </row>
    <row r="186" spans="1:12" ht="14.4" customHeight="1">
      <c r="A186" s="253"/>
      <c r="B186" s="244"/>
      <c r="C186" s="244"/>
      <c r="D186" s="78" t="s">
        <v>1192</v>
      </c>
      <c r="E186" s="159"/>
      <c r="F186" s="106" t="s">
        <v>1252</v>
      </c>
      <c r="G186" s="107"/>
      <c r="H186" s="108">
        <v>0.33333333333333298</v>
      </c>
      <c r="I186" s="109">
        <f t="shared" si="4"/>
        <v>1</v>
      </c>
      <c r="J186" s="109">
        <v>0.9</v>
      </c>
      <c r="K186" s="82"/>
      <c r="L186" s="82"/>
    </row>
    <row r="187" spans="1:12" ht="14.4" customHeight="1">
      <c r="A187" s="253"/>
      <c r="B187" s="244"/>
      <c r="C187" s="245"/>
      <c r="D187" s="78" t="s">
        <v>1192</v>
      </c>
      <c r="E187" s="113"/>
      <c r="F187" s="114" t="s">
        <v>1253</v>
      </c>
      <c r="G187" s="107">
        <v>0.33333333333333331</v>
      </c>
      <c r="H187" s="108">
        <v>0.33333333333333331</v>
      </c>
      <c r="I187" s="109">
        <f t="shared" si="4"/>
        <v>0</v>
      </c>
      <c r="J187" s="109">
        <v>0.9</v>
      </c>
      <c r="K187" s="82" t="s">
        <v>1462</v>
      </c>
      <c r="L187" s="82"/>
    </row>
    <row r="188" spans="1:12" ht="14.4" customHeight="1">
      <c r="A188" s="253"/>
      <c r="B188" s="244"/>
      <c r="C188" s="248" t="s">
        <v>1197</v>
      </c>
      <c r="D188" s="132" t="s">
        <v>1194</v>
      </c>
      <c r="E188" s="158"/>
      <c r="F188" s="125" t="s">
        <v>1251</v>
      </c>
      <c r="G188" s="126"/>
      <c r="H188" s="127">
        <v>0.33333333333333298</v>
      </c>
      <c r="I188" s="109">
        <f t="shared" si="4"/>
        <v>1</v>
      </c>
      <c r="J188" s="134">
        <v>0.9</v>
      </c>
      <c r="K188" s="133"/>
      <c r="L188" s="137"/>
    </row>
    <row r="189" spans="1:12" ht="14.4" customHeight="1">
      <c r="A189" s="253"/>
      <c r="B189" s="244"/>
      <c r="C189" s="249"/>
      <c r="D189" s="132" t="s">
        <v>1194</v>
      </c>
      <c r="E189" s="158"/>
      <c r="F189" s="129" t="s">
        <v>1252</v>
      </c>
      <c r="G189" s="126"/>
      <c r="H189" s="127">
        <v>0.33333333333333298</v>
      </c>
      <c r="I189" s="109">
        <f t="shared" si="4"/>
        <v>1</v>
      </c>
      <c r="J189" s="134">
        <v>0.9</v>
      </c>
      <c r="K189" s="135"/>
      <c r="L189" s="136"/>
    </row>
    <row r="190" spans="1:12" ht="15" customHeight="1" thickBot="1">
      <c r="A190" s="253"/>
      <c r="B190" s="245"/>
      <c r="C190" s="250"/>
      <c r="D190" s="132" t="s">
        <v>1194</v>
      </c>
      <c r="E190" s="133"/>
      <c r="F190" s="128" t="s">
        <v>1253</v>
      </c>
      <c r="G190" s="126">
        <v>0.33333333333333331</v>
      </c>
      <c r="H190" s="127">
        <v>0.33333333333333298</v>
      </c>
      <c r="I190" s="109">
        <f t="shared" si="4"/>
        <v>0</v>
      </c>
      <c r="J190" s="134">
        <v>0.9</v>
      </c>
      <c r="K190" s="133" t="s">
        <v>1462</v>
      </c>
      <c r="L190" s="136"/>
    </row>
    <row r="191" spans="1:12" ht="14.4" customHeight="1">
      <c r="A191" s="253"/>
      <c r="B191" s="251">
        <v>45828</v>
      </c>
      <c r="C191" s="243" t="s">
        <v>1198</v>
      </c>
      <c r="D191" s="78" t="s">
        <v>1193</v>
      </c>
      <c r="E191" s="159"/>
      <c r="F191" s="111" t="s">
        <v>1251</v>
      </c>
      <c r="G191" s="107"/>
      <c r="H191" s="108">
        <v>0.33333333333333298</v>
      </c>
      <c r="I191" s="109">
        <f t="shared" si="4"/>
        <v>1</v>
      </c>
      <c r="J191" s="109">
        <v>0.9</v>
      </c>
      <c r="K191" s="82"/>
      <c r="L191" s="112"/>
    </row>
    <row r="192" spans="1:12" ht="14.4" customHeight="1">
      <c r="A192" s="253"/>
      <c r="B192" s="244"/>
      <c r="C192" s="244"/>
      <c r="D192" s="78" t="s">
        <v>1193</v>
      </c>
      <c r="E192" s="159"/>
      <c r="F192" s="106" t="s">
        <v>1252</v>
      </c>
      <c r="G192" s="107"/>
      <c r="H192" s="108">
        <v>0.33333333333333298</v>
      </c>
      <c r="I192" s="109">
        <f t="shared" si="4"/>
        <v>1</v>
      </c>
      <c r="J192" s="109">
        <v>0.9</v>
      </c>
      <c r="K192" s="82"/>
      <c r="L192" s="82"/>
    </row>
    <row r="193" spans="1:12" ht="14.4" customHeight="1">
      <c r="A193" s="253"/>
      <c r="B193" s="244"/>
      <c r="C193" s="245"/>
      <c r="D193" s="78" t="s">
        <v>1193</v>
      </c>
      <c r="E193" s="113"/>
      <c r="F193" s="114" t="s">
        <v>1253</v>
      </c>
      <c r="G193" s="107">
        <v>0.33333333333333331</v>
      </c>
      <c r="H193" s="108">
        <v>0.33333333333333331</v>
      </c>
      <c r="I193" s="109">
        <f t="shared" si="4"/>
        <v>0</v>
      </c>
      <c r="J193" s="109">
        <v>0.9</v>
      </c>
      <c r="K193" s="82" t="s">
        <v>1462</v>
      </c>
      <c r="L193" s="82"/>
    </row>
    <row r="194" spans="1:12" ht="14.4" customHeight="1">
      <c r="A194" s="253"/>
      <c r="B194" s="244"/>
      <c r="C194" s="248" t="s">
        <v>1196</v>
      </c>
      <c r="D194" s="132" t="s">
        <v>1191</v>
      </c>
      <c r="E194" s="158"/>
      <c r="F194" s="125" t="s">
        <v>1251</v>
      </c>
      <c r="G194" s="126"/>
      <c r="H194" s="127">
        <v>0.33333333333333298</v>
      </c>
      <c r="I194" s="109">
        <f t="shared" si="4"/>
        <v>1</v>
      </c>
      <c r="J194" s="134">
        <v>0.9</v>
      </c>
      <c r="K194" s="135"/>
      <c r="L194" s="137"/>
    </row>
    <row r="195" spans="1:12" ht="14.4" customHeight="1">
      <c r="A195" s="253"/>
      <c r="B195" s="244"/>
      <c r="C195" s="249"/>
      <c r="D195" s="132" t="s">
        <v>1191</v>
      </c>
      <c r="E195" s="158"/>
      <c r="F195" s="129" t="s">
        <v>1252</v>
      </c>
      <c r="G195" s="126"/>
      <c r="H195" s="127">
        <v>0.33333333333333298</v>
      </c>
      <c r="I195" s="109">
        <f t="shared" si="4"/>
        <v>1</v>
      </c>
      <c r="J195" s="134">
        <v>0.9</v>
      </c>
      <c r="K195" s="135"/>
      <c r="L195" s="136"/>
    </row>
    <row r="196" spans="1:12" ht="14.4" customHeight="1">
      <c r="A196" s="253"/>
      <c r="B196" s="244"/>
      <c r="C196" s="250"/>
      <c r="D196" s="132" t="s">
        <v>1191</v>
      </c>
      <c r="E196" s="133"/>
      <c r="F196" s="128" t="s">
        <v>1253</v>
      </c>
      <c r="G196" s="126">
        <v>0.33333333333333331</v>
      </c>
      <c r="H196" s="127">
        <v>0.33333333333333298</v>
      </c>
      <c r="I196" s="109">
        <f t="shared" si="4"/>
        <v>0</v>
      </c>
      <c r="J196" s="134">
        <v>0.9</v>
      </c>
      <c r="K196" s="133" t="s">
        <v>1462</v>
      </c>
      <c r="L196" s="136"/>
    </row>
    <row r="197" spans="1:12" ht="14.4" customHeight="1">
      <c r="A197" s="253"/>
      <c r="B197" s="244"/>
      <c r="C197" s="243" t="s">
        <v>1197</v>
      </c>
      <c r="D197" s="78" t="s">
        <v>1192</v>
      </c>
      <c r="E197" s="159"/>
      <c r="F197" s="111" t="s">
        <v>1251</v>
      </c>
      <c r="G197" s="107"/>
      <c r="H197" s="108">
        <v>0.33333333333333298</v>
      </c>
      <c r="I197" s="109">
        <f t="shared" si="4"/>
        <v>1</v>
      </c>
      <c r="J197" s="109">
        <v>0.9</v>
      </c>
      <c r="K197" s="82"/>
      <c r="L197" s="82"/>
    </row>
    <row r="198" spans="1:12" ht="14.4" customHeight="1">
      <c r="A198" s="253"/>
      <c r="B198" s="244"/>
      <c r="C198" s="244"/>
      <c r="D198" s="78" t="s">
        <v>1192</v>
      </c>
      <c r="E198" s="159"/>
      <c r="F198" s="106" t="s">
        <v>1252</v>
      </c>
      <c r="G198" s="107"/>
      <c r="H198" s="108">
        <v>0.33333333333333298</v>
      </c>
      <c r="I198" s="109">
        <f t="shared" si="4"/>
        <v>1</v>
      </c>
      <c r="J198" s="109">
        <v>0.9</v>
      </c>
      <c r="K198" s="82"/>
      <c r="L198" s="82"/>
    </row>
    <row r="199" spans="1:12" ht="14.4" customHeight="1" thickBot="1">
      <c r="A199" s="253"/>
      <c r="B199" s="245"/>
      <c r="C199" s="245"/>
      <c r="D199" s="78" t="s">
        <v>1192</v>
      </c>
      <c r="E199" s="113"/>
      <c r="F199" s="114" t="s">
        <v>1253</v>
      </c>
      <c r="G199" s="107">
        <v>0.33333333333333331</v>
      </c>
      <c r="H199" s="123">
        <v>0.33333333333333298</v>
      </c>
      <c r="I199" s="109">
        <f t="shared" si="4"/>
        <v>0</v>
      </c>
      <c r="J199" s="109">
        <v>0.9</v>
      </c>
      <c r="K199" s="82" t="s">
        <v>1462</v>
      </c>
      <c r="L199" s="82"/>
    </row>
    <row r="200" spans="1:12" ht="14.4" customHeight="1">
      <c r="A200" s="253"/>
      <c r="B200" s="251">
        <v>45829</v>
      </c>
      <c r="C200" s="243" t="s">
        <v>1198</v>
      </c>
      <c r="D200" s="78" t="s">
        <v>1193</v>
      </c>
      <c r="E200" s="159"/>
      <c r="F200" s="111" t="s">
        <v>1251</v>
      </c>
      <c r="G200" s="107"/>
      <c r="H200" s="108">
        <v>0.33333333333333298</v>
      </c>
      <c r="I200" s="109">
        <f t="shared" si="4"/>
        <v>1</v>
      </c>
      <c r="J200" s="109">
        <v>0.9</v>
      </c>
      <c r="K200" s="82"/>
      <c r="L200" s="112"/>
    </row>
    <row r="201" spans="1:12" ht="14.4" customHeight="1">
      <c r="A201" s="253"/>
      <c r="B201" s="244"/>
      <c r="C201" s="244"/>
      <c r="D201" s="78" t="s">
        <v>1193</v>
      </c>
      <c r="E201" s="159"/>
      <c r="F201" s="106" t="s">
        <v>1252</v>
      </c>
      <c r="G201" s="107"/>
      <c r="H201" s="108">
        <v>0.33333333333333298</v>
      </c>
      <c r="I201" s="109">
        <f t="shared" si="4"/>
        <v>1</v>
      </c>
      <c r="J201" s="109">
        <v>0.9</v>
      </c>
      <c r="K201" s="82"/>
      <c r="L201" s="82"/>
    </row>
    <row r="202" spans="1:12" ht="14.4" customHeight="1">
      <c r="A202" s="253"/>
      <c r="B202" s="244"/>
      <c r="C202" s="245"/>
      <c r="D202" s="78" t="s">
        <v>1193</v>
      </c>
      <c r="E202" s="113"/>
      <c r="F202" s="114" t="s">
        <v>1253</v>
      </c>
      <c r="G202" s="107">
        <v>0.33333333333333331</v>
      </c>
      <c r="H202" s="108">
        <v>0.33333333333333298</v>
      </c>
      <c r="I202" s="109">
        <f t="shared" si="4"/>
        <v>0</v>
      </c>
      <c r="J202" s="109">
        <v>0.9</v>
      </c>
      <c r="K202" s="82" t="s">
        <v>1462</v>
      </c>
      <c r="L202" s="82"/>
    </row>
    <row r="203" spans="1:12" ht="14.4" customHeight="1">
      <c r="A203" s="253"/>
      <c r="B203" s="244"/>
      <c r="C203" s="248" t="s">
        <v>1196</v>
      </c>
      <c r="D203" s="132" t="s">
        <v>1191</v>
      </c>
      <c r="E203" s="158"/>
      <c r="F203" s="125" t="s">
        <v>1251</v>
      </c>
      <c r="G203" s="126"/>
      <c r="H203" s="127">
        <v>0.33333333333333298</v>
      </c>
      <c r="I203" s="109">
        <f t="shared" si="4"/>
        <v>1</v>
      </c>
      <c r="J203" s="134">
        <v>0.9</v>
      </c>
      <c r="K203" s="135"/>
      <c r="L203" s="137"/>
    </row>
    <row r="204" spans="1:12" ht="14.4" customHeight="1">
      <c r="A204" s="253"/>
      <c r="B204" s="244"/>
      <c r="C204" s="249"/>
      <c r="D204" s="132" t="s">
        <v>1191</v>
      </c>
      <c r="E204" s="158"/>
      <c r="F204" s="129" t="s">
        <v>1252</v>
      </c>
      <c r="G204" s="126"/>
      <c r="H204" s="127">
        <v>0.33333333333333298</v>
      </c>
      <c r="I204" s="109">
        <f t="shared" si="4"/>
        <v>1</v>
      </c>
      <c r="J204" s="134">
        <v>0.9</v>
      </c>
      <c r="K204" s="135"/>
      <c r="L204" s="136"/>
    </row>
    <row r="205" spans="1:12" ht="14.4" customHeight="1">
      <c r="A205" s="253"/>
      <c r="B205" s="244"/>
      <c r="C205" s="250"/>
      <c r="D205" s="132" t="s">
        <v>1191</v>
      </c>
      <c r="E205" s="133"/>
      <c r="F205" s="128" t="s">
        <v>1253</v>
      </c>
      <c r="G205" s="126">
        <v>0.33333333333333331</v>
      </c>
      <c r="H205" s="127">
        <v>0.33333333333333298</v>
      </c>
      <c r="I205" s="109">
        <f t="shared" si="4"/>
        <v>0</v>
      </c>
      <c r="J205" s="134">
        <v>0.9</v>
      </c>
      <c r="K205" s="133" t="s">
        <v>1462</v>
      </c>
      <c r="L205" s="136"/>
    </row>
    <row r="206" spans="1:12" ht="14.4" customHeight="1">
      <c r="A206" s="253"/>
      <c r="B206" s="244"/>
      <c r="C206" s="243" t="s">
        <v>1197</v>
      </c>
      <c r="D206" s="78" t="s">
        <v>1192</v>
      </c>
      <c r="E206" s="159"/>
      <c r="F206" s="111" t="s">
        <v>1251</v>
      </c>
      <c r="G206" s="107"/>
      <c r="H206" s="108">
        <v>0.33333333333333298</v>
      </c>
      <c r="I206" s="109">
        <f t="shared" si="4"/>
        <v>1</v>
      </c>
      <c r="J206" s="109">
        <v>0.9</v>
      </c>
      <c r="K206" s="82"/>
      <c r="L206" s="82"/>
    </row>
    <row r="207" spans="1:12" ht="14.4" customHeight="1">
      <c r="A207" s="253"/>
      <c r="B207" s="244"/>
      <c r="C207" s="244"/>
      <c r="D207" s="78" t="s">
        <v>1192</v>
      </c>
      <c r="E207" s="159"/>
      <c r="F207" s="106" t="s">
        <v>1252</v>
      </c>
      <c r="G207" s="107"/>
      <c r="H207" s="108">
        <v>0.33333333333333298</v>
      </c>
      <c r="I207" s="109">
        <f t="shared" si="4"/>
        <v>1</v>
      </c>
      <c r="J207" s="109">
        <v>0.9</v>
      </c>
      <c r="K207" s="82"/>
      <c r="L207" s="82"/>
    </row>
    <row r="208" spans="1:12" ht="14.4" customHeight="1" thickBot="1">
      <c r="A208" s="253"/>
      <c r="B208" s="245"/>
      <c r="C208" s="245"/>
      <c r="D208" s="78" t="s">
        <v>1192</v>
      </c>
      <c r="E208" s="113"/>
      <c r="F208" s="114" t="s">
        <v>1253</v>
      </c>
      <c r="G208" s="107">
        <v>0.33333333333333331</v>
      </c>
      <c r="H208" s="123">
        <v>0.33333333333333298</v>
      </c>
      <c r="I208" s="109">
        <f t="shared" si="4"/>
        <v>0</v>
      </c>
      <c r="J208" s="109">
        <v>0.9</v>
      </c>
      <c r="K208" s="82" t="s">
        <v>1462</v>
      </c>
      <c r="L208" s="82"/>
    </row>
    <row r="209" spans="1:12" ht="14.4" customHeight="1">
      <c r="A209" s="253"/>
      <c r="B209" s="251">
        <v>45830</v>
      </c>
      <c r="C209" s="243" t="s">
        <v>1198</v>
      </c>
      <c r="D209" s="78" t="s">
        <v>1194</v>
      </c>
      <c r="E209" s="159"/>
      <c r="F209" s="111" t="s">
        <v>1251</v>
      </c>
      <c r="G209" s="107"/>
      <c r="H209" s="108">
        <v>0.33333333333333298</v>
      </c>
      <c r="I209" s="109">
        <f t="shared" si="4"/>
        <v>1</v>
      </c>
      <c r="J209" s="109">
        <v>0.9</v>
      </c>
      <c r="K209" s="82"/>
      <c r="L209" s="112"/>
    </row>
    <row r="210" spans="1:12" ht="14.4" customHeight="1">
      <c r="A210" s="253"/>
      <c r="B210" s="244"/>
      <c r="C210" s="244"/>
      <c r="D210" s="78" t="s">
        <v>1194</v>
      </c>
      <c r="E210" s="159"/>
      <c r="F210" s="106" t="s">
        <v>1252</v>
      </c>
      <c r="G210" s="107"/>
      <c r="H210" s="108">
        <v>0.33333333333333298</v>
      </c>
      <c r="I210" s="109">
        <f t="shared" si="4"/>
        <v>1</v>
      </c>
      <c r="J210" s="109">
        <v>0.9</v>
      </c>
      <c r="K210" s="82"/>
      <c r="L210" s="82"/>
    </row>
    <row r="211" spans="1:12" ht="14.4" customHeight="1">
      <c r="A211" s="253"/>
      <c r="B211" s="244"/>
      <c r="C211" s="245"/>
      <c r="D211" s="78" t="s">
        <v>1194</v>
      </c>
      <c r="E211" s="113"/>
      <c r="F211" s="114" t="s">
        <v>1253</v>
      </c>
      <c r="G211" s="107">
        <v>0.33333333333333331</v>
      </c>
      <c r="H211" s="108">
        <v>0.33333333333333298</v>
      </c>
      <c r="I211" s="109">
        <f t="shared" si="4"/>
        <v>0</v>
      </c>
      <c r="J211" s="109">
        <v>0.9</v>
      </c>
      <c r="K211" s="82" t="s">
        <v>1462</v>
      </c>
      <c r="L211" s="82"/>
    </row>
    <row r="212" spans="1:12" ht="14.4" customHeight="1">
      <c r="A212" s="253"/>
      <c r="B212" s="244"/>
      <c r="C212" s="248" t="s">
        <v>1196</v>
      </c>
      <c r="D212" s="132" t="s">
        <v>1193</v>
      </c>
      <c r="E212" s="158"/>
      <c r="F212" s="125" t="s">
        <v>1251</v>
      </c>
      <c r="G212" s="126"/>
      <c r="H212" s="127">
        <v>0.33333333333333298</v>
      </c>
      <c r="I212" s="109">
        <f t="shared" si="4"/>
        <v>1</v>
      </c>
      <c r="J212" s="134">
        <v>0.9</v>
      </c>
      <c r="K212" s="135"/>
      <c r="L212" s="137"/>
    </row>
    <row r="213" spans="1:12" ht="14.4" customHeight="1">
      <c r="A213" s="253"/>
      <c r="B213" s="244"/>
      <c r="C213" s="249"/>
      <c r="D213" s="132" t="s">
        <v>1193</v>
      </c>
      <c r="E213" s="158"/>
      <c r="F213" s="129" t="s">
        <v>1252</v>
      </c>
      <c r="G213" s="126"/>
      <c r="H213" s="127">
        <v>0.33333333333333298</v>
      </c>
      <c r="I213" s="109">
        <f t="shared" si="4"/>
        <v>1</v>
      </c>
      <c r="J213" s="134">
        <v>0.9</v>
      </c>
      <c r="K213" s="135"/>
      <c r="L213" s="136"/>
    </row>
    <row r="214" spans="1:12" ht="14.4" customHeight="1">
      <c r="A214" s="253"/>
      <c r="B214" s="244"/>
      <c r="C214" s="250"/>
      <c r="D214" s="132" t="s">
        <v>1193</v>
      </c>
      <c r="E214" s="133"/>
      <c r="F214" s="128" t="s">
        <v>1253</v>
      </c>
      <c r="G214" s="126">
        <v>0.33333333333333331</v>
      </c>
      <c r="H214" s="127">
        <v>0.33333333333333298</v>
      </c>
      <c r="I214" s="109">
        <f t="shared" si="4"/>
        <v>0</v>
      </c>
      <c r="J214" s="134">
        <v>0.9</v>
      </c>
      <c r="K214" s="133" t="s">
        <v>1462</v>
      </c>
      <c r="L214" s="136"/>
    </row>
    <row r="215" spans="1:12" ht="14.4" customHeight="1">
      <c r="A215" s="253"/>
      <c r="B215" s="244"/>
      <c r="C215" s="243" t="s">
        <v>1197</v>
      </c>
      <c r="D215" s="78" t="s">
        <v>1191</v>
      </c>
      <c r="E215" s="159"/>
      <c r="F215" s="111" t="s">
        <v>1251</v>
      </c>
      <c r="G215" s="107"/>
      <c r="H215" s="108">
        <v>0.33333333333333298</v>
      </c>
      <c r="I215" s="109">
        <f t="shared" si="4"/>
        <v>1</v>
      </c>
      <c r="J215" s="109">
        <v>0.9</v>
      </c>
      <c r="K215" s="82"/>
      <c r="L215" s="82"/>
    </row>
    <row r="216" spans="1:12" ht="14.4" customHeight="1">
      <c r="A216" s="253"/>
      <c r="B216" s="244"/>
      <c r="C216" s="244"/>
      <c r="D216" s="78" t="s">
        <v>1191</v>
      </c>
      <c r="E216" s="159"/>
      <c r="F216" s="106" t="s">
        <v>1252</v>
      </c>
      <c r="G216" s="107"/>
      <c r="H216" s="108">
        <v>0.33333333333333298</v>
      </c>
      <c r="I216" s="109">
        <f t="shared" si="4"/>
        <v>1</v>
      </c>
      <c r="J216" s="109">
        <v>0.9</v>
      </c>
      <c r="K216" s="82"/>
      <c r="L216" s="82"/>
    </row>
    <row r="217" spans="1:12" ht="14.4" customHeight="1">
      <c r="A217" s="253"/>
      <c r="B217" s="245"/>
      <c r="C217" s="245"/>
      <c r="D217" s="78" t="s">
        <v>1191</v>
      </c>
      <c r="E217" s="113"/>
      <c r="F217" s="114" t="s">
        <v>1253</v>
      </c>
      <c r="G217" s="107">
        <v>0.33333333333333331</v>
      </c>
      <c r="H217" s="123">
        <v>0.33333333333333298</v>
      </c>
      <c r="I217" s="109">
        <f t="shared" si="4"/>
        <v>0</v>
      </c>
      <c r="J217" s="109">
        <v>0.9</v>
      </c>
      <c r="K217" s="82" t="s">
        <v>1462</v>
      </c>
      <c r="L217" s="82"/>
    </row>
    <row r="218" spans="1:12" ht="14.4" customHeight="1">
      <c r="A218" s="253"/>
      <c r="B218" s="117"/>
      <c r="C218" s="117"/>
      <c r="D218" s="118"/>
      <c r="E218" s="118"/>
      <c r="F218" s="119" t="s">
        <v>1251</v>
      </c>
      <c r="G218" s="124"/>
      <c r="H218" s="124"/>
      <c r="I218" s="120">
        <f>AVERAGEIF(F155:F217,F218,I155:I217)</f>
        <v>0.9186507936507935</v>
      </c>
      <c r="J218" s="121">
        <v>0.9</v>
      </c>
      <c r="K218" s="118"/>
      <c r="L218" s="116"/>
    </row>
    <row r="219" spans="1:12" ht="14.4" customHeight="1">
      <c r="A219" s="253"/>
      <c r="B219" s="117"/>
      <c r="C219" s="117"/>
      <c r="D219" s="118"/>
      <c r="E219" s="118"/>
      <c r="F219" s="119" t="s">
        <v>1252</v>
      </c>
      <c r="G219" s="124"/>
      <c r="H219" s="124"/>
      <c r="I219" s="120">
        <f>AVERAGEIF(F155:F217,F219,I155:I217)</f>
        <v>0.96626984126984117</v>
      </c>
      <c r="J219" s="121">
        <v>0.9</v>
      </c>
      <c r="K219" s="118"/>
      <c r="L219" s="116"/>
    </row>
    <row r="220" spans="1:12" ht="14.4" customHeight="1" thickBot="1">
      <c r="A220" s="253"/>
      <c r="B220" s="117"/>
      <c r="C220" s="117"/>
      <c r="D220" s="118"/>
      <c r="E220" s="118"/>
      <c r="F220" s="119" t="s">
        <v>1253</v>
      </c>
      <c r="G220" s="124"/>
      <c r="H220" s="124"/>
      <c r="I220" s="120">
        <f>AVERAGEIF(F155:F217,F220,I155:I217)</f>
        <v>0.19047619047619047</v>
      </c>
      <c r="J220" s="121">
        <v>0.9</v>
      </c>
      <c r="K220" s="118"/>
      <c r="L220" s="116"/>
    </row>
    <row r="221" spans="1:12">
      <c r="A221" s="252" t="s">
        <v>1202</v>
      </c>
      <c r="B221" s="251">
        <v>45831</v>
      </c>
      <c r="C221" s="243" t="s">
        <v>1198</v>
      </c>
      <c r="D221" s="110" t="s">
        <v>1201</v>
      </c>
      <c r="E221" s="156"/>
      <c r="F221" s="111" t="s">
        <v>1251</v>
      </c>
      <c r="G221" s="107"/>
      <c r="H221" s="108">
        <v>0.33333333333333331</v>
      </c>
      <c r="I221" s="109">
        <f>1-(G221/H221)</f>
        <v>1</v>
      </c>
      <c r="J221" s="109">
        <v>0.9</v>
      </c>
      <c r="K221" s="82"/>
      <c r="L221" s="82"/>
    </row>
    <row r="222" spans="1:12">
      <c r="A222" s="253"/>
      <c r="B222" s="244"/>
      <c r="C222" s="244"/>
      <c r="D222" s="110" t="s">
        <v>1201</v>
      </c>
      <c r="E222" s="156"/>
      <c r="F222" s="111" t="s">
        <v>1252</v>
      </c>
      <c r="G222" s="107"/>
      <c r="H222" s="108">
        <v>0.33333333333333331</v>
      </c>
      <c r="I222" s="109">
        <f>1-(G222/H222)</f>
        <v>1</v>
      </c>
      <c r="J222" s="109">
        <v>0.9</v>
      </c>
      <c r="K222" s="82"/>
      <c r="L222" s="82"/>
    </row>
    <row r="223" spans="1:12">
      <c r="A223" s="253"/>
      <c r="B223" s="244"/>
      <c r="C223" s="245"/>
      <c r="D223" s="110" t="s">
        <v>1201</v>
      </c>
      <c r="E223" s="157"/>
      <c r="F223" s="114" t="s">
        <v>1253</v>
      </c>
      <c r="G223" s="107"/>
      <c r="H223" s="108">
        <v>0.33333333333333298</v>
      </c>
      <c r="I223" s="109">
        <f t="shared" ref="I223:I283" si="5">1-(G223/H223)</f>
        <v>1</v>
      </c>
      <c r="J223" s="109">
        <v>0.9</v>
      </c>
      <c r="K223" s="82"/>
      <c r="L223" s="82"/>
    </row>
    <row r="224" spans="1:12">
      <c r="A224" s="253"/>
      <c r="B224" s="244"/>
      <c r="C224" s="248" t="s">
        <v>1196</v>
      </c>
      <c r="D224" s="132" t="s">
        <v>1193</v>
      </c>
      <c r="E224" s="158"/>
      <c r="F224" s="125" t="s">
        <v>1251</v>
      </c>
      <c r="G224" s="126"/>
      <c r="H224" s="127">
        <v>0.33333333333333331</v>
      </c>
      <c r="I224" s="109">
        <f t="shared" si="5"/>
        <v>1</v>
      </c>
      <c r="J224" s="134">
        <v>0.9</v>
      </c>
      <c r="K224" s="135"/>
      <c r="L224" s="136"/>
    </row>
    <row r="225" spans="1:12">
      <c r="A225" s="253"/>
      <c r="B225" s="244"/>
      <c r="C225" s="249"/>
      <c r="D225" s="132" t="s">
        <v>1193</v>
      </c>
      <c r="E225" s="158"/>
      <c r="F225" s="125" t="s">
        <v>1252</v>
      </c>
      <c r="G225" s="126"/>
      <c r="H225" s="127">
        <v>0.33333333333333298</v>
      </c>
      <c r="I225" s="109">
        <f t="shared" si="5"/>
        <v>1</v>
      </c>
      <c r="J225" s="134">
        <v>0.9</v>
      </c>
      <c r="K225" s="135"/>
      <c r="L225" s="136"/>
    </row>
    <row r="226" spans="1:12">
      <c r="A226" s="253"/>
      <c r="B226" s="244"/>
      <c r="C226" s="250"/>
      <c r="D226" s="132" t="s">
        <v>1193</v>
      </c>
      <c r="E226" s="133"/>
      <c r="F226" s="128" t="s">
        <v>1253</v>
      </c>
      <c r="G226" s="127">
        <v>0.33333333333333298</v>
      </c>
      <c r="H226" s="127">
        <v>0.33333333333333298</v>
      </c>
      <c r="I226" s="109">
        <f t="shared" si="5"/>
        <v>0</v>
      </c>
      <c r="J226" s="134">
        <v>0.9</v>
      </c>
      <c r="K226" s="133" t="s">
        <v>1462</v>
      </c>
      <c r="L226" s="136"/>
    </row>
    <row r="227" spans="1:12">
      <c r="A227" s="253"/>
      <c r="B227" s="244"/>
      <c r="C227" s="243" t="s">
        <v>1197</v>
      </c>
      <c r="D227" s="78" t="s">
        <v>1191</v>
      </c>
      <c r="E227" s="159"/>
      <c r="F227" s="111" t="s">
        <v>1251</v>
      </c>
      <c r="G227" s="108">
        <v>0.2361111111111111</v>
      </c>
      <c r="H227" s="108">
        <v>0.33333333333333298</v>
      </c>
      <c r="I227" s="109">
        <f t="shared" si="5"/>
        <v>0.29166666666666596</v>
      </c>
      <c r="J227" s="109">
        <v>0.9</v>
      </c>
      <c r="K227" s="82" t="s">
        <v>1473</v>
      </c>
      <c r="L227" s="112"/>
    </row>
    <row r="228" spans="1:12">
      <c r="A228" s="253"/>
      <c r="B228" s="244"/>
      <c r="C228" s="244"/>
      <c r="D228" s="78" t="s">
        <v>1191</v>
      </c>
      <c r="E228" s="159"/>
      <c r="F228" s="111" t="s">
        <v>1252</v>
      </c>
      <c r="G228" s="107"/>
      <c r="H228" s="108">
        <v>0.33333333333333298</v>
      </c>
      <c r="I228" s="109">
        <f t="shared" si="5"/>
        <v>1</v>
      </c>
      <c r="J228" s="109">
        <v>0.9</v>
      </c>
      <c r="K228" s="82"/>
      <c r="L228" s="82"/>
    </row>
    <row r="229" spans="1:12" ht="15" thickBot="1">
      <c r="A229" s="253"/>
      <c r="B229" s="245"/>
      <c r="C229" s="245"/>
      <c r="D229" s="78" t="s">
        <v>1191</v>
      </c>
      <c r="E229" s="113"/>
      <c r="F229" s="114" t="s">
        <v>1253</v>
      </c>
      <c r="G229" s="108">
        <v>0.33333333333333298</v>
      </c>
      <c r="H229" s="108">
        <v>0.33333333333333298</v>
      </c>
      <c r="I229" s="109">
        <f t="shared" si="5"/>
        <v>0</v>
      </c>
      <c r="J229" s="109">
        <v>0.9</v>
      </c>
      <c r="K229" s="82" t="s">
        <v>1462</v>
      </c>
      <c r="L229" s="82"/>
    </row>
    <row r="230" spans="1:12">
      <c r="A230" s="253"/>
      <c r="B230" s="251">
        <v>45832</v>
      </c>
      <c r="C230" s="248" t="s">
        <v>1198</v>
      </c>
      <c r="D230" s="132" t="s">
        <v>1192</v>
      </c>
      <c r="E230" s="158"/>
      <c r="F230" s="125" t="s">
        <v>1251</v>
      </c>
      <c r="G230" s="127">
        <v>0.25</v>
      </c>
      <c r="H230" s="127">
        <v>0.33333333333333298</v>
      </c>
      <c r="I230" s="109">
        <f t="shared" si="5"/>
        <v>0.24999999999999922</v>
      </c>
      <c r="J230" s="134">
        <v>0.9</v>
      </c>
      <c r="K230" s="135" t="s">
        <v>1472</v>
      </c>
      <c r="L230" s="137"/>
    </row>
    <row r="231" spans="1:12">
      <c r="A231" s="253"/>
      <c r="B231" s="244"/>
      <c r="C231" s="249"/>
      <c r="D231" s="132" t="s">
        <v>1192</v>
      </c>
      <c r="E231" s="158"/>
      <c r="F231" s="125" t="s">
        <v>1252</v>
      </c>
      <c r="G231" s="127">
        <v>0.25</v>
      </c>
      <c r="H231" s="127">
        <v>0.33333333333333298</v>
      </c>
      <c r="I231" s="109">
        <f t="shared" si="5"/>
        <v>0.24999999999999922</v>
      </c>
      <c r="J231" s="134">
        <v>0.9</v>
      </c>
      <c r="K231" s="135" t="s">
        <v>1472</v>
      </c>
      <c r="L231" s="136"/>
    </row>
    <row r="232" spans="1:12">
      <c r="A232" s="253"/>
      <c r="B232" s="244"/>
      <c r="C232" s="250"/>
      <c r="D232" s="132" t="s">
        <v>1192</v>
      </c>
      <c r="E232" s="133"/>
      <c r="F232" s="128" t="s">
        <v>1253</v>
      </c>
      <c r="G232" s="127">
        <v>0.33333333333333298</v>
      </c>
      <c r="H232" s="127">
        <v>0.33333333333333298</v>
      </c>
      <c r="I232" s="109">
        <f t="shared" si="5"/>
        <v>0</v>
      </c>
      <c r="J232" s="134">
        <v>0.9</v>
      </c>
      <c r="K232" s="133" t="s">
        <v>1462</v>
      </c>
      <c r="L232" s="136"/>
    </row>
    <row r="233" spans="1:12">
      <c r="A233" s="253"/>
      <c r="B233" s="244"/>
      <c r="C233" s="243" t="s">
        <v>1196</v>
      </c>
      <c r="D233" s="78" t="s">
        <v>1194</v>
      </c>
      <c r="E233" s="159"/>
      <c r="F233" s="111" t="s">
        <v>1251</v>
      </c>
      <c r="G233" s="107"/>
      <c r="H233" s="108">
        <v>0.33333333333333298</v>
      </c>
      <c r="I233" s="109">
        <f t="shared" si="5"/>
        <v>1</v>
      </c>
      <c r="J233" s="109">
        <v>0.9</v>
      </c>
      <c r="K233" s="82"/>
      <c r="L233" s="112"/>
    </row>
    <row r="234" spans="1:12">
      <c r="A234" s="253"/>
      <c r="B234" s="244"/>
      <c r="C234" s="244"/>
      <c r="D234" s="78" t="s">
        <v>1194</v>
      </c>
      <c r="E234" s="159"/>
      <c r="F234" s="111" t="s">
        <v>1252</v>
      </c>
      <c r="G234" s="107"/>
      <c r="H234" s="108">
        <v>0.33333333333333298</v>
      </c>
      <c r="I234" s="109">
        <f t="shared" si="5"/>
        <v>1</v>
      </c>
      <c r="J234" s="109">
        <v>0.9</v>
      </c>
      <c r="K234" s="82"/>
      <c r="L234" s="82"/>
    </row>
    <row r="235" spans="1:12">
      <c r="A235" s="253"/>
      <c r="B235" s="244"/>
      <c r="C235" s="245"/>
      <c r="D235" s="78" t="s">
        <v>1194</v>
      </c>
      <c r="E235" s="113"/>
      <c r="F235" s="114" t="s">
        <v>1253</v>
      </c>
      <c r="G235" s="108">
        <v>0.33333333333333298</v>
      </c>
      <c r="H235" s="108">
        <v>0.33333333333333298</v>
      </c>
      <c r="I235" s="109">
        <f t="shared" si="5"/>
        <v>0</v>
      </c>
      <c r="J235" s="109">
        <v>0.9</v>
      </c>
      <c r="K235" s="82"/>
      <c r="L235" s="82"/>
    </row>
    <row r="236" spans="1:12">
      <c r="A236" s="253"/>
      <c r="B236" s="244"/>
      <c r="C236" s="248" t="s">
        <v>1197</v>
      </c>
      <c r="D236" s="132" t="s">
        <v>1193</v>
      </c>
      <c r="E236" s="158"/>
      <c r="F236" s="125" t="s">
        <v>1251</v>
      </c>
      <c r="G236" s="126"/>
      <c r="H236" s="127">
        <v>0.33333333333333298</v>
      </c>
      <c r="I236" s="109">
        <f t="shared" si="5"/>
        <v>1</v>
      </c>
      <c r="J236" s="134">
        <v>0.9</v>
      </c>
      <c r="K236" s="135"/>
      <c r="L236" s="137"/>
    </row>
    <row r="237" spans="1:12">
      <c r="A237" s="253"/>
      <c r="B237" s="244"/>
      <c r="C237" s="249"/>
      <c r="D237" s="132" t="s">
        <v>1193</v>
      </c>
      <c r="E237" s="158"/>
      <c r="F237" s="129" t="s">
        <v>1252</v>
      </c>
      <c r="G237" s="126"/>
      <c r="H237" s="127">
        <v>0.33333333333333298</v>
      </c>
      <c r="I237" s="109">
        <f t="shared" si="5"/>
        <v>1</v>
      </c>
      <c r="J237" s="134">
        <v>0.9</v>
      </c>
      <c r="K237" s="135"/>
      <c r="L237" s="136"/>
    </row>
    <row r="238" spans="1:12" ht="15" thickBot="1">
      <c r="A238" s="253"/>
      <c r="B238" s="245"/>
      <c r="C238" s="250"/>
      <c r="D238" s="132" t="s">
        <v>1193</v>
      </c>
      <c r="E238" s="133"/>
      <c r="F238" s="128" t="s">
        <v>1253</v>
      </c>
      <c r="G238" s="108">
        <v>0.33333333333333298</v>
      </c>
      <c r="H238" s="131">
        <v>0.33333333333333298</v>
      </c>
      <c r="I238" s="115">
        <f t="shared" si="5"/>
        <v>0</v>
      </c>
      <c r="J238" s="134">
        <v>0.9</v>
      </c>
      <c r="K238" s="133"/>
      <c r="L238" s="136"/>
    </row>
    <row r="239" spans="1:12">
      <c r="A239" s="253"/>
      <c r="B239" s="251">
        <v>45833</v>
      </c>
      <c r="C239" s="243" t="s">
        <v>1198</v>
      </c>
      <c r="D239" s="78" t="s">
        <v>1192</v>
      </c>
      <c r="E239" s="159"/>
      <c r="F239" s="111" t="s">
        <v>1251</v>
      </c>
      <c r="G239" s="107"/>
      <c r="H239" s="108">
        <v>0.33333333333333298</v>
      </c>
      <c r="I239" s="109">
        <f t="shared" si="5"/>
        <v>1</v>
      </c>
      <c r="J239" s="109">
        <v>0.9</v>
      </c>
      <c r="K239" s="82" t="s">
        <v>1474</v>
      </c>
      <c r="L239" s="112"/>
    </row>
    <row r="240" spans="1:12">
      <c r="A240" s="253"/>
      <c r="B240" s="244"/>
      <c r="C240" s="244"/>
      <c r="D240" s="78" t="s">
        <v>1192</v>
      </c>
      <c r="E240" s="159"/>
      <c r="F240" s="106" t="s">
        <v>1252</v>
      </c>
      <c r="G240" s="107"/>
      <c r="H240" s="108">
        <v>0.33333333333333298</v>
      </c>
      <c r="I240" s="109">
        <f t="shared" si="5"/>
        <v>1</v>
      </c>
      <c r="J240" s="109">
        <v>0.9</v>
      </c>
      <c r="K240" s="82" t="s">
        <v>1474</v>
      </c>
      <c r="L240" s="82"/>
    </row>
    <row r="241" spans="1:12">
      <c r="A241" s="253"/>
      <c r="B241" s="244"/>
      <c r="C241" s="245"/>
      <c r="D241" s="78" t="s">
        <v>1192</v>
      </c>
      <c r="E241" s="113"/>
      <c r="F241" s="114" t="s">
        <v>1253</v>
      </c>
      <c r="G241" s="108">
        <v>0.33333333333333298</v>
      </c>
      <c r="H241" s="108">
        <v>0.33333333333333298</v>
      </c>
      <c r="I241" s="109">
        <f t="shared" si="5"/>
        <v>0</v>
      </c>
      <c r="J241" s="109">
        <v>0.9</v>
      </c>
      <c r="K241" s="82" t="s">
        <v>1462</v>
      </c>
      <c r="L241" s="82"/>
    </row>
    <row r="242" spans="1:12">
      <c r="A242" s="253"/>
      <c r="B242" s="244"/>
      <c r="C242" s="248" t="s">
        <v>1196</v>
      </c>
      <c r="D242" s="132" t="s">
        <v>1194</v>
      </c>
      <c r="E242" s="158"/>
      <c r="F242" s="125" t="s">
        <v>1251</v>
      </c>
      <c r="G242" s="127">
        <v>0.3125</v>
      </c>
      <c r="H242" s="127">
        <v>0.33333333333333298</v>
      </c>
      <c r="I242" s="109">
        <f t="shared" si="5"/>
        <v>6.2499999999999001E-2</v>
      </c>
      <c r="J242" s="134">
        <v>0.9</v>
      </c>
      <c r="K242" s="135" t="s">
        <v>1475</v>
      </c>
      <c r="L242" s="137"/>
    </row>
    <row r="243" spans="1:12">
      <c r="A243" s="253"/>
      <c r="B243" s="244"/>
      <c r="C243" s="249"/>
      <c r="D243" s="132" t="s">
        <v>1194</v>
      </c>
      <c r="E243" s="158"/>
      <c r="F243" s="129" t="s">
        <v>1252</v>
      </c>
      <c r="G243" s="127">
        <v>0.3125</v>
      </c>
      <c r="H243" s="127">
        <v>0.33333333333333298</v>
      </c>
      <c r="I243" s="109">
        <f t="shared" si="5"/>
        <v>6.2499999999999001E-2</v>
      </c>
      <c r="J243" s="134">
        <v>0.9</v>
      </c>
      <c r="K243" s="135" t="s">
        <v>1475</v>
      </c>
      <c r="L243" s="136"/>
    </row>
    <row r="244" spans="1:12">
      <c r="A244" s="253"/>
      <c r="B244" s="244"/>
      <c r="C244" s="250"/>
      <c r="D244" s="132" t="s">
        <v>1194</v>
      </c>
      <c r="E244" s="133"/>
      <c r="F244" s="128" t="s">
        <v>1253</v>
      </c>
      <c r="G244" s="127">
        <v>0.33333333333333298</v>
      </c>
      <c r="H244" s="127">
        <v>0.33333333333333298</v>
      </c>
      <c r="I244" s="109">
        <f t="shared" si="5"/>
        <v>0</v>
      </c>
      <c r="J244" s="134">
        <v>0.9</v>
      </c>
      <c r="K244" s="133" t="s">
        <v>1462</v>
      </c>
      <c r="L244" s="136"/>
    </row>
    <row r="245" spans="1:12">
      <c r="A245" s="253"/>
      <c r="B245" s="244"/>
      <c r="C245" s="243" t="s">
        <v>1197</v>
      </c>
      <c r="D245" s="78" t="s">
        <v>1193</v>
      </c>
      <c r="E245" s="159"/>
      <c r="F245" s="111" t="s">
        <v>1251</v>
      </c>
      <c r="G245" s="107">
        <v>0.15069444444444444</v>
      </c>
      <c r="H245" s="108">
        <v>0.33333333333333331</v>
      </c>
      <c r="I245" s="109">
        <f t="shared" si="5"/>
        <v>0.54791666666666661</v>
      </c>
      <c r="J245" s="109">
        <v>0.9</v>
      </c>
      <c r="K245" s="82" t="s">
        <v>1475</v>
      </c>
      <c r="L245" s="112"/>
    </row>
    <row r="246" spans="1:12">
      <c r="A246" s="253"/>
      <c r="B246" s="244"/>
      <c r="C246" s="244"/>
      <c r="D246" s="78" t="s">
        <v>1193</v>
      </c>
      <c r="E246" s="159"/>
      <c r="F246" s="106" t="s">
        <v>1252</v>
      </c>
      <c r="G246" s="107">
        <v>0.15069444444444444</v>
      </c>
      <c r="H246" s="108">
        <v>0.33333333333333298</v>
      </c>
      <c r="I246" s="109">
        <f t="shared" si="5"/>
        <v>0.54791666666666616</v>
      </c>
      <c r="J246" s="109">
        <v>0.9</v>
      </c>
      <c r="K246" s="82" t="s">
        <v>1475</v>
      </c>
      <c r="L246" s="82"/>
    </row>
    <row r="247" spans="1:12" ht="15" thickBot="1">
      <c r="A247" s="253"/>
      <c r="B247" s="245"/>
      <c r="C247" s="245"/>
      <c r="D247" s="78" t="s">
        <v>1193</v>
      </c>
      <c r="E247" s="113"/>
      <c r="F247" s="114" t="s">
        <v>1253</v>
      </c>
      <c r="G247" s="108">
        <v>0.33333333333333298</v>
      </c>
      <c r="H247" s="108">
        <v>0.33333333333333298</v>
      </c>
      <c r="I247" s="109">
        <f t="shared" si="5"/>
        <v>0</v>
      </c>
      <c r="J247" s="109">
        <v>0.9</v>
      </c>
      <c r="K247" s="82" t="s">
        <v>1462</v>
      </c>
      <c r="L247" s="82"/>
    </row>
    <row r="248" spans="1:12">
      <c r="A248" s="253"/>
      <c r="B248" s="251">
        <v>45834</v>
      </c>
      <c r="C248" s="248" t="s">
        <v>1198</v>
      </c>
      <c r="D248" s="132" t="s">
        <v>1191</v>
      </c>
      <c r="E248" s="158"/>
      <c r="F248" s="125" t="s">
        <v>1251</v>
      </c>
      <c r="G248" s="126"/>
      <c r="H248" s="127">
        <v>0.33333333333333298</v>
      </c>
      <c r="I248" s="109">
        <f t="shared" si="5"/>
        <v>1</v>
      </c>
      <c r="J248" s="134">
        <v>0.9</v>
      </c>
      <c r="K248" s="135"/>
      <c r="L248" s="137"/>
    </row>
    <row r="249" spans="1:12">
      <c r="A249" s="253"/>
      <c r="B249" s="244"/>
      <c r="C249" s="249"/>
      <c r="D249" s="132" t="s">
        <v>1191</v>
      </c>
      <c r="E249" s="158"/>
      <c r="F249" s="129" t="s">
        <v>1252</v>
      </c>
      <c r="G249" s="126"/>
      <c r="H249" s="127">
        <v>0.33333333333333298</v>
      </c>
      <c r="I249" s="109">
        <f t="shared" si="5"/>
        <v>1</v>
      </c>
      <c r="J249" s="134">
        <v>0.9</v>
      </c>
      <c r="K249" s="135"/>
      <c r="L249" s="136"/>
    </row>
    <row r="250" spans="1:12">
      <c r="A250" s="253"/>
      <c r="B250" s="244"/>
      <c r="C250" s="250"/>
      <c r="D250" s="132" t="s">
        <v>1191</v>
      </c>
      <c r="E250" s="133"/>
      <c r="F250" s="128" t="s">
        <v>1253</v>
      </c>
      <c r="G250" s="126">
        <v>0.33333333333333331</v>
      </c>
      <c r="H250" s="127">
        <v>0.33333333333333331</v>
      </c>
      <c r="I250" s="109">
        <f t="shared" si="5"/>
        <v>0</v>
      </c>
      <c r="J250" s="134">
        <v>0.9</v>
      </c>
      <c r="K250" s="133" t="s">
        <v>1462</v>
      </c>
      <c r="L250" s="136"/>
    </row>
    <row r="251" spans="1:12">
      <c r="A251" s="253"/>
      <c r="B251" s="244"/>
      <c r="C251" s="243" t="s">
        <v>1196</v>
      </c>
      <c r="D251" s="78" t="s">
        <v>1192</v>
      </c>
      <c r="E251" s="159"/>
      <c r="F251" s="111" t="s">
        <v>1251</v>
      </c>
      <c r="G251" s="107"/>
      <c r="H251" s="108">
        <v>0.33333333333333298</v>
      </c>
      <c r="I251" s="109">
        <f t="shared" si="5"/>
        <v>1</v>
      </c>
      <c r="J251" s="109">
        <v>0.9</v>
      </c>
      <c r="K251" s="82"/>
      <c r="L251" s="112"/>
    </row>
    <row r="252" spans="1:12">
      <c r="A252" s="253"/>
      <c r="B252" s="244"/>
      <c r="C252" s="244"/>
      <c r="D252" s="78" t="s">
        <v>1192</v>
      </c>
      <c r="E252" s="159"/>
      <c r="F252" s="106" t="s">
        <v>1252</v>
      </c>
      <c r="G252" s="107"/>
      <c r="H252" s="108">
        <v>0.33333333333333298</v>
      </c>
      <c r="I252" s="109">
        <f t="shared" si="5"/>
        <v>1</v>
      </c>
      <c r="J252" s="109">
        <v>0.9</v>
      </c>
      <c r="K252" s="82"/>
      <c r="L252" s="82"/>
    </row>
    <row r="253" spans="1:12">
      <c r="A253" s="253"/>
      <c r="B253" s="244"/>
      <c r="C253" s="245"/>
      <c r="D253" s="78" t="s">
        <v>1192</v>
      </c>
      <c r="E253" s="113"/>
      <c r="F253" s="114" t="s">
        <v>1253</v>
      </c>
      <c r="G253" s="108">
        <v>0.33333333333333298</v>
      </c>
      <c r="H253" s="108">
        <v>0.33333333333333298</v>
      </c>
      <c r="I253" s="109">
        <f t="shared" si="5"/>
        <v>0</v>
      </c>
      <c r="J253" s="109">
        <v>0.9</v>
      </c>
      <c r="K253" s="82" t="s">
        <v>1462</v>
      </c>
      <c r="L253" s="82"/>
    </row>
    <row r="254" spans="1:12">
      <c r="A254" s="253"/>
      <c r="B254" s="244"/>
      <c r="C254" s="248" t="s">
        <v>1197</v>
      </c>
      <c r="D254" s="132" t="s">
        <v>1194</v>
      </c>
      <c r="E254" s="158"/>
      <c r="F254" s="125" t="s">
        <v>1251</v>
      </c>
      <c r="G254" s="126"/>
      <c r="H254" s="127">
        <v>0.33333333333333298</v>
      </c>
      <c r="I254" s="109">
        <f t="shared" si="5"/>
        <v>1</v>
      </c>
      <c r="J254" s="134">
        <v>0.9</v>
      </c>
      <c r="K254" s="133"/>
      <c r="L254" s="137"/>
    </row>
    <row r="255" spans="1:12">
      <c r="A255" s="253"/>
      <c r="B255" s="244"/>
      <c r="C255" s="249"/>
      <c r="D255" s="132" t="s">
        <v>1194</v>
      </c>
      <c r="E255" s="158"/>
      <c r="F255" s="129" t="s">
        <v>1252</v>
      </c>
      <c r="G255" s="126"/>
      <c r="H255" s="127">
        <v>0.33333333333333298</v>
      </c>
      <c r="I255" s="109">
        <f t="shared" si="5"/>
        <v>1</v>
      </c>
      <c r="J255" s="134">
        <v>0.9</v>
      </c>
      <c r="K255" s="135"/>
      <c r="L255" s="136"/>
    </row>
    <row r="256" spans="1:12" ht="15" thickBot="1">
      <c r="A256" s="253"/>
      <c r="B256" s="245"/>
      <c r="C256" s="250"/>
      <c r="D256" s="132" t="s">
        <v>1194</v>
      </c>
      <c r="E256" s="133"/>
      <c r="F256" s="128" t="s">
        <v>1253</v>
      </c>
      <c r="G256" s="127">
        <v>0.33333333333333298</v>
      </c>
      <c r="H256" s="127">
        <v>0.33333333333333298</v>
      </c>
      <c r="I256" s="109">
        <f t="shared" si="5"/>
        <v>0</v>
      </c>
      <c r="J256" s="134">
        <v>0.9</v>
      </c>
      <c r="K256" s="133" t="s">
        <v>1462</v>
      </c>
      <c r="L256" s="136"/>
    </row>
    <row r="257" spans="1:12">
      <c r="A257" s="253"/>
      <c r="B257" s="251">
        <v>45835</v>
      </c>
      <c r="C257" s="248" t="s">
        <v>1198</v>
      </c>
      <c r="D257" s="132" t="s">
        <v>1191</v>
      </c>
      <c r="E257" s="158"/>
      <c r="F257" s="125" t="s">
        <v>1251</v>
      </c>
      <c r="G257" s="126"/>
      <c r="H257" s="127">
        <v>0.33333333333333298</v>
      </c>
      <c r="I257" s="109">
        <f t="shared" si="5"/>
        <v>1</v>
      </c>
      <c r="J257" s="134">
        <v>0.9</v>
      </c>
      <c r="K257" s="135"/>
      <c r="L257" s="137"/>
    </row>
    <row r="258" spans="1:12">
      <c r="A258" s="253"/>
      <c r="B258" s="244"/>
      <c r="C258" s="249"/>
      <c r="D258" s="132" t="s">
        <v>1191</v>
      </c>
      <c r="E258" s="158"/>
      <c r="F258" s="129" t="s">
        <v>1252</v>
      </c>
      <c r="G258" s="126"/>
      <c r="H258" s="127">
        <v>0.33333333333333298</v>
      </c>
      <c r="I258" s="109">
        <f t="shared" si="5"/>
        <v>1</v>
      </c>
      <c r="J258" s="134">
        <v>0.9</v>
      </c>
      <c r="K258" s="135"/>
      <c r="L258" s="136"/>
    </row>
    <row r="259" spans="1:12">
      <c r="A259" s="253"/>
      <c r="B259" s="244"/>
      <c r="C259" s="250"/>
      <c r="D259" s="132" t="s">
        <v>1191</v>
      </c>
      <c r="E259" s="133"/>
      <c r="F259" s="128" t="s">
        <v>1253</v>
      </c>
      <c r="G259" s="126">
        <v>0.33333333333333331</v>
      </c>
      <c r="H259" s="127">
        <v>0.33333333333333331</v>
      </c>
      <c r="I259" s="109">
        <f t="shared" si="5"/>
        <v>0</v>
      </c>
      <c r="J259" s="134">
        <v>0.9</v>
      </c>
      <c r="K259" s="133" t="s">
        <v>1462</v>
      </c>
      <c r="L259" s="136"/>
    </row>
    <row r="260" spans="1:12">
      <c r="A260" s="253"/>
      <c r="B260" s="244"/>
      <c r="C260" s="243" t="s">
        <v>1196</v>
      </c>
      <c r="D260" s="78" t="s">
        <v>1192</v>
      </c>
      <c r="E260" s="159"/>
      <c r="F260" s="111" t="s">
        <v>1251</v>
      </c>
      <c r="G260" s="107"/>
      <c r="H260" s="108">
        <v>0.33333333333333298</v>
      </c>
      <c r="I260" s="109">
        <f t="shared" si="5"/>
        <v>1</v>
      </c>
      <c r="J260" s="109">
        <v>0.9</v>
      </c>
      <c r="K260" s="82"/>
      <c r="L260" s="112"/>
    </row>
    <row r="261" spans="1:12">
      <c r="A261" s="253"/>
      <c r="B261" s="244"/>
      <c r="C261" s="244"/>
      <c r="D261" s="78" t="s">
        <v>1192</v>
      </c>
      <c r="E261" s="159"/>
      <c r="F261" s="106" t="s">
        <v>1252</v>
      </c>
      <c r="G261" s="107"/>
      <c r="H261" s="108">
        <v>0.33333333333333298</v>
      </c>
      <c r="I261" s="109">
        <f t="shared" si="5"/>
        <v>1</v>
      </c>
      <c r="J261" s="109">
        <v>0.9</v>
      </c>
      <c r="K261" s="82"/>
      <c r="L261" s="82"/>
    </row>
    <row r="262" spans="1:12">
      <c r="A262" s="253"/>
      <c r="B262" s="244"/>
      <c r="C262" s="245"/>
      <c r="D262" s="78" t="s">
        <v>1192</v>
      </c>
      <c r="E262" s="113"/>
      <c r="F262" s="114" t="s">
        <v>1253</v>
      </c>
      <c r="G262" s="107">
        <v>0.33333333333333331</v>
      </c>
      <c r="H262" s="108">
        <v>0.33333333333333298</v>
      </c>
      <c r="I262" s="109">
        <f t="shared" si="5"/>
        <v>0</v>
      </c>
      <c r="J262" s="109">
        <v>0.9</v>
      </c>
      <c r="K262" s="82" t="s">
        <v>1462</v>
      </c>
      <c r="L262" s="82"/>
    </row>
    <row r="263" spans="1:12">
      <c r="A263" s="253"/>
      <c r="B263" s="244"/>
      <c r="C263" s="248" t="s">
        <v>1197</v>
      </c>
      <c r="D263" s="132" t="s">
        <v>1194</v>
      </c>
      <c r="E263" s="158"/>
      <c r="F263" s="125" t="s">
        <v>1251</v>
      </c>
      <c r="G263" s="126"/>
      <c r="H263" s="127">
        <v>0.33333333333333298</v>
      </c>
      <c r="I263" s="109">
        <f t="shared" si="5"/>
        <v>1</v>
      </c>
      <c r="J263" s="134">
        <v>0.9</v>
      </c>
      <c r="K263" s="133"/>
      <c r="L263" s="137"/>
    </row>
    <row r="264" spans="1:12">
      <c r="A264" s="253"/>
      <c r="B264" s="244"/>
      <c r="C264" s="249"/>
      <c r="D264" s="132" t="s">
        <v>1194</v>
      </c>
      <c r="E264" s="158"/>
      <c r="F264" s="129" t="s">
        <v>1252</v>
      </c>
      <c r="G264" s="126"/>
      <c r="H264" s="127">
        <v>0.33333333333333298</v>
      </c>
      <c r="I264" s="109">
        <f t="shared" si="5"/>
        <v>1</v>
      </c>
      <c r="J264" s="134">
        <v>0.9</v>
      </c>
      <c r="K264" s="135"/>
      <c r="L264" s="136"/>
    </row>
    <row r="265" spans="1:12" ht="15" thickBot="1">
      <c r="A265" s="253"/>
      <c r="B265" s="245"/>
      <c r="C265" s="250"/>
      <c r="D265" s="132" t="s">
        <v>1194</v>
      </c>
      <c r="E265" s="133"/>
      <c r="F265" s="128" t="s">
        <v>1253</v>
      </c>
      <c r="G265" s="126">
        <v>0.33333333333333331</v>
      </c>
      <c r="H265" s="127">
        <v>0.33333333333333298</v>
      </c>
      <c r="I265" s="109">
        <f t="shared" si="5"/>
        <v>0</v>
      </c>
      <c r="J265" s="134">
        <v>0.9</v>
      </c>
      <c r="K265" s="133" t="s">
        <v>1462</v>
      </c>
      <c r="L265" s="136"/>
    </row>
    <row r="266" spans="1:12">
      <c r="A266" s="253"/>
      <c r="B266" s="251">
        <v>45836</v>
      </c>
      <c r="C266" s="248" t="s">
        <v>1198</v>
      </c>
      <c r="D266" s="132" t="s">
        <v>1193</v>
      </c>
      <c r="E266" s="158"/>
      <c r="F266" s="125" t="s">
        <v>1251</v>
      </c>
      <c r="G266" s="126"/>
      <c r="H266" s="127">
        <v>0.33333333333333298</v>
      </c>
      <c r="I266" s="109">
        <f t="shared" si="5"/>
        <v>1</v>
      </c>
      <c r="J266" s="134">
        <v>0.9</v>
      </c>
      <c r="K266" s="135"/>
      <c r="L266" s="137"/>
    </row>
    <row r="267" spans="1:12">
      <c r="A267" s="253"/>
      <c r="B267" s="244"/>
      <c r="C267" s="249"/>
      <c r="D267" s="132" t="s">
        <v>1193</v>
      </c>
      <c r="E267" s="158"/>
      <c r="F267" s="129" t="s">
        <v>1252</v>
      </c>
      <c r="G267" s="126"/>
      <c r="H267" s="127">
        <v>0.33333333333333298</v>
      </c>
      <c r="I267" s="109">
        <f t="shared" si="5"/>
        <v>1</v>
      </c>
      <c r="J267" s="134">
        <v>0.9</v>
      </c>
      <c r="K267" s="135"/>
      <c r="L267" s="136"/>
    </row>
    <row r="268" spans="1:12">
      <c r="A268" s="253"/>
      <c r="B268" s="244"/>
      <c r="C268" s="250"/>
      <c r="D268" s="132" t="s">
        <v>1193</v>
      </c>
      <c r="E268" s="133"/>
      <c r="F268" s="128" t="s">
        <v>1253</v>
      </c>
      <c r="G268" s="126">
        <v>0.33333333333333331</v>
      </c>
      <c r="H268" s="127">
        <v>0.33333333333333298</v>
      </c>
      <c r="I268" s="109">
        <f t="shared" si="5"/>
        <v>0</v>
      </c>
      <c r="J268" s="134">
        <v>0.9</v>
      </c>
      <c r="K268" s="135" t="s">
        <v>1462</v>
      </c>
      <c r="L268" s="136"/>
    </row>
    <row r="269" spans="1:12">
      <c r="A269" s="253"/>
      <c r="B269" s="244"/>
      <c r="C269" s="243" t="s">
        <v>1196</v>
      </c>
      <c r="D269" s="78" t="s">
        <v>1191</v>
      </c>
      <c r="E269" s="159"/>
      <c r="F269" s="111" t="s">
        <v>1251</v>
      </c>
      <c r="G269" s="107"/>
      <c r="H269" s="108">
        <v>0.33333333333333298</v>
      </c>
      <c r="I269" s="109">
        <f t="shared" si="5"/>
        <v>1</v>
      </c>
      <c r="J269" s="109">
        <v>0.9</v>
      </c>
      <c r="K269" s="82"/>
      <c r="L269" s="112"/>
    </row>
    <row r="270" spans="1:12">
      <c r="A270" s="253"/>
      <c r="B270" s="244"/>
      <c r="C270" s="244"/>
      <c r="D270" s="78" t="s">
        <v>1191</v>
      </c>
      <c r="E270" s="159"/>
      <c r="F270" s="106" t="s">
        <v>1252</v>
      </c>
      <c r="G270" s="107"/>
      <c r="H270" s="108">
        <v>0.33333333333333298</v>
      </c>
      <c r="I270" s="109">
        <f t="shared" si="5"/>
        <v>1</v>
      </c>
      <c r="J270" s="109">
        <v>0.9</v>
      </c>
      <c r="K270" s="82"/>
      <c r="L270" s="82"/>
    </row>
    <row r="271" spans="1:12">
      <c r="A271" s="253"/>
      <c r="B271" s="244"/>
      <c r="C271" s="245"/>
      <c r="D271" s="78" t="s">
        <v>1191</v>
      </c>
      <c r="E271" s="113"/>
      <c r="F271" s="114" t="s">
        <v>1253</v>
      </c>
      <c r="G271" s="107">
        <v>0.33333333333333331</v>
      </c>
      <c r="H271" s="108">
        <v>0.33333333333333298</v>
      </c>
      <c r="I271" s="109">
        <f t="shared" si="5"/>
        <v>0</v>
      </c>
      <c r="J271" s="109">
        <v>0.9</v>
      </c>
      <c r="K271" s="82" t="s">
        <v>1462</v>
      </c>
      <c r="L271" s="82"/>
    </row>
    <row r="272" spans="1:12">
      <c r="A272" s="253"/>
      <c r="B272" s="244"/>
      <c r="C272" s="248" t="s">
        <v>1197</v>
      </c>
      <c r="D272" s="132" t="s">
        <v>1192</v>
      </c>
      <c r="E272" s="158"/>
      <c r="F272" s="125" t="s">
        <v>1251</v>
      </c>
      <c r="G272" s="126"/>
      <c r="H272" s="127">
        <v>0.33333333333333298</v>
      </c>
      <c r="I272" s="109">
        <f t="shared" si="5"/>
        <v>1</v>
      </c>
      <c r="J272" s="134">
        <v>0.9</v>
      </c>
      <c r="K272" s="133"/>
      <c r="L272" s="137"/>
    </row>
    <row r="273" spans="1:12">
      <c r="A273" s="253"/>
      <c r="B273" s="244"/>
      <c r="C273" s="249"/>
      <c r="D273" s="132" t="s">
        <v>1192</v>
      </c>
      <c r="E273" s="158"/>
      <c r="F273" s="129" t="s">
        <v>1252</v>
      </c>
      <c r="G273" s="126"/>
      <c r="H273" s="127">
        <v>0.33333333333333298</v>
      </c>
      <c r="I273" s="109">
        <f t="shared" si="5"/>
        <v>1</v>
      </c>
      <c r="J273" s="134">
        <v>0.9</v>
      </c>
      <c r="K273" s="135"/>
      <c r="L273" s="136"/>
    </row>
    <row r="274" spans="1:12" ht="15" thickBot="1">
      <c r="A274" s="253"/>
      <c r="B274" s="245"/>
      <c r="C274" s="250"/>
      <c r="D274" s="132" t="s">
        <v>1192</v>
      </c>
      <c r="E274" s="133"/>
      <c r="F274" s="128" t="s">
        <v>1253</v>
      </c>
      <c r="G274" s="126">
        <v>0.33333333333333331</v>
      </c>
      <c r="H274" s="127">
        <v>0.33333333333333298</v>
      </c>
      <c r="I274" s="109">
        <f t="shared" si="5"/>
        <v>0</v>
      </c>
      <c r="J274" s="134">
        <v>0.9</v>
      </c>
      <c r="K274" s="133" t="s">
        <v>1462</v>
      </c>
      <c r="L274" s="136"/>
    </row>
    <row r="275" spans="1:12">
      <c r="A275" s="253"/>
      <c r="B275" s="251">
        <v>45837</v>
      </c>
      <c r="C275" s="248" t="s">
        <v>1198</v>
      </c>
      <c r="D275" s="132" t="s">
        <v>1193</v>
      </c>
      <c r="E275" s="158"/>
      <c r="F275" s="125" t="s">
        <v>1251</v>
      </c>
      <c r="G275" s="126"/>
      <c r="H275" s="127">
        <v>0.33333333333333298</v>
      </c>
      <c r="I275" s="109">
        <f t="shared" si="5"/>
        <v>1</v>
      </c>
      <c r="J275" s="134">
        <v>0.9</v>
      </c>
      <c r="K275" s="135"/>
      <c r="L275" s="137"/>
    </row>
    <row r="276" spans="1:12">
      <c r="A276" s="253"/>
      <c r="B276" s="244"/>
      <c r="C276" s="249"/>
      <c r="D276" s="132" t="s">
        <v>1193</v>
      </c>
      <c r="E276" s="158"/>
      <c r="F276" s="129" t="s">
        <v>1252</v>
      </c>
      <c r="G276" s="126"/>
      <c r="H276" s="127">
        <v>0.33333333333333298</v>
      </c>
      <c r="I276" s="109">
        <f t="shared" si="5"/>
        <v>1</v>
      </c>
      <c r="J276" s="134">
        <v>0.9</v>
      </c>
      <c r="K276" s="135"/>
      <c r="L276" s="136"/>
    </row>
    <row r="277" spans="1:12">
      <c r="A277" s="253"/>
      <c r="B277" s="244"/>
      <c r="C277" s="250"/>
      <c r="D277" s="132" t="s">
        <v>1193</v>
      </c>
      <c r="E277" s="133"/>
      <c r="F277" s="128" t="s">
        <v>1253</v>
      </c>
      <c r="G277" s="127">
        <v>0.33333333333333298</v>
      </c>
      <c r="H277" s="127">
        <v>0.33333333333333298</v>
      </c>
      <c r="I277" s="109">
        <f t="shared" si="5"/>
        <v>0</v>
      </c>
      <c r="J277" s="134">
        <v>0.9</v>
      </c>
      <c r="K277" s="133"/>
      <c r="L277" s="136"/>
    </row>
    <row r="278" spans="1:12">
      <c r="A278" s="253"/>
      <c r="B278" s="244"/>
      <c r="C278" s="243" t="s">
        <v>1196</v>
      </c>
      <c r="D278" s="78" t="s">
        <v>1191</v>
      </c>
      <c r="E278" s="159"/>
      <c r="F278" s="111" t="s">
        <v>1251</v>
      </c>
      <c r="G278" s="107"/>
      <c r="H278" s="108">
        <v>0.33333333333333298</v>
      </c>
      <c r="I278" s="109">
        <f t="shared" si="5"/>
        <v>1</v>
      </c>
      <c r="J278" s="109">
        <v>0.9</v>
      </c>
      <c r="K278" s="82"/>
      <c r="L278" s="112"/>
    </row>
    <row r="279" spans="1:12">
      <c r="A279" s="253"/>
      <c r="B279" s="244"/>
      <c r="C279" s="244"/>
      <c r="D279" s="78" t="s">
        <v>1191</v>
      </c>
      <c r="E279" s="159"/>
      <c r="F279" s="106" t="s">
        <v>1252</v>
      </c>
      <c r="G279" s="107">
        <v>6.25E-2</v>
      </c>
      <c r="H279" s="108">
        <v>0.33333333333333298</v>
      </c>
      <c r="I279" s="109">
        <f t="shared" si="5"/>
        <v>0.81249999999999978</v>
      </c>
      <c r="J279" s="109">
        <v>0.9</v>
      </c>
      <c r="K279" s="82" t="s">
        <v>1476</v>
      </c>
      <c r="L279" s="82"/>
    </row>
    <row r="280" spans="1:12">
      <c r="A280" s="253"/>
      <c r="B280" s="244"/>
      <c r="C280" s="245"/>
      <c r="D280" s="78" t="s">
        <v>1191</v>
      </c>
      <c r="E280" s="113"/>
      <c r="F280" s="114" t="s">
        <v>1253</v>
      </c>
      <c r="G280" s="107">
        <v>0.33333333333333298</v>
      </c>
      <c r="H280" s="108">
        <v>0.33333333333333298</v>
      </c>
      <c r="I280" s="109">
        <f t="shared" si="5"/>
        <v>0</v>
      </c>
      <c r="J280" s="109">
        <v>0.9</v>
      </c>
      <c r="K280" s="82" t="s">
        <v>1462</v>
      </c>
      <c r="L280" s="82"/>
    </row>
    <row r="281" spans="1:12">
      <c r="A281" s="253"/>
      <c r="B281" s="244"/>
      <c r="C281" s="248" t="s">
        <v>1197</v>
      </c>
      <c r="D281" s="132"/>
      <c r="E281" s="158"/>
      <c r="F281" s="125" t="s">
        <v>1251</v>
      </c>
      <c r="G281" s="126"/>
      <c r="H281" s="127">
        <v>0.33333333333333298</v>
      </c>
      <c r="I281" s="109">
        <f t="shared" si="5"/>
        <v>1</v>
      </c>
      <c r="J281" s="134">
        <v>0.9</v>
      </c>
      <c r="K281" s="133"/>
      <c r="L281" s="137"/>
    </row>
    <row r="282" spans="1:12">
      <c r="A282" s="253"/>
      <c r="B282" s="244"/>
      <c r="C282" s="249"/>
      <c r="D282" s="132"/>
      <c r="E282" s="158"/>
      <c r="F282" s="129" t="s">
        <v>1252</v>
      </c>
      <c r="G282" s="126"/>
      <c r="H282" s="127">
        <v>0.33333333333333298</v>
      </c>
      <c r="I282" s="109">
        <f t="shared" si="5"/>
        <v>1</v>
      </c>
      <c r="J282" s="134">
        <v>0.9</v>
      </c>
      <c r="K282" s="135"/>
      <c r="L282" s="136"/>
    </row>
    <row r="283" spans="1:12">
      <c r="A283" s="253"/>
      <c r="B283" s="245"/>
      <c r="C283" s="250"/>
      <c r="D283" s="132"/>
      <c r="E283" s="133"/>
      <c r="F283" s="128" t="s">
        <v>1253</v>
      </c>
      <c r="G283" s="126"/>
      <c r="H283" s="127">
        <v>0.33333333333333298</v>
      </c>
      <c r="I283" s="109">
        <f t="shared" si="5"/>
        <v>1</v>
      </c>
      <c r="J283" s="134">
        <v>0.9</v>
      </c>
      <c r="K283" s="133"/>
      <c r="L283" s="136"/>
    </row>
    <row r="284" spans="1:12">
      <c r="A284" s="253"/>
      <c r="B284" s="117"/>
      <c r="C284" s="117"/>
      <c r="D284" s="118"/>
      <c r="E284" s="118"/>
      <c r="F284" s="119" t="s">
        <v>1251</v>
      </c>
      <c r="G284" s="124"/>
      <c r="H284" s="124"/>
      <c r="I284" s="120">
        <f>AVERAGEIF(F221:F283,F284,I221:I283)</f>
        <v>0.86438492063492045</v>
      </c>
      <c r="J284" s="121">
        <v>0.9</v>
      </c>
      <c r="K284" s="118"/>
      <c r="L284" s="116"/>
    </row>
    <row r="285" spans="1:12">
      <c r="A285" s="253"/>
      <c r="B285" s="117"/>
      <c r="C285" s="117"/>
      <c r="D285" s="118"/>
      <c r="E285" s="118"/>
      <c r="F285" s="119" t="s">
        <v>1252</v>
      </c>
      <c r="G285" s="124"/>
      <c r="H285" s="124"/>
      <c r="I285" s="120">
        <f>AVERAGEIF(F221:F283,F285,I221:I283)</f>
        <v>0.88918650793650789</v>
      </c>
      <c r="J285" s="121">
        <v>0.9</v>
      </c>
      <c r="K285" s="118"/>
      <c r="L285" s="116"/>
    </row>
    <row r="286" spans="1:12" ht="15" thickBot="1">
      <c r="A286" s="253"/>
      <c r="B286" s="117"/>
      <c r="C286" s="117"/>
      <c r="D286" s="118"/>
      <c r="E286" s="118"/>
      <c r="F286" s="119" t="s">
        <v>1253</v>
      </c>
      <c r="G286" s="124"/>
      <c r="H286" s="124"/>
      <c r="I286" s="120">
        <f>AVERAGEIF(F221:F283,F286,I221:I283)</f>
        <v>9.5238095238095233E-2</v>
      </c>
      <c r="J286" s="121">
        <v>0.9</v>
      </c>
      <c r="K286" s="118"/>
      <c r="L286" s="116"/>
    </row>
    <row r="287" spans="1:12">
      <c r="A287" s="252" t="s">
        <v>1202</v>
      </c>
      <c r="B287" s="251">
        <v>45838</v>
      </c>
      <c r="C287" s="243" t="s">
        <v>1198</v>
      </c>
      <c r="D287" s="110" t="s">
        <v>1201</v>
      </c>
      <c r="E287" s="156"/>
      <c r="F287" s="111" t="s">
        <v>1251</v>
      </c>
      <c r="G287" s="107"/>
      <c r="H287" s="108">
        <v>0.33333333333333331</v>
      </c>
      <c r="I287" s="109">
        <f>1-(G287/H287)</f>
        <v>1</v>
      </c>
      <c r="J287" s="109">
        <v>0.9</v>
      </c>
      <c r="K287" s="82"/>
      <c r="L287" s="82"/>
    </row>
    <row r="288" spans="1:12">
      <c r="A288" s="253"/>
      <c r="B288" s="244"/>
      <c r="C288" s="244"/>
      <c r="D288" s="110" t="s">
        <v>1201</v>
      </c>
      <c r="E288" s="156"/>
      <c r="F288" s="111" t="s">
        <v>1252</v>
      </c>
      <c r="G288" s="107"/>
      <c r="H288" s="108">
        <v>0.33333333333333331</v>
      </c>
      <c r="I288" s="109">
        <f>1-(G288/H288)</f>
        <v>1</v>
      </c>
      <c r="J288" s="109">
        <v>0.9</v>
      </c>
      <c r="K288" s="82"/>
      <c r="L288" s="82"/>
    </row>
    <row r="289" spans="1:12">
      <c r="A289" s="253"/>
      <c r="B289" s="244"/>
      <c r="C289" s="245"/>
      <c r="D289" s="110" t="s">
        <v>1201</v>
      </c>
      <c r="E289" s="157"/>
      <c r="F289" s="114" t="s">
        <v>1253</v>
      </c>
      <c r="G289" s="107"/>
      <c r="H289" s="108">
        <v>0.33333333333333298</v>
      </c>
      <c r="I289" s="109">
        <f t="shared" ref="I289:I295" si="6">1-(G289/H289)</f>
        <v>1</v>
      </c>
      <c r="J289" s="109">
        <v>0.9</v>
      </c>
      <c r="K289" s="82"/>
      <c r="L289" s="82"/>
    </row>
    <row r="290" spans="1:12">
      <c r="A290" s="253"/>
      <c r="B290" s="244"/>
      <c r="C290" s="248" t="s">
        <v>1196</v>
      </c>
      <c r="D290" s="132" t="s">
        <v>1193</v>
      </c>
      <c r="E290" s="158"/>
      <c r="F290" s="125" t="s">
        <v>1251</v>
      </c>
      <c r="G290" s="126"/>
      <c r="H290" s="127">
        <v>0.33333333333333298</v>
      </c>
      <c r="I290" s="109">
        <f t="shared" si="6"/>
        <v>1</v>
      </c>
      <c r="J290" s="134">
        <v>0.9</v>
      </c>
      <c r="K290" s="135"/>
      <c r="L290" s="136"/>
    </row>
    <row r="291" spans="1:12">
      <c r="A291" s="253"/>
      <c r="B291" s="244"/>
      <c r="C291" s="249"/>
      <c r="D291" s="132" t="s">
        <v>1193</v>
      </c>
      <c r="E291" s="158"/>
      <c r="F291" s="125" t="s">
        <v>1252</v>
      </c>
      <c r="G291" s="127"/>
      <c r="H291" s="127">
        <v>0.33333333333333298</v>
      </c>
      <c r="I291" s="109">
        <f t="shared" si="6"/>
        <v>1</v>
      </c>
      <c r="J291" s="134">
        <v>0.9</v>
      </c>
      <c r="K291" s="135"/>
      <c r="L291" s="136"/>
    </row>
    <row r="292" spans="1:12">
      <c r="A292" s="253"/>
      <c r="B292" s="244"/>
      <c r="C292" s="250"/>
      <c r="D292" s="132" t="s">
        <v>1193</v>
      </c>
      <c r="E292" s="133"/>
      <c r="F292" s="128" t="s">
        <v>1253</v>
      </c>
      <c r="G292" s="127">
        <v>0.33333333333333298</v>
      </c>
      <c r="H292" s="127">
        <v>0.33333333333333298</v>
      </c>
      <c r="I292" s="109">
        <f t="shared" si="6"/>
        <v>0</v>
      </c>
      <c r="J292" s="134">
        <v>0.9</v>
      </c>
      <c r="K292" s="133" t="s">
        <v>1462</v>
      </c>
      <c r="L292" s="136"/>
    </row>
    <row r="293" spans="1:12">
      <c r="A293" s="253"/>
      <c r="B293" s="244"/>
      <c r="C293" s="243" t="s">
        <v>1197</v>
      </c>
      <c r="D293" s="78" t="s">
        <v>1191</v>
      </c>
      <c r="E293" s="159"/>
      <c r="F293" s="111" t="s">
        <v>1251</v>
      </c>
      <c r="G293" s="107"/>
      <c r="H293" s="108">
        <v>0.33333333333333298</v>
      </c>
      <c r="I293" s="109">
        <f t="shared" si="6"/>
        <v>1</v>
      </c>
      <c r="J293" s="109">
        <v>0.9</v>
      </c>
      <c r="K293" s="82"/>
      <c r="L293" s="112"/>
    </row>
    <row r="294" spans="1:12">
      <c r="A294" s="253"/>
      <c r="B294" s="244"/>
      <c r="C294" s="244"/>
      <c r="D294" s="78" t="s">
        <v>1191</v>
      </c>
      <c r="E294" s="159"/>
      <c r="F294" s="111" t="s">
        <v>1252</v>
      </c>
      <c r="G294" s="107">
        <v>1.5277777777777777E-2</v>
      </c>
      <c r="H294" s="108">
        <v>0.33333333333333298</v>
      </c>
      <c r="I294" s="109">
        <f t="shared" si="6"/>
        <v>0.95416666666666661</v>
      </c>
      <c r="J294" s="109">
        <v>0.9</v>
      </c>
      <c r="K294" s="82" t="s">
        <v>1328</v>
      </c>
      <c r="L294" s="82"/>
    </row>
    <row r="295" spans="1:12">
      <c r="A295" s="253"/>
      <c r="B295" s="245"/>
      <c r="C295" s="245"/>
      <c r="D295" s="78" t="s">
        <v>1191</v>
      </c>
      <c r="E295" s="113"/>
      <c r="F295" s="114" t="s">
        <v>1253</v>
      </c>
      <c r="G295" s="108">
        <v>0.33333333333333298</v>
      </c>
      <c r="H295" s="108">
        <v>0.33333333333333298</v>
      </c>
      <c r="I295" s="109">
        <f t="shared" si="6"/>
        <v>0</v>
      </c>
      <c r="J295" s="109">
        <v>0.9</v>
      </c>
      <c r="K295" s="82" t="s">
        <v>1462</v>
      </c>
      <c r="L295" s="82"/>
    </row>
    <row r="296" spans="1:12">
      <c r="A296" s="253"/>
      <c r="B296" s="117"/>
      <c r="C296" s="117"/>
      <c r="D296" s="118"/>
      <c r="E296" s="118"/>
      <c r="F296" s="119" t="s">
        <v>1251</v>
      </c>
      <c r="G296" s="124"/>
      <c r="H296" s="124"/>
      <c r="I296" s="120">
        <f>AVERAGEIF(F287:F295,F296,I287:I295)</f>
        <v>1</v>
      </c>
      <c r="J296" s="121">
        <v>0.9</v>
      </c>
      <c r="K296" s="118"/>
      <c r="L296" s="116"/>
    </row>
    <row r="297" spans="1:12">
      <c r="A297" s="253"/>
      <c r="B297" s="117"/>
      <c r="C297" s="117"/>
      <c r="D297" s="118"/>
      <c r="E297" s="118"/>
      <c r="F297" s="119" t="s">
        <v>1252</v>
      </c>
      <c r="G297" s="124"/>
      <c r="H297" s="124"/>
      <c r="I297" s="120">
        <f>AVERAGEIF(F287:F295,F297,I287:I295)</f>
        <v>0.98472222222222217</v>
      </c>
      <c r="J297" s="121">
        <v>0.9</v>
      </c>
      <c r="K297" s="118"/>
      <c r="L297" s="116"/>
    </row>
    <row r="298" spans="1:12">
      <c r="A298" s="253"/>
      <c r="B298" s="117"/>
      <c r="C298" s="117"/>
      <c r="D298" s="118"/>
      <c r="E298" s="118"/>
      <c r="F298" s="119" t="s">
        <v>1253</v>
      </c>
      <c r="G298" s="124"/>
      <c r="H298" s="124"/>
      <c r="I298" s="120">
        <f>AVERAGEIF(F287:F295,F298,I287:I295)</f>
        <v>0.33333333333333331</v>
      </c>
      <c r="J298" s="121">
        <v>0.9</v>
      </c>
      <c r="K298" s="118"/>
      <c r="L298" s="116"/>
    </row>
  </sheetData>
  <mergeCells count="165">
    <mergeCell ref="A1:F1"/>
    <mergeCell ref="G1:J1"/>
    <mergeCell ref="K1:L1"/>
    <mergeCell ref="A2:L2"/>
    <mergeCell ref="A3:F3"/>
    <mergeCell ref="G3:J3"/>
    <mergeCell ref="K3:L3"/>
    <mergeCell ref="A4:F4"/>
    <mergeCell ref="G4:J4"/>
    <mergeCell ref="K4:L4"/>
    <mergeCell ref="A11:A88"/>
    <mergeCell ref="C26:C28"/>
    <mergeCell ref="B32:B40"/>
    <mergeCell ref="C32:C34"/>
    <mergeCell ref="B41:B49"/>
    <mergeCell ref="N34:N35"/>
    <mergeCell ref="O34:O35"/>
    <mergeCell ref="B50:B58"/>
    <mergeCell ref="C50:C52"/>
    <mergeCell ref="C83:C85"/>
    <mergeCell ref="B23:B31"/>
    <mergeCell ref="C23:C25"/>
    <mergeCell ref="C11:C13"/>
    <mergeCell ref="C14:C16"/>
    <mergeCell ref="B11:B19"/>
    <mergeCell ref="C17:C19"/>
    <mergeCell ref="P34:P35"/>
    <mergeCell ref="Q34:Q35"/>
    <mergeCell ref="C35:C37"/>
    <mergeCell ref="P36:P39"/>
    <mergeCell ref="Q36:Q39"/>
    <mergeCell ref="C38:C40"/>
    <mergeCell ref="N27:N28"/>
    <mergeCell ref="O27:O28"/>
    <mergeCell ref="P27:P28"/>
    <mergeCell ref="Q27:Q28"/>
    <mergeCell ref="C29:C31"/>
    <mergeCell ref="P29:P31"/>
    <mergeCell ref="Q29:Q31"/>
    <mergeCell ref="P50:P53"/>
    <mergeCell ref="Q50:Q53"/>
    <mergeCell ref="C53:C55"/>
    <mergeCell ref="C41:C43"/>
    <mergeCell ref="N41:N42"/>
    <mergeCell ref="O41:O42"/>
    <mergeCell ref="P41:P42"/>
    <mergeCell ref="Q41:Q42"/>
    <mergeCell ref="P43:P46"/>
    <mergeCell ref="Q43:Q46"/>
    <mergeCell ref="C44:C46"/>
    <mergeCell ref="N55:N56"/>
    <mergeCell ref="O55:O56"/>
    <mergeCell ref="P55:P56"/>
    <mergeCell ref="Q55:Q56"/>
    <mergeCell ref="C56:C58"/>
    <mergeCell ref="P57:P60"/>
    <mergeCell ref="Q57:Q60"/>
    <mergeCell ref="C47:C49"/>
    <mergeCell ref="N48:N49"/>
    <mergeCell ref="O48:O49"/>
    <mergeCell ref="P48:P49"/>
    <mergeCell ref="Q48:Q49"/>
    <mergeCell ref="A89:A154"/>
    <mergeCell ref="B89:B97"/>
    <mergeCell ref="C89:C91"/>
    <mergeCell ref="C92:C94"/>
    <mergeCell ref="C95:C97"/>
    <mergeCell ref="B98:B106"/>
    <mergeCell ref="B59:B67"/>
    <mergeCell ref="C59:C61"/>
    <mergeCell ref="C62:C64"/>
    <mergeCell ref="C65:C67"/>
    <mergeCell ref="B68:B76"/>
    <mergeCell ref="C68:C70"/>
    <mergeCell ref="C71:C73"/>
    <mergeCell ref="C74:C76"/>
    <mergeCell ref="C98:C100"/>
    <mergeCell ref="C101:C103"/>
    <mergeCell ref="C104:C106"/>
    <mergeCell ref="B107:B115"/>
    <mergeCell ref="C107:C109"/>
    <mergeCell ref="C110:C112"/>
    <mergeCell ref="C113:C115"/>
    <mergeCell ref="B77:B85"/>
    <mergeCell ref="C77:C79"/>
    <mergeCell ref="C80:C82"/>
    <mergeCell ref="B134:B142"/>
    <mergeCell ref="C134:C136"/>
    <mergeCell ref="C137:C139"/>
    <mergeCell ref="C140:C142"/>
    <mergeCell ref="B143:B151"/>
    <mergeCell ref="C143:C145"/>
    <mergeCell ref="C146:C148"/>
    <mergeCell ref="C149:C151"/>
    <mergeCell ref="B116:B124"/>
    <mergeCell ref="C116:C118"/>
    <mergeCell ref="C119:C121"/>
    <mergeCell ref="C122:C124"/>
    <mergeCell ref="B125:B133"/>
    <mergeCell ref="C125:C127"/>
    <mergeCell ref="C128:C130"/>
    <mergeCell ref="C131:C133"/>
    <mergeCell ref="C173:C175"/>
    <mergeCell ref="C176:C178"/>
    <mergeCell ref="C179:C181"/>
    <mergeCell ref="B182:B190"/>
    <mergeCell ref="C182:C184"/>
    <mergeCell ref="C185:C187"/>
    <mergeCell ref="C188:C190"/>
    <mergeCell ref="A155:A220"/>
    <mergeCell ref="B155:B163"/>
    <mergeCell ref="C155:C157"/>
    <mergeCell ref="C158:C160"/>
    <mergeCell ref="C161:C163"/>
    <mergeCell ref="B164:B172"/>
    <mergeCell ref="C164:C166"/>
    <mergeCell ref="C167:C169"/>
    <mergeCell ref="C170:C172"/>
    <mergeCell ref="B173:B181"/>
    <mergeCell ref="C215:C217"/>
    <mergeCell ref="B191:B199"/>
    <mergeCell ref="C191:C193"/>
    <mergeCell ref="C194:C196"/>
    <mergeCell ref="C197:C199"/>
    <mergeCell ref="B200:B208"/>
    <mergeCell ref="C200:C202"/>
    <mergeCell ref="C203:C205"/>
    <mergeCell ref="C206:C208"/>
    <mergeCell ref="C230:C232"/>
    <mergeCell ref="B209:B217"/>
    <mergeCell ref="C209:C211"/>
    <mergeCell ref="C212:C214"/>
    <mergeCell ref="B248:B256"/>
    <mergeCell ref="C248:C250"/>
    <mergeCell ref="C251:C253"/>
    <mergeCell ref="C254:C256"/>
    <mergeCell ref="B257:B265"/>
    <mergeCell ref="C257:C259"/>
    <mergeCell ref="C260:C262"/>
    <mergeCell ref="C263:C265"/>
    <mergeCell ref="A221:A286"/>
    <mergeCell ref="B221:B229"/>
    <mergeCell ref="C221:C223"/>
    <mergeCell ref="C224:C226"/>
    <mergeCell ref="C227:C229"/>
    <mergeCell ref="B230:B238"/>
    <mergeCell ref="C233:C235"/>
    <mergeCell ref="C236:C238"/>
    <mergeCell ref="B239:B247"/>
    <mergeCell ref="C239:C241"/>
    <mergeCell ref="C242:C244"/>
    <mergeCell ref="C245:C247"/>
    <mergeCell ref="B266:B274"/>
    <mergeCell ref="C266:C268"/>
    <mergeCell ref="C269:C271"/>
    <mergeCell ref="C272:C274"/>
    <mergeCell ref="A287:A298"/>
    <mergeCell ref="B287:B295"/>
    <mergeCell ref="C287:C289"/>
    <mergeCell ref="C290:C292"/>
    <mergeCell ref="C293:C295"/>
    <mergeCell ref="B275:B283"/>
    <mergeCell ref="C275:C277"/>
    <mergeCell ref="C278:C280"/>
    <mergeCell ref="C281:C283"/>
  </mergeCells>
  <phoneticPr fontId="13" type="noConversion"/>
  <conditionalFormatting sqref="F11:F19 F23:F85">
    <cfRule type="containsText" dxfId="112" priority="17" operator="containsText" text="P'NUT">
      <formula>NOT(ISERROR(SEARCH("P'NUT",F11)))</formula>
    </cfRule>
  </conditionalFormatting>
  <conditionalFormatting sqref="F11:F19 F23:F298">
    <cfRule type="containsText" dxfId="111" priority="18" operator="containsText" text="P'SUP">
      <formula>NOT(ISERROR(SEARCH("P'SUP",F11)))</formula>
    </cfRule>
  </conditionalFormatting>
  <conditionalFormatting sqref="F11:F85">
    <cfRule type="containsText" dxfId="110" priority="15" operator="containsText" text="P'SUP">
      <formula>NOT(ISERROR(SEARCH("P'SUP",F11)))</formula>
    </cfRule>
  </conditionalFormatting>
  <conditionalFormatting sqref="F20:F22">
    <cfRule type="containsText" dxfId="109" priority="11" operator="containsText" text="P'SUP">
      <formula>NOT(ISERROR(SEARCH("P'SUP",F20)))</formula>
    </cfRule>
    <cfRule type="containsText" dxfId="108" priority="14" operator="containsText" text="P'NUT">
      <formula>NOT(ISERROR(SEARCH("P'NUT",F20)))</formula>
    </cfRule>
  </conditionalFormatting>
  <conditionalFormatting sqref="F86:F298">
    <cfRule type="containsText" dxfId="107" priority="27" operator="containsText" text="P'NUT">
      <formula>NOT(ISERROR(SEARCH("P'NUT",F86)))</formula>
    </cfRule>
    <cfRule type="containsText" dxfId="106" priority="28" operator="containsText" text="P'SUP">
      <formula>NOT(ISERROR(SEARCH("P'SUP",F86)))</formula>
    </cfRule>
  </conditionalFormatting>
  <conditionalFormatting sqref="I11:I298">
    <cfRule type="cellIs" dxfId="105" priority="12" operator="greaterThan">
      <formula>0.85</formula>
    </cfRule>
    <cfRule type="cellIs" dxfId="104" priority="13" operator="lessThan">
      <formula>0.85</formula>
    </cfRule>
  </conditionalFormatting>
  <conditionalFormatting sqref="O29:O31">
    <cfRule type="cellIs" dxfId="103" priority="10" operator="lessThan">
      <formula>0.9</formula>
    </cfRule>
  </conditionalFormatting>
  <conditionalFormatting sqref="O36:O39">
    <cfRule type="cellIs" dxfId="102" priority="7" operator="lessThan">
      <formula>0.9</formula>
    </cfRule>
    <cfRule type="cellIs" dxfId="101" priority="8" operator="lessThan">
      <formula>0.85</formula>
    </cfRule>
  </conditionalFormatting>
  <conditionalFormatting sqref="O43:O46">
    <cfRule type="cellIs" dxfId="100" priority="5" operator="lessThan">
      <formula>0.9</formula>
    </cfRule>
    <cfRule type="cellIs" dxfId="99" priority="6" operator="lessThan">
      <formula>0.85</formula>
    </cfRule>
  </conditionalFormatting>
  <conditionalFormatting sqref="O50:O53">
    <cfRule type="cellIs" dxfId="98" priority="3" operator="lessThan">
      <formula>0.9</formula>
    </cfRule>
    <cfRule type="cellIs" dxfId="97" priority="4" operator="lessThan">
      <formula>0.85</formula>
    </cfRule>
  </conditionalFormatting>
  <conditionalFormatting sqref="O57:O60">
    <cfRule type="cellIs" dxfId="96" priority="1" operator="lessThan">
      <formula>0.9</formula>
    </cfRule>
    <cfRule type="cellIs" dxfId="95" priority="2" operator="lessThan">
      <formula>0.85</formula>
    </cfRule>
  </conditionalFormatting>
  <conditionalFormatting sqref="O29:P29 O30:O31">
    <cfRule type="cellIs" dxfId="94" priority="24" operator="lessThan">
      <formula>0.85</formula>
    </cfRule>
  </conditionalFormatting>
  <conditionalFormatting sqref="P29">
    <cfRule type="cellIs" dxfId="93" priority="9" operator="lessThan">
      <formula>0.9</formula>
    </cfRule>
  </conditionalFormatting>
  <conditionalFormatting sqref="P36">
    <cfRule type="cellIs" dxfId="92" priority="23" operator="lessThan">
      <formula>0.85</formula>
    </cfRule>
  </conditionalFormatting>
  <conditionalFormatting sqref="P43">
    <cfRule type="cellIs" dxfId="91" priority="22" operator="lessThan">
      <formula>0.85</formula>
    </cfRule>
  </conditionalFormatting>
  <conditionalFormatting sqref="P50">
    <cfRule type="cellIs" dxfId="90" priority="20" operator="lessThan">
      <formula>0.85</formula>
    </cfRule>
  </conditionalFormatting>
  <conditionalFormatting sqref="P57">
    <cfRule type="cellIs" dxfId="89" priority="19" operator="lessThan">
      <formula>0.85</formula>
    </cfRule>
  </conditionalFormatting>
  <pageMargins left="0.7" right="0.7" top="0.75" bottom="0.75" header="0.3" footer="0.3"/>
  <pageSetup paperSize="9" scale="42" fitToHeight="0"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69F4E0DC-4E90-40F2-B909-0F4CADE2F83D}">
          <x14:formula1>
            <xm:f>n!$A$2:$A$6</xm:f>
          </x14:formula1>
          <xm:sqref>P43 P36 P50 P57</xm:sqref>
        </x14:dataValidation>
        <x14:dataValidation type="list" allowBlank="1" showInputMessage="1" showErrorMessage="1" xr:uid="{17D19F99-AA84-461B-85B9-D5ECF05DAD1E}">
          <x14:formula1>
            <xm:f>n!$B$2:$B$4</xm:f>
          </x14:formula1>
          <xm:sqref>C11 C14:C17 C20:C23 C26:C298</xm:sqref>
        </x14:dataValidation>
        <x14:dataValidation type="list" allowBlank="1" showInputMessage="1" showErrorMessage="1" xr:uid="{866F5ED7-7972-4DAE-8491-99DC8B16A7B8}">
          <x14:formula1>
            <xm:f>n!$A$1:$A$6</xm:f>
          </x14:formula1>
          <xm:sqref>D11:E298</xm:sqref>
        </x14:dataValidation>
        <x14:dataValidation type="list" allowBlank="1" showInputMessage="1" showErrorMessage="1" xr:uid="{F5F24684-B2B0-4E0D-9F3E-AF9216D60FA9}">
          <x14:formula1>
            <xm:f>n!$A$8:$A$10</xm:f>
          </x14:formula1>
          <xm:sqref>F11:F298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38C84-10B2-4C53-A533-93C193816539}">
  <dimension ref="A1:Q304"/>
  <sheetViews>
    <sheetView topLeftCell="F12" zoomScale="80" zoomScaleNormal="80" workbookViewId="0">
      <selection activeCell="O26" sqref="O26"/>
    </sheetView>
  </sheetViews>
  <sheetFormatPr baseColWidth="10" defaultRowHeight="14.4"/>
  <cols>
    <col min="2" max="3" width="13.21875" customWidth="1"/>
    <col min="4" max="4" width="14.88671875" customWidth="1"/>
    <col min="5" max="5" width="14.33203125" customWidth="1"/>
    <col min="7" max="7" width="14.21875" customWidth="1"/>
    <col min="9" max="10" width="14.5546875" customWidth="1"/>
    <col min="11" max="11" width="30.21875" customWidth="1"/>
    <col min="12" max="12" width="30.44140625" customWidth="1"/>
    <col min="14" max="14" width="14.44140625" customWidth="1"/>
    <col min="15" max="15" width="16.77734375" customWidth="1"/>
    <col min="16" max="16" width="15.21875" customWidth="1"/>
    <col min="17" max="17" width="58.5546875" customWidth="1"/>
  </cols>
  <sheetData>
    <row r="1" spans="1:17" ht="38.4" customHeight="1">
      <c r="A1" s="201"/>
      <c r="B1" s="201"/>
      <c r="C1" s="201"/>
      <c r="D1" s="201"/>
      <c r="E1" s="201"/>
      <c r="F1" s="201"/>
      <c r="G1" s="201"/>
      <c r="H1" s="201"/>
      <c r="I1" s="201"/>
      <c r="J1" s="201"/>
      <c r="K1" s="246" t="s">
        <v>1228</v>
      </c>
      <c r="L1" s="246"/>
    </row>
    <row r="2" spans="1:17" ht="26.4" customHeight="1">
      <c r="A2" s="210" t="s">
        <v>1227</v>
      </c>
      <c r="B2" s="210"/>
      <c r="C2" s="210"/>
      <c r="D2" s="210"/>
      <c r="E2" s="210"/>
      <c r="F2" s="210"/>
      <c r="G2" s="210"/>
      <c r="H2" s="210"/>
      <c r="I2" s="210"/>
      <c r="J2" s="210"/>
      <c r="K2" s="210"/>
      <c r="L2" s="210"/>
    </row>
    <row r="3" spans="1:17" ht="26.4" customHeight="1">
      <c r="A3" s="221" t="s">
        <v>1210</v>
      </c>
      <c r="B3" s="222"/>
      <c r="C3" s="222"/>
      <c r="D3" s="222"/>
      <c r="E3" s="222"/>
      <c r="F3" s="222"/>
      <c r="G3" s="221" t="s">
        <v>1209</v>
      </c>
      <c r="H3" s="222"/>
      <c r="I3" s="222"/>
      <c r="J3" s="222"/>
      <c r="K3" s="247" t="s">
        <v>1230</v>
      </c>
      <c r="L3" s="247"/>
      <c r="N3" s="67"/>
    </row>
    <row r="4" spans="1:17" ht="63" customHeight="1">
      <c r="A4" s="221" t="s">
        <v>1224</v>
      </c>
      <c r="B4" s="222"/>
      <c r="C4" s="222"/>
      <c r="D4" s="222"/>
      <c r="E4" s="222"/>
      <c r="F4" s="222"/>
      <c r="G4" s="221" t="s">
        <v>1225</v>
      </c>
      <c r="H4" s="222"/>
      <c r="I4" s="222"/>
      <c r="J4" s="222"/>
      <c r="K4" s="221" t="s">
        <v>1226</v>
      </c>
      <c r="L4" s="221"/>
    </row>
    <row r="5" spans="1:17" ht="14.4" customHeight="1"/>
    <row r="6" spans="1:17" hidden="1"/>
    <row r="7" spans="1:17" hidden="1"/>
    <row r="8" spans="1:17" hidden="1"/>
    <row r="9" spans="1:17" ht="24.6" customHeight="1" thickBot="1"/>
    <row r="10" spans="1:17" ht="36.6" customHeight="1" thickTop="1" thickBot="1">
      <c r="A10" s="139" t="s">
        <v>1190</v>
      </c>
      <c r="B10" s="140" t="s">
        <v>1258</v>
      </c>
      <c r="C10" s="141" t="s">
        <v>1257</v>
      </c>
      <c r="D10" s="141" t="s">
        <v>1250</v>
      </c>
      <c r="E10" s="141" t="s">
        <v>1285</v>
      </c>
      <c r="F10" s="141" t="s">
        <v>1246</v>
      </c>
      <c r="G10" s="142" t="s">
        <v>1259</v>
      </c>
      <c r="H10" s="143" t="s">
        <v>1248</v>
      </c>
      <c r="I10" s="143" t="s">
        <v>1249</v>
      </c>
      <c r="J10" s="143" t="s">
        <v>1254</v>
      </c>
      <c r="K10" s="144" t="s">
        <v>1247</v>
      </c>
      <c r="L10" s="145" t="s">
        <v>1255</v>
      </c>
    </row>
    <row r="11" spans="1:17" ht="14.4" customHeight="1">
      <c r="A11" s="252" t="s">
        <v>1295</v>
      </c>
      <c r="B11" s="251">
        <v>45839</v>
      </c>
      <c r="C11" s="243" t="s">
        <v>1198</v>
      </c>
      <c r="D11" s="110" t="s">
        <v>1194</v>
      </c>
      <c r="E11" s="156"/>
      <c r="F11" s="111" t="s">
        <v>1251</v>
      </c>
      <c r="G11" s="107"/>
      <c r="H11" s="108">
        <v>0.33333333333333331</v>
      </c>
      <c r="I11" s="109">
        <f>1-(G11/H11)</f>
        <v>1</v>
      </c>
      <c r="J11" s="109">
        <v>0.9</v>
      </c>
      <c r="K11" s="82"/>
      <c r="L11" s="82"/>
    </row>
    <row r="12" spans="1:17" ht="14.4" customHeight="1">
      <c r="A12" s="253"/>
      <c r="B12" s="244"/>
      <c r="C12" s="244"/>
      <c r="D12" s="110" t="s">
        <v>1194</v>
      </c>
      <c r="E12" s="156"/>
      <c r="F12" s="111" t="s">
        <v>1252</v>
      </c>
      <c r="G12" s="107">
        <v>4.1666666666666664E-2</v>
      </c>
      <c r="H12" s="108">
        <v>0.33333333333333331</v>
      </c>
      <c r="I12" s="109">
        <f>1-(G12/H12)</f>
        <v>0.875</v>
      </c>
      <c r="J12" s="109">
        <v>0.9</v>
      </c>
      <c r="K12" s="82"/>
      <c r="L12" s="82"/>
    </row>
    <row r="13" spans="1:17" ht="14.4" customHeight="1">
      <c r="A13" s="253"/>
      <c r="B13" s="244"/>
      <c r="C13" s="245"/>
      <c r="D13" s="110" t="s">
        <v>1194</v>
      </c>
      <c r="E13" s="157"/>
      <c r="F13" s="114" t="s">
        <v>1253</v>
      </c>
      <c r="G13" s="107">
        <v>0.33333333333333331</v>
      </c>
      <c r="H13" s="108">
        <v>0.33333333333333298</v>
      </c>
      <c r="I13" s="109">
        <f t="shared" ref="I13:I64" si="0">1-(G13/H13)</f>
        <v>0</v>
      </c>
      <c r="J13" s="109">
        <v>0.9</v>
      </c>
      <c r="K13" s="82" t="s">
        <v>1479</v>
      </c>
      <c r="L13" s="82"/>
    </row>
    <row r="14" spans="1:17" ht="14.4" customHeight="1">
      <c r="A14" s="253"/>
      <c r="B14" s="244"/>
      <c r="C14" s="248" t="s">
        <v>1196</v>
      </c>
      <c r="D14" s="132" t="s">
        <v>1193</v>
      </c>
      <c r="E14" s="158"/>
      <c r="F14" s="125" t="s">
        <v>1251</v>
      </c>
      <c r="G14" s="126"/>
      <c r="H14" s="127">
        <v>0.33333333333333298</v>
      </c>
      <c r="I14" s="134">
        <f t="shared" si="0"/>
        <v>1</v>
      </c>
      <c r="J14" s="134">
        <v>0.9</v>
      </c>
      <c r="K14" s="135"/>
      <c r="L14" s="136"/>
    </row>
    <row r="15" spans="1:17" ht="14.4" customHeight="1">
      <c r="A15" s="253"/>
      <c r="B15" s="244"/>
      <c r="C15" s="249"/>
      <c r="D15" s="132" t="s">
        <v>1193</v>
      </c>
      <c r="E15" s="158"/>
      <c r="F15" s="125" t="s">
        <v>1252</v>
      </c>
      <c r="G15" s="126"/>
      <c r="H15" s="127">
        <v>0.33333333333333298</v>
      </c>
      <c r="I15" s="134">
        <f t="shared" si="0"/>
        <v>1</v>
      </c>
      <c r="J15" s="134">
        <v>0.9</v>
      </c>
      <c r="K15" s="135"/>
      <c r="L15" s="136"/>
      <c r="N15" s="255" t="s">
        <v>1287</v>
      </c>
      <c r="O15" s="255" t="s">
        <v>1288</v>
      </c>
      <c r="P15" s="255" t="s">
        <v>1289</v>
      </c>
      <c r="Q15" s="255" t="s">
        <v>1290</v>
      </c>
    </row>
    <row r="16" spans="1:17" ht="14.4" customHeight="1">
      <c r="A16" s="253"/>
      <c r="B16" s="244"/>
      <c r="C16" s="250"/>
      <c r="D16" s="132" t="s">
        <v>1193</v>
      </c>
      <c r="E16" s="133"/>
      <c r="F16" s="128" t="s">
        <v>1253</v>
      </c>
      <c r="G16" s="126">
        <v>0.33333333333333331</v>
      </c>
      <c r="H16" s="127">
        <v>0.33333333333333298</v>
      </c>
      <c r="I16" s="134">
        <f t="shared" si="0"/>
        <v>0</v>
      </c>
      <c r="J16" s="134">
        <v>0.9</v>
      </c>
      <c r="K16" s="133" t="s">
        <v>1479</v>
      </c>
      <c r="L16" s="136"/>
      <c r="N16" s="255"/>
      <c r="O16" s="255"/>
      <c r="P16" s="255"/>
      <c r="Q16" s="255"/>
    </row>
    <row r="17" spans="1:17" ht="14.4" customHeight="1">
      <c r="A17" s="253"/>
      <c r="B17" s="244"/>
      <c r="C17" s="243" t="s">
        <v>1197</v>
      </c>
      <c r="D17" s="78" t="s">
        <v>1191</v>
      </c>
      <c r="E17" s="159"/>
      <c r="F17" s="111" t="s">
        <v>1251</v>
      </c>
      <c r="G17" s="107"/>
      <c r="H17" s="108">
        <v>0.33333333333333298</v>
      </c>
      <c r="I17" s="109">
        <f t="shared" si="0"/>
        <v>1</v>
      </c>
      <c r="J17" s="109">
        <v>0.9</v>
      </c>
      <c r="K17" s="82"/>
      <c r="L17" s="112"/>
      <c r="N17" s="161" t="s">
        <v>1251</v>
      </c>
      <c r="O17" s="162">
        <f>(I65+I131+I197+I263+I302)/5</f>
        <v>0.86241732804232796</v>
      </c>
      <c r="P17" s="254">
        <f>(O17+O18+O19)/3</f>
        <v>0.60859237213403872</v>
      </c>
      <c r="Q17" s="256" t="s">
        <v>1512</v>
      </c>
    </row>
    <row r="18" spans="1:17" ht="14.4" customHeight="1">
      <c r="A18" s="253"/>
      <c r="B18" s="244"/>
      <c r="C18" s="244"/>
      <c r="D18" s="78" t="s">
        <v>1191</v>
      </c>
      <c r="E18" s="159"/>
      <c r="F18" s="111" t="s">
        <v>1252</v>
      </c>
      <c r="G18" s="107"/>
      <c r="H18" s="108">
        <v>0.33333333333333298</v>
      </c>
      <c r="I18" s="109">
        <f t="shared" si="0"/>
        <v>1</v>
      </c>
      <c r="J18" s="109">
        <v>0.9</v>
      </c>
      <c r="K18" s="82"/>
      <c r="L18" s="82"/>
      <c r="N18" s="161" t="s">
        <v>1252</v>
      </c>
      <c r="O18" s="162">
        <f>(I66+I132+I198+I264+I303)/5</f>
        <v>0.81537698412698401</v>
      </c>
      <c r="P18" s="254"/>
      <c r="Q18" s="257"/>
    </row>
    <row r="19" spans="1:17" ht="15" customHeight="1" thickBot="1">
      <c r="A19" s="253"/>
      <c r="B19" s="245"/>
      <c r="C19" s="245"/>
      <c r="D19" s="78" t="s">
        <v>1191</v>
      </c>
      <c r="E19" s="113"/>
      <c r="F19" s="114" t="s">
        <v>1253</v>
      </c>
      <c r="G19" s="107">
        <v>0.33333333333333331</v>
      </c>
      <c r="H19" s="108">
        <v>0.33333333333333298</v>
      </c>
      <c r="I19" s="109">
        <f t="shared" si="0"/>
        <v>0</v>
      </c>
      <c r="J19" s="109">
        <v>0.9</v>
      </c>
      <c r="K19" s="82" t="s">
        <v>1479</v>
      </c>
      <c r="L19" s="82"/>
      <c r="N19" s="161" t="s">
        <v>1286</v>
      </c>
      <c r="O19" s="162">
        <f>(I67+I133+I199+I265+I304)/5</f>
        <v>0.1479828042328041</v>
      </c>
      <c r="P19" s="254"/>
      <c r="Q19" s="257"/>
    </row>
    <row r="20" spans="1:17" ht="14.4" customHeight="1">
      <c r="A20" s="253"/>
      <c r="B20" s="251">
        <v>45840</v>
      </c>
      <c r="C20" s="248" t="s">
        <v>1198</v>
      </c>
      <c r="D20" s="132" t="s">
        <v>1192</v>
      </c>
      <c r="E20" s="158"/>
      <c r="F20" s="125" t="s">
        <v>1251</v>
      </c>
      <c r="G20" s="126"/>
      <c r="H20" s="127">
        <v>0.33333333333333298</v>
      </c>
      <c r="I20" s="134">
        <f t="shared" si="0"/>
        <v>1</v>
      </c>
      <c r="J20" s="134">
        <v>0.9</v>
      </c>
      <c r="K20" s="135"/>
      <c r="L20" s="137"/>
    </row>
    <row r="21" spans="1:17" ht="14.4" customHeight="1">
      <c r="A21" s="253"/>
      <c r="B21" s="244"/>
      <c r="C21" s="249"/>
      <c r="D21" s="132" t="s">
        <v>1192</v>
      </c>
      <c r="E21" s="158"/>
      <c r="F21" s="125" t="s">
        <v>1252</v>
      </c>
      <c r="G21" s="126"/>
      <c r="H21" s="127">
        <v>0.33333333333333298</v>
      </c>
      <c r="I21" s="134">
        <f t="shared" si="0"/>
        <v>1</v>
      </c>
      <c r="J21" s="134">
        <v>0.9</v>
      </c>
      <c r="K21" s="135"/>
      <c r="L21" s="136"/>
    </row>
    <row r="22" spans="1:17" ht="14.4" customHeight="1">
      <c r="A22" s="253"/>
      <c r="B22" s="244"/>
      <c r="C22" s="250"/>
      <c r="D22" s="132" t="s">
        <v>1192</v>
      </c>
      <c r="E22" s="133"/>
      <c r="F22" s="128" t="s">
        <v>1253</v>
      </c>
      <c r="G22" s="126">
        <v>0.33333333333333331</v>
      </c>
      <c r="H22" s="127">
        <v>0.33333333333333298</v>
      </c>
      <c r="I22" s="134">
        <f t="shared" si="0"/>
        <v>0</v>
      </c>
      <c r="J22" s="134">
        <v>0.9</v>
      </c>
      <c r="K22" s="133" t="s">
        <v>1479</v>
      </c>
      <c r="L22" s="136"/>
      <c r="N22" s="255" t="s">
        <v>1287</v>
      </c>
      <c r="O22" s="255" t="s">
        <v>1288</v>
      </c>
      <c r="P22" s="255" t="s">
        <v>1292</v>
      </c>
      <c r="Q22" s="255" t="s">
        <v>1290</v>
      </c>
    </row>
    <row r="23" spans="1:17" ht="14.4" customHeight="1">
      <c r="A23" s="253"/>
      <c r="B23" s="244"/>
      <c r="C23" s="243" t="s">
        <v>1196</v>
      </c>
      <c r="D23" s="78" t="s">
        <v>1194</v>
      </c>
      <c r="E23" s="159"/>
      <c r="F23" s="111" t="s">
        <v>1251</v>
      </c>
      <c r="G23" s="107"/>
      <c r="H23" s="108">
        <v>0.33333333333333298</v>
      </c>
      <c r="I23" s="109">
        <f t="shared" si="0"/>
        <v>1</v>
      </c>
      <c r="J23" s="109">
        <v>0.9</v>
      </c>
      <c r="K23" s="82"/>
      <c r="L23" s="112"/>
      <c r="N23" s="255"/>
      <c r="O23" s="255"/>
      <c r="P23" s="255"/>
      <c r="Q23" s="255"/>
    </row>
    <row r="24" spans="1:17" ht="14.4" customHeight="1">
      <c r="A24" s="253"/>
      <c r="B24" s="244"/>
      <c r="C24" s="244"/>
      <c r="D24" s="78" t="s">
        <v>1194</v>
      </c>
      <c r="E24" s="159"/>
      <c r="F24" s="111" t="s">
        <v>1252</v>
      </c>
      <c r="G24" s="107"/>
      <c r="H24" s="108">
        <v>0.33333333333333298</v>
      </c>
      <c r="I24" s="109">
        <f t="shared" si="0"/>
        <v>1</v>
      </c>
      <c r="J24" s="109">
        <v>0.9</v>
      </c>
      <c r="K24" s="82"/>
      <c r="L24" s="82"/>
      <c r="N24" s="161" t="s">
        <v>1251</v>
      </c>
      <c r="O24" s="162">
        <f>(AVERAGEIFS(I11:I64,D11:D64,P24,F11:F64,N24)+AVERAGEIFS(I68:I130,D68:D130,P24,F68:F130,N24)+AVERAGEIFS(I134:I196,D134:D196,P24,F134:F196,N24)+AVERAGEIFS(I200:I262,D200:D262,P24,F200:F262,N24)+AVERAGEIFS(I266:I301,D266:D301,P24,F266:F301,N24))/5</f>
        <v>0.85947916666666657</v>
      </c>
      <c r="P24" s="260" t="s">
        <v>1191</v>
      </c>
      <c r="Q24" s="224" t="s">
        <v>1512</v>
      </c>
    </row>
    <row r="25" spans="1:17" ht="14.4" customHeight="1">
      <c r="A25" s="253"/>
      <c r="B25" s="244"/>
      <c r="C25" s="245"/>
      <c r="D25" s="78" t="s">
        <v>1194</v>
      </c>
      <c r="E25" s="113"/>
      <c r="F25" s="114" t="s">
        <v>1253</v>
      </c>
      <c r="G25" s="107">
        <v>0.33333333333333331</v>
      </c>
      <c r="H25" s="108">
        <v>0.33333333333333298</v>
      </c>
      <c r="I25" s="109">
        <f t="shared" si="0"/>
        <v>0</v>
      </c>
      <c r="J25" s="109">
        <v>0.9</v>
      </c>
      <c r="K25" s="82" t="s">
        <v>1479</v>
      </c>
      <c r="L25" s="82"/>
      <c r="N25" s="161" t="s">
        <v>1252</v>
      </c>
      <c r="O25" s="162">
        <f>(AVERAGEIFS(I11:I64,D11:D64,P24,F11:F64,N25)+AVERAGEIFS(I68:I130,D68:D130,P24,F68:F130,N25)+AVERAGEIFS(I134:I196,D134:D196,P24,F134:F196,N25)+AVERAGEIFS(I200:I262,D200:D262,P24,F200:F262,N25)+AVERAGEIFS(I266:I301,D266:D301,P24,F266:F301,N25))/5</f>
        <v>0.83916666666666662</v>
      </c>
      <c r="P25" s="261"/>
      <c r="Q25" s="227"/>
    </row>
    <row r="26" spans="1:17" ht="14.4" customHeight="1">
      <c r="A26" s="253"/>
      <c r="B26" s="244"/>
      <c r="C26" s="248" t="s">
        <v>1197</v>
      </c>
      <c r="D26" s="132" t="s">
        <v>1193</v>
      </c>
      <c r="E26" s="158"/>
      <c r="F26" s="125" t="s">
        <v>1251</v>
      </c>
      <c r="G26" s="126"/>
      <c r="H26" s="127">
        <v>0.33333333333333298</v>
      </c>
      <c r="I26" s="134">
        <f t="shared" si="0"/>
        <v>1</v>
      </c>
      <c r="J26" s="134">
        <v>0.9</v>
      </c>
      <c r="K26" s="135"/>
      <c r="L26" s="137"/>
      <c r="N26" s="161" t="s">
        <v>1253</v>
      </c>
      <c r="O26" s="162">
        <f>(AVERAGEIFS(I11:I64,D11:D64,P24,F11:F64,N26)+AVERAGEIFS(I68:I130,D68:D130,P24,F68:F130,N26)+AVERAGEIFS(I134:I196,D134:D196,P24,F134:F196,N26)+AVERAGEIFS(I200:I262,D200:D262,P24,F200:F262,N26)+AVERAGEIFS(I266:I301,D266:D301,P24,F266:F301,N26))/5</f>
        <v>0.17499999999999982</v>
      </c>
      <c r="P26" s="261"/>
      <c r="Q26" s="227"/>
    </row>
    <row r="27" spans="1:17" ht="14.4" customHeight="1">
      <c r="A27" s="253"/>
      <c r="B27" s="244"/>
      <c r="C27" s="249"/>
      <c r="D27" s="132" t="s">
        <v>1193</v>
      </c>
      <c r="E27" s="158"/>
      <c r="F27" s="129" t="s">
        <v>1252</v>
      </c>
      <c r="G27" s="126"/>
      <c r="H27" s="127">
        <v>0.33333333333333298</v>
      </c>
      <c r="I27" s="134">
        <f t="shared" si="0"/>
        <v>1</v>
      </c>
      <c r="J27" s="134">
        <v>0.9</v>
      </c>
      <c r="K27" s="135"/>
      <c r="L27" s="136"/>
      <c r="N27" s="161" t="s">
        <v>1293</v>
      </c>
      <c r="O27" s="162">
        <f>(O24+O25+O26)/3</f>
        <v>0.62454861111111104</v>
      </c>
      <c r="P27" s="261"/>
      <c r="Q27" s="227"/>
    </row>
    <row r="28" spans="1:17" ht="14.4" customHeight="1" thickBot="1">
      <c r="A28" s="253"/>
      <c r="B28" s="245"/>
      <c r="C28" s="250"/>
      <c r="D28" s="132" t="s">
        <v>1193</v>
      </c>
      <c r="E28" s="133"/>
      <c r="F28" s="128" t="s">
        <v>1253</v>
      </c>
      <c r="G28" s="126">
        <v>0.33333333333333331</v>
      </c>
      <c r="H28" s="131">
        <v>0.33333333333333298</v>
      </c>
      <c r="I28" s="138">
        <f t="shared" si="0"/>
        <v>0</v>
      </c>
      <c r="J28" s="134">
        <v>0.9</v>
      </c>
      <c r="K28" s="133" t="s">
        <v>1479</v>
      </c>
      <c r="L28" s="136"/>
    </row>
    <row r="29" spans="1:17" ht="15" customHeight="1">
      <c r="A29" s="253"/>
      <c r="B29" s="251">
        <v>45841</v>
      </c>
      <c r="C29" s="243" t="s">
        <v>1198</v>
      </c>
      <c r="D29" s="78" t="s">
        <v>1192</v>
      </c>
      <c r="E29" s="159"/>
      <c r="F29" s="111" t="s">
        <v>1251</v>
      </c>
      <c r="G29" s="107"/>
      <c r="H29" s="108">
        <v>0.33333333333333298</v>
      </c>
      <c r="I29" s="109">
        <f t="shared" si="0"/>
        <v>1</v>
      </c>
      <c r="J29" s="109">
        <v>0.9</v>
      </c>
      <c r="K29" s="82"/>
      <c r="L29" s="112"/>
      <c r="N29" s="255" t="s">
        <v>1287</v>
      </c>
      <c r="O29" s="255" t="s">
        <v>1288</v>
      </c>
      <c r="P29" s="255" t="s">
        <v>1292</v>
      </c>
      <c r="Q29" s="255" t="s">
        <v>1290</v>
      </c>
    </row>
    <row r="30" spans="1:17" ht="15" customHeight="1">
      <c r="A30" s="253"/>
      <c r="B30" s="244"/>
      <c r="C30" s="244"/>
      <c r="D30" s="78" t="s">
        <v>1192</v>
      </c>
      <c r="E30" s="159"/>
      <c r="F30" s="106" t="s">
        <v>1252</v>
      </c>
      <c r="G30" s="107">
        <v>0.11805555555555555</v>
      </c>
      <c r="H30" s="108">
        <v>0.33333333333333298</v>
      </c>
      <c r="I30" s="109">
        <f t="shared" si="0"/>
        <v>0.64583333333333304</v>
      </c>
      <c r="J30" s="109">
        <v>0.9</v>
      </c>
      <c r="K30" s="82"/>
      <c r="L30" s="82"/>
      <c r="N30" s="255"/>
      <c r="O30" s="255"/>
      <c r="P30" s="255"/>
      <c r="Q30" s="255"/>
    </row>
    <row r="31" spans="1:17" ht="15" customHeight="1">
      <c r="A31" s="253"/>
      <c r="B31" s="244"/>
      <c r="C31" s="245"/>
      <c r="D31" s="78" t="s">
        <v>1192</v>
      </c>
      <c r="E31" s="113"/>
      <c r="F31" s="114" t="s">
        <v>1253</v>
      </c>
      <c r="G31" s="107">
        <v>0.33333333333333331</v>
      </c>
      <c r="H31" s="108">
        <v>0.33333333333333298</v>
      </c>
      <c r="I31" s="109">
        <f t="shared" si="0"/>
        <v>0</v>
      </c>
      <c r="J31" s="109">
        <v>0.9</v>
      </c>
      <c r="K31" s="82" t="s">
        <v>1479</v>
      </c>
      <c r="L31" s="82"/>
      <c r="N31" s="161" t="s">
        <v>1251</v>
      </c>
      <c r="O31" s="162">
        <f>(AVERAGEIFS(I11:I64,D11:D64,P31,F11:F64,N31)+AVERAGEIFS(I68:I130,D68:D130,P31,F68:F130,N31)+AVERAGEIFS(I134:I196,D134:D196,P31,F134:F196,N31)+AVERAGEIFS(I200:I262,D200:D262,P31,F200:F262,N31)+AVERAGEIFS(I266:I301,D266:D301,P31,F266:F301,N31))/5</f>
        <v>0.89833333333333343</v>
      </c>
      <c r="P31" s="254" t="s">
        <v>1194</v>
      </c>
      <c r="Q31" s="224" t="s">
        <v>1512</v>
      </c>
    </row>
    <row r="32" spans="1:17" ht="15" customHeight="1">
      <c r="A32" s="253"/>
      <c r="B32" s="244"/>
      <c r="C32" s="248" t="s">
        <v>1196</v>
      </c>
      <c r="D32" s="132" t="s">
        <v>1194</v>
      </c>
      <c r="E32" s="158"/>
      <c r="F32" s="125" t="s">
        <v>1251</v>
      </c>
      <c r="G32" s="126"/>
      <c r="H32" s="127">
        <v>0.33333333333333298</v>
      </c>
      <c r="I32" s="134">
        <f t="shared" si="0"/>
        <v>1</v>
      </c>
      <c r="J32" s="134">
        <v>0.9</v>
      </c>
      <c r="K32" s="135"/>
      <c r="L32" s="137"/>
      <c r="N32" s="161" t="s">
        <v>1252</v>
      </c>
      <c r="O32" s="162">
        <f>(AVERAGEIFS(I11:I64,D11:D64,P31,F11:F64,N32)+AVERAGEIFS(I68:I130,D68:D130,P31,F68:F130,N32)+AVERAGEIFS(I134:I196,D134:D196,P31,F134:F196,N32)+AVERAGEIFS(I200:I262,D200:D262,P31,F200:F262,N32)+AVERAGEIFS(I266:I301,D266:D301,P31,F266:F301,N32))/5</f>
        <v>0.78333333333333344</v>
      </c>
      <c r="P32" s="254"/>
      <c r="Q32" s="227"/>
    </row>
    <row r="33" spans="1:17" ht="15" customHeight="1">
      <c r="A33" s="253"/>
      <c r="B33" s="244"/>
      <c r="C33" s="249"/>
      <c r="D33" s="132" t="s">
        <v>1194</v>
      </c>
      <c r="E33" s="158"/>
      <c r="F33" s="129" t="s">
        <v>1252</v>
      </c>
      <c r="G33" s="126"/>
      <c r="H33" s="127">
        <v>0.33333333333333298</v>
      </c>
      <c r="I33" s="134">
        <f t="shared" si="0"/>
        <v>1</v>
      </c>
      <c r="J33" s="134">
        <v>0.9</v>
      </c>
      <c r="K33" s="135"/>
      <c r="L33" s="136"/>
      <c r="N33" s="161" t="s">
        <v>1253</v>
      </c>
      <c r="O33" s="162">
        <f>(AVERAGEIFS(I11:I64,D11:D64,P31,F11:F64,N33)+AVERAGEIFS(I68:I130,D68:D130,P31,F68:F130,N33)+AVERAGEIFS(I134:I196,D134:D196,P31,F134:F196,N33)+AVERAGEIFS(I200:I262,D200:D262,P31,F200:F262,N33)+AVERAGEIFS(I266:I301,D266:D301,P31,F266:F301,N33))/5</f>
        <v>3.7499999999999936E-2</v>
      </c>
      <c r="P33" s="254"/>
      <c r="Q33" s="227"/>
    </row>
    <row r="34" spans="1:17" ht="15" customHeight="1">
      <c r="A34" s="253"/>
      <c r="B34" s="244"/>
      <c r="C34" s="250"/>
      <c r="D34" s="132" t="s">
        <v>1194</v>
      </c>
      <c r="E34" s="133"/>
      <c r="F34" s="128" t="s">
        <v>1253</v>
      </c>
      <c r="G34" s="126">
        <v>0.33333333333333331</v>
      </c>
      <c r="H34" s="127">
        <v>0.33333333333333298</v>
      </c>
      <c r="I34" s="134">
        <f t="shared" si="0"/>
        <v>0</v>
      </c>
      <c r="J34" s="134">
        <v>0.9</v>
      </c>
      <c r="K34" s="133" t="s">
        <v>1479</v>
      </c>
      <c r="L34" s="136"/>
      <c r="N34" s="161" t="s">
        <v>1293</v>
      </c>
      <c r="O34" s="162">
        <f>(O31+O32+O33)/3</f>
        <v>0.57305555555555554</v>
      </c>
      <c r="P34" s="254"/>
      <c r="Q34" s="227"/>
    </row>
    <row r="35" spans="1:17" ht="15" customHeight="1">
      <c r="A35" s="253"/>
      <c r="B35" s="244"/>
      <c r="C35" s="243" t="s">
        <v>1197</v>
      </c>
      <c r="D35" s="78" t="s">
        <v>1193</v>
      </c>
      <c r="E35" s="159"/>
      <c r="F35" s="111" t="s">
        <v>1251</v>
      </c>
      <c r="G35" s="107"/>
      <c r="H35" s="108">
        <v>0.33333333333333298</v>
      </c>
      <c r="I35" s="109">
        <f t="shared" si="0"/>
        <v>1</v>
      </c>
      <c r="J35" s="109">
        <v>0.9</v>
      </c>
      <c r="K35" s="82"/>
      <c r="L35" s="112"/>
    </row>
    <row r="36" spans="1:17" ht="15" customHeight="1">
      <c r="A36" s="253"/>
      <c r="B36" s="244"/>
      <c r="C36" s="244"/>
      <c r="D36" s="78" t="s">
        <v>1193</v>
      </c>
      <c r="E36" s="159"/>
      <c r="F36" s="106" t="s">
        <v>1252</v>
      </c>
      <c r="G36" s="107"/>
      <c r="H36" s="108">
        <v>0.33333333333333298</v>
      </c>
      <c r="I36" s="109">
        <f t="shared" si="0"/>
        <v>1</v>
      </c>
      <c r="J36" s="109">
        <v>0.9</v>
      </c>
      <c r="K36" s="82"/>
      <c r="L36" s="82"/>
      <c r="N36" s="255" t="s">
        <v>1287</v>
      </c>
      <c r="O36" s="255" t="s">
        <v>1288</v>
      </c>
      <c r="P36" s="255" t="s">
        <v>1292</v>
      </c>
      <c r="Q36" s="255" t="s">
        <v>1290</v>
      </c>
    </row>
    <row r="37" spans="1:17" ht="15.6" customHeight="1" thickBot="1">
      <c r="A37" s="253"/>
      <c r="B37" s="245"/>
      <c r="C37" s="245"/>
      <c r="D37" s="78" t="s">
        <v>1193</v>
      </c>
      <c r="E37" s="113"/>
      <c r="F37" s="114" t="s">
        <v>1253</v>
      </c>
      <c r="G37" s="107">
        <v>0.33333333333333331</v>
      </c>
      <c r="H37" s="108">
        <v>0.33333333333333298</v>
      </c>
      <c r="I37" s="109">
        <f t="shared" si="0"/>
        <v>0</v>
      </c>
      <c r="J37" s="109">
        <v>0.9</v>
      </c>
      <c r="K37" s="82"/>
      <c r="L37" s="82"/>
      <c r="N37" s="255"/>
      <c r="O37" s="255"/>
      <c r="P37" s="255"/>
      <c r="Q37" s="255"/>
    </row>
    <row r="38" spans="1:17" ht="15" customHeight="1">
      <c r="A38" s="253"/>
      <c r="B38" s="251">
        <v>45842</v>
      </c>
      <c r="C38" s="248" t="s">
        <v>1198</v>
      </c>
      <c r="D38" s="132" t="s">
        <v>1191</v>
      </c>
      <c r="E38" s="158"/>
      <c r="F38" s="125" t="s">
        <v>1251</v>
      </c>
      <c r="G38" s="126">
        <v>9.375E-2</v>
      </c>
      <c r="H38" s="127">
        <v>0.33333333333333298</v>
      </c>
      <c r="I38" s="134">
        <f t="shared" si="0"/>
        <v>0.71874999999999978</v>
      </c>
      <c r="J38" s="134">
        <v>0.9</v>
      </c>
      <c r="K38" s="135" t="s">
        <v>1479</v>
      </c>
      <c r="L38" s="137"/>
      <c r="N38" s="161" t="s">
        <v>1251</v>
      </c>
      <c r="O38" s="162">
        <f>(AVERAGEIFS(I11:I64,D11:D64,P38,F11:F64,N38)+AVERAGEIFS(I68:I130,D68:D130,P38,F68:F130,N38)+AVERAGEIFS(I134:I196,D134:D196,P38,F134:F196,N38)+AVERAGEIFS(I200:I262,D200:D262,P38,F200:F262,N38)+AVERAGEIFS(I266:I301,D266:D301,P38,F266:F301,N38))/5</f>
        <v>0.74041666666666672</v>
      </c>
      <c r="P38" s="254" t="s">
        <v>1193</v>
      </c>
      <c r="Q38" s="224" t="s">
        <v>1512</v>
      </c>
    </row>
    <row r="39" spans="1:17" ht="15" customHeight="1">
      <c r="A39" s="253"/>
      <c r="B39" s="244"/>
      <c r="C39" s="249"/>
      <c r="D39" s="132" t="s">
        <v>1191</v>
      </c>
      <c r="E39" s="158"/>
      <c r="F39" s="129" t="s">
        <v>1252</v>
      </c>
      <c r="G39" s="126">
        <v>0.1875</v>
      </c>
      <c r="H39" s="127">
        <v>0.33333333333333298</v>
      </c>
      <c r="I39" s="134">
        <f t="shared" si="0"/>
        <v>0.43749999999999944</v>
      </c>
      <c r="J39" s="134">
        <v>0.9</v>
      </c>
      <c r="K39" s="135" t="s">
        <v>1479</v>
      </c>
      <c r="L39" s="136"/>
      <c r="N39" s="161" t="s">
        <v>1252</v>
      </c>
      <c r="O39" s="162">
        <f>(AVERAGEIFS(I11:I64,D11:D64,P38,F11:F64,N39)+AVERAGEIFS(I68:I130,D68:D130,P38,F68:F130,N39)+AVERAGEIFS(I134:I196,D134:D196,P38,F134:F196,N39)+AVERAGEIFS(I200:I262,D200:D262,P38,F200:F262,N39)+AVERAGEIFS(I266:I301,D266:D301,P38,F266:F301,N39))/5</f>
        <v>0.73291666666666644</v>
      </c>
      <c r="P39" s="254"/>
      <c r="Q39" s="227"/>
    </row>
    <row r="40" spans="1:17" ht="15" customHeight="1">
      <c r="A40" s="253"/>
      <c r="B40" s="244"/>
      <c r="C40" s="250"/>
      <c r="D40" s="132" t="s">
        <v>1191</v>
      </c>
      <c r="E40" s="133"/>
      <c r="F40" s="128" t="s">
        <v>1253</v>
      </c>
      <c r="G40" s="126">
        <v>0.33333333333333331</v>
      </c>
      <c r="H40" s="127">
        <v>0.33333333333333298</v>
      </c>
      <c r="I40" s="134">
        <f t="shared" si="0"/>
        <v>0</v>
      </c>
      <c r="J40" s="134">
        <v>0.9</v>
      </c>
      <c r="K40" s="135" t="s">
        <v>1479</v>
      </c>
      <c r="L40" s="136"/>
      <c r="N40" s="161" t="s">
        <v>1253</v>
      </c>
      <c r="O40" s="162">
        <f>(AVERAGEIFS(I11:I64,D11:D64,P38,F11:F64,N40)+AVERAGEIFS(I68:I130,D68:D130,P38,F68:F130,N40)+AVERAGEIFS(I134:I196,D134:D196,P38,F134:F196,N40)+AVERAGEIFS(I200:I262,D200:D262,P38,F200:F262,N40)+AVERAGEIFS(I266:I301,D266:D301,P38,F266:F301,N40))/5</f>
        <v>1.24999999999999E-2</v>
      </c>
      <c r="P40" s="254"/>
      <c r="Q40" s="227"/>
    </row>
    <row r="41" spans="1:17" ht="15" customHeight="1">
      <c r="A41" s="253"/>
      <c r="B41" s="244"/>
      <c r="C41" s="243" t="s">
        <v>1196</v>
      </c>
      <c r="D41" s="78" t="s">
        <v>1192</v>
      </c>
      <c r="E41" s="159"/>
      <c r="F41" s="111" t="s">
        <v>1251</v>
      </c>
      <c r="G41" s="107">
        <v>6.9444444444444448E-2</v>
      </c>
      <c r="H41" s="108">
        <v>0.33333333333333298</v>
      </c>
      <c r="I41" s="109">
        <f t="shared" si="0"/>
        <v>0.79166666666666641</v>
      </c>
      <c r="J41" s="109">
        <v>0.9</v>
      </c>
      <c r="K41" s="82" t="s">
        <v>1479</v>
      </c>
      <c r="L41" s="112"/>
      <c r="N41" s="161" t="s">
        <v>1293</v>
      </c>
      <c r="O41" s="162">
        <f>(O38+O39+O40)/3</f>
        <v>0.49527777777777771</v>
      </c>
      <c r="P41" s="254"/>
      <c r="Q41" s="227"/>
    </row>
    <row r="42" spans="1:17" ht="15" customHeight="1">
      <c r="A42" s="253"/>
      <c r="B42" s="244"/>
      <c r="C42" s="244"/>
      <c r="D42" s="78" t="s">
        <v>1192</v>
      </c>
      <c r="E42" s="159"/>
      <c r="F42" s="106" t="s">
        <v>1252</v>
      </c>
      <c r="G42" s="107">
        <v>6.9444444444444448E-2</v>
      </c>
      <c r="H42" s="108">
        <v>0.33333333333333298</v>
      </c>
      <c r="I42" s="109">
        <f t="shared" si="0"/>
        <v>0.79166666666666641</v>
      </c>
      <c r="J42" s="109">
        <v>0.9</v>
      </c>
      <c r="K42" s="82" t="s">
        <v>1479</v>
      </c>
      <c r="L42" s="82"/>
    </row>
    <row r="43" spans="1:17" ht="15" customHeight="1">
      <c r="A43" s="253"/>
      <c r="B43" s="244"/>
      <c r="C43" s="245"/>
      <c r="D43" s="78" t="s">
        <v>1192</v>
      </c>
      <c r="E43" s="113"/>
      <c r="F43" s="114" t="s">
        <v>1253</v>
      </c>
      <c r="G43" s="107">
        <v>6.9444444444444406E-2</v>
      </c>
      <c r="H43" s="108">
        <v>0.33333333333333298</v>
      </c>
      <c r="I43" s="109">
        <f t="shared" si="0"/>
        <v>0.79166666666666652</v>
      </c>
      <c r="J43" s="109">
        <v>0.9</v>
      </c>
      <c r="K43" s="82" t="s">
        <v>1479</v>
      </c>
      <c r="L43" s="82"/>
      <c r="N43" s="255" t="s">
        <v>1287</v>
      </c>
      <c r="O43" s="255" t="s">
        <v>1288</v>
      </c>
      <c r="P43" s="255" t="s">
        <v>1292</v>
      </c>
      <c r="Q43" s="255" t="s">
        <v>1290</v>
      </c>
    </row>
    <row r="44" spans="1:17" ht="15" customHeight="1">
      <c r="A44" s="253"/>
      <c r="B44" s="244"/>
      <c r="C44" s="248" t="s">
        <v>1197</v>
      </c>
      <c r="D44" s="132" t="s">
        <v>1194</v>
      </c>
      <c r="E44" s="158"/>
      <c r="F44" s="125" t="s">
        <v>1251</v>
      </c>
      <c r="G44" s="126">
        <v>0.33333333333333331</v>
      </c>
      <c r="H44" s="127">
        <v>0.33333333333333298</v>
      </c>
      <c r="I44" s="134">
        <f t="shared" si="0"/>
        <v>0</v>
      </c>
      <c r="J44" s="134">
        <v>0.9</v>
      </c>
      <c r="K44" s="135" t="s">
        <v>1479</v>
      </c>
      <c r="L44" s="137"/>
      <c r="N44" s="255"/>
      <c r="O44" s="255"/>
      <c r="P44" s="255"/>
      <c r="Q44" s="255"/>
    </row>
    <row r="45" spans="1:17" ht="15" customHeight="1">
      <c r="A45" s="253"/>
      <c r="B45" s="244"/>
      <c r="C45" s="249"/>
      <c r="D45" s="132" t="s">
        <v>1194</v>
      </c>
      <c r="E45" s="158"/>
      <c r="F45" s="129" t="s">
        <v>1252</v>
      </c>
      <c r="G45" s="126">
        <v>0.375</v>
      </c>
      <c r="H45" s="127">
        <v>0.33333333333333298</v>
      </c>
      <c r="I45" s="134">
        <f t="shared" si="0"/>
        <v>-0.12500000000000111</v>
      </c>
      <c r="J45" s="134">
        <v>0.9</v>
      </c>
      <c r="K45" s="135" t="s">
        <v>1479</v>
      </c>
      <c r="L45" s="136"/>
      <c r="N45" s="161" t="s">
        <v>1251</v>
      </c>
      <c r="O45" s="162">
        <f>(AVERAGEIFS(I11:I64,D11:D64,P45,F11:F64,N45)+AVERAGEIFS(I68:I130,D68:D130,P45,F68:F130,N45)+AVERAGEIFS(I134:I196,D134:D196,P45,F134:F196,N45))/3</f>
        <v>0.78298611111111105</v>
      </c>
      <c r="P45" s="254" t="s">
        <v>1192</v>
      </c>
      <c r="Q45" s="224" t="s">
        <v>1513</v>
      </c>
    </row>
    <row r="46" spans="1:17" ht="15.6" customHeight="1" thickBot="1">
      <c r="A46" s="253"/>
      <c r="B46" s="245"/>
      <c r="C46" s="250"/>
      <c r="D46" s="132" t="s">
        <v>1194</v>
      </c>
      <c r="E46" s="133"/>
      <c r="F46" s="128" t="s">
        <v>1253</v>
      </c>
      <c r="G46" s="126">
        <v>0.33333333333333331</v>
      </c>
      <c r="H46" s="127">
        <v>0.33333333333333298</v>
      </c>
      <c r="I46" s="134">
        <f t="shared" si="0"/>
        <v>0</v>
      </c>
      <c r="J46" s="134">
        <v>0.9</v>
      </c>
      <c r="K46" s="135" t="s">
        <v>1479</v>
      </c>
      <c r="L46" s="136"/>
      <c r="N46" s="161" t="s">
        <v>1252</v>
      </c>
      <c r="O46" s="162">
        <f>(AVERAGEIFS(I11:I64,D11:D64,P45,F11:F64,N46)+AVERAGEIFS(I68:I130,D68:D130,P45,F68:F130,N46)+AVERAGEIFS(I134:I196,D134:D196,P45,F134:F196,N46))/3</f>
        <v>0.75937499999999991</v>
      </c>
      <c r="P46" s="254"/>
      <c r="Q46" s="227"/>
    </row>
    <row r="47" spans="1:17" ht="15" customHeight="1">
      <c r="A47" s="253"/>
      <c r="B47" s="251">
        <v>45843</v>
      </c>
      <c r="C47" s="243" t="s">
        <v>1198</v>
      </c>
      <c r="D47" s="78" t="s">
        <v>1191</v>
      </c>
      <c r="E47" s="159"/>
      <c r="F47" s="111" t="s">
        <v>1251</v>
      </c>
      <c r="G47" s="107">
        <v>0.16666666666666666</v>
      </c>
      <c r="H47" s="108">
        <v>0.33333333333333298</v>
      </c>
      <c r="I47" s="109">
        <f t="shared" si="0"/>
        <v>0.49999999999999944</v>
      </c>
      <c r="J47" s="109">
        <v>0.9</v>
      </c>
      <c r="K47" s="82" t="s">
        <v>1479</v>
      </c>
      <c r="L47" s="112"/>
      <c r="N47" s="161" t="s">
        <v>1253</v>
      </c>
      <c r="O47" s="162">
        <f>(AVERAGEIFS(I11:I64,D11:D64,P45,F11:F64,N47)+AVERAGEIFS(I68:I130,D68:D130,P45,F68:F130,N47)+AVERAGEIFS(I134:I196,D134:D196,P45,F134:F196,N47))/3</f>
        <v>5.2777777777777764E-2</v>
      </c>
      <c r="P47" s="254"/>
      <c r="Q47" s="227"/>
    </row>
    <row r="48" spans="1:17" ht="15" customHeight="1">
      <c r="A48" s="253"/>
      <c r="B48" s="244"/>
      <c r="C48" s="244"/>
      <c r="D48" s="78" t="s">
        <v>1191</v>
      </c>
      <c r="E48" s="159"/>
      <c r="F48" s="106" t="s">
        <v>1252</v>
      </c>
      <c r="G48" s="107">
        <v>0.16666666666666666</v>
      </c>
      <c r="H48" s="108">
        <v>0.33333333333333298</v>
      </c>
      <c r="I48" s="109">
        <f t="shared" si="0"/>
        <v>0.49999999999999944</v>
      </c>
      <c r="J48" s="109">
        <v>0.9</v>
      </c>
      <c r="K48" s="82" t="s">
        <v>1479</v>
      </c>
      <c r="L48" s="82"/>
      <c r="N48" s="161" t="s">
        <v>1293</v>
      </c>
      <c r="O48" s="162">
        <f>(O45+O46+O47)/3</f>
        <v>0.531712962962963</v>
      </c>
      <c r="P48" s="254"/>
      <c r="Q48" s="227"/>
    </row>
    <row r="49" spans="1:12" ht="15" customHeight="1">
      <c r="A49" s="253"/>
      <c r="B49" s="244"/>
      <c r="C49" s="245"/>
      <c r="D49" s="78" t="s">
        <v>1191</v>
      </c>
      <c r="E49" s="113"/>
      <c r="F49" s="114" t="s">
        <v>1253</v>
      </c>
      <c r="G49" s="107">
        <v>0.16666666666666666</v>
      </c>
      <c r="H49" s="108">
        <v>0.33333333333333298</v>
      </c>
      <c r="I49" s="109">
        <f t="shared" si="0"/>
        <v>0.49999999999999944</v>
      </c>
      <c r="J49" s="109">
        <v>0.9</v>
      </c>
      <c r="K49" s="82" t="s">
        <v>1479</v>
      </c>
      <c r="L49" s="82"/>
    </row>
    <row r="50" spans="1:12" ht="15" customHeight="1">
      <c r="A50" s="253"/>
      <c r="B50" s="244"/>
      <c r="C50" s="248" t="s">
        <v>1196</v>
      </c>
      <c r="D50" s="132" t="s">
        <v>1192</v>
      </c>
      <c r="E50" s="158"/>
      <c r="F50" s="125" t="s">
        <v>1251</v>
      </c>
      <c r="G50" s="126"/>
      <c r="H50" s="127">
        <v>0.33333333333333298</v>
      </c>
      <c r="I50" s="134">
        <f t="shared" si="0"/>
        <v>1</v>
      </c>
      <c r="J50" s="134">
        <v>0.9</v>
      </c>
      <c r="K50" s="135"/>
      <c r="L50" s="137"/>
    </row>
    <row r="51" spans="1:12" ht="15" customHeight="1">
      <c r="A51" s="253"/>
      <c r="B51" s="244"/>
      <c r="C51" s="249"/>
      <c r="D51" s="132" t="s">
        <v>1192</v>
      </c>
      <c r="E51" s="158"/>
      <c r="F51" s="129" t="s">
        <v>1252</v>
      </c>
      <c r="G51" s="126"/>
      <c r="H51" s="127">
        <v>0.33333333333333298</v>
      </c>
      <c r="I51" s="134">
        <f t="shared" si="0"/>
        <v>1</v>
      </c>
      <c r="J51" s="134">
        <v>0.9</v>
      </c>
      <c r="K51" s="135"/>
      <c r="L51" s="136"/>
    </row>
    <row r="52" spans="1:12" ht="15" customHeight="1">
      <c r="A52" s="253"/>
      <c r="B52" s="244"/>
      <c r="C52" s="250"/>
      <c r="D52" s="132" t="s">
        <v>1192</v>
      </c>
      <c r="E52" s="133"/>
      <c r="F52" s="128" t="s">
        <v>1253</v>
      </c>
      <c r="G52" s="127">
        <v>0.33333333333333298</v>
      </c>
      <c r="H52" s="127">
        <v>0.33333333333333298</v>
      </c>
      <c r="I52" s="134">
        <f t="shared" si="0"/>
        <v>0</v>
      </c>
      <c r="J52" s="134">
        <v>0.9</v>
      </c>
      <c r="K52" s="133"/>
      <c r="L52" s="136"/>
    </row>
    <row r="53" spans="1:12" ht="15" customHeight="1">
      <c r="A53" s="253"/>
      <c r="B53" s="244"/>
      <c r="C53" s="243" t="s">
        <v>1197</v>
      </c>
      <c r="D53" s="78" t="s">
        <v>1194</v>
      </c>
      <c r="E53" s="159"/>
      <c r="F53" s="111" t="s">
        <v>1251</v>
      </c>
      <c r="G53" s="108">
        <v>0.33333333333333298</v>
      </c>
      <c r="H53" s="108">
        <v>0.33333333333333298</v>
      </c>
      <c r="I53" s="109">
        <f t="shared" si="0"/>
        <v>0</v>
      </c>
      <c r="J53" s="109">
        <v>0.9</v>
      </c>
      <c r="K53" s="82" t="s">
        <v>1480</v>
      </c>
      <c r="L53" s="82"/>
    </row>
    <row r="54" spans="1:12" ht="15" customHeight="1">
      <c r="A54" s="253"/>
      <c r="B54" s="244"/>
      <c r="C54" s="244"/>
      <c r="D54" s="78" t="s">
        <v>1194</v>
      </c>
      <c r="E54" s="159"/>
      <c r="F54" s="106" t="s">
        <v>1252</v>
      </c>
      <c r="G54" s="108">
        <v>0.33333333333333298</v>
      </c>
      <c r="H54" s="108">
        <v>0.33333333333333298</v>
      </c>
      <c r="I54" s="109">
        <f t="shared" si="0"/>
        <v>0</v>
      </c>
      <c r="J54" s="109">
        <v>0.9</v>
      </c>
      <c r="K54" s="82" t="s">
        <v>1480</v>
      </c>
      <c r="L54" s="82"/>
    </row>
    <row r="55" spans="1:12" ht="15.6" customHeight="1" thickBot="1">
      <c r="A55" s="253"/>
      <c r="B55" s="245"/>
      <c r="C55" s="245"/>
      <c r="D55" s="78" t="s">
        <v>1194</v>
      </c>
      <c r="E55" s="113"/>
      <c r="F55" s="114" t="s">
        <v>1253</v>
      </c>
      <c r="G55" s="108">
        <v>0.33333333333333298</v>
      </c>
      <c r="H55" s="123">
        <v>0.33333333333333298</v>
      </c>
      <c r="I55" s="109">
        <f t="shared" si="0"/>
        <v>0</v>
      </c>
      <c r="J55" s="109">
        <v>0.9</v>
      </c>
      <c r="K55" s="82" t="s">
        <v>1480</v>
      </c>
      <c r="L55" s="82"/>
    </row>
    <row r="56" spans="1:12" ht="15.6" customHeight="1">
      <c r="A56" s="253"/>
      <c r="B56" s="251">
        <v>45844</v>
      </c>
      <c r="C56" s="243" t="s">
        <v>1198</v>
      </c>
      <c r="D56" s="78" t="s">
        <v>1193</v>
      </c>
      <c r="E56" s="159"/>
      <c r="F56" s="111" t="s">
        <v>1251</v>
      </c>
      <c r="G56" s="108">
        <v>0.33333333333333298</v>
      </c>
      <c r="H56" s="108">
        <v>0.33333333333333298</v>
      </c>
      <c r="I56" s="109">
        <f t="shared" si="0"/>
        <v>0</v>
      </c>
      <c r="J56" s="109">
        <v>0.9</v>
      </c>
      <c r="K56" s="82" t="s">
        <v>1480</v>
      </c>
      <c r="L56" s="112"/>
    </row>
    <row r="57" spans="1:12" ht="15.6" customHeight="1">
      <c r="A57" s="253"/>
      <c r="B57" s="244"/>
      <c r="C57" s="244"/>
      <c r="D57" s="78" t="s">
        <v>1193</v>
      </c>
      <c r="E57" s="159"/>
      <c r="F57" s="106" t="s">
        <v>1252</v>
      </c>
      <c r="G57" s="108">
        <v>0.33333333333333298</v>
      </c>
      <c r="H57" s="108">
        <v>0.33333333333333298</v>
      </c>
      <c r="I57" s="109">
        <f t="shared" si="0"/>
        <v>0</v>
      </c>
      <c r="J57" s="109">
        <v>0.9</v>
      </c>
      <c r="K57" s="82" t="s">
        <v>1480</v>
      </c>
      <c r="L57" s="82"/>
    </row>
    <row r="58" spans="1:12" ht="15.6" customHeight="1">
      <c r="A58" s="253"/>
      <c r="B58" s="244"/>
      <c r="C58" s="245"/>
      <c r="D58" s="78" t="s">
        <v>1193</v>
      </c>
      <c r="E58" s="113"/>
      <c r="F58" s="114" t="s">
        <v>1253</v>
      </c>
      <c r="G58" s="108">
        <v>0.33333333333333331</v>
      </c>
      <c r="H58" s="123">
        <v>0.33333333333333298</v>
      </c>
      <c r="I58" s="109">
        <f t="shared" si="0"/>
        <v>0</v>
      </c>
      <c r="J58" s="109">
        <v>0.9</v>
      </c>
      <c r="K58" s="82" t="s">
        <v>1480</v>
      </c>
      <c r="L58" s="82"/>
    </row>
    <row r="59" spans="1:12" ht="15.6" customHeight="1">
      <c r="A59" s="253"/>
      <c r="B59" s="244"/>
      <c r="C59" s="248" t="s">
        <v>1196</v>
      </c>
      <c r="D59" s="132" t="s">
        <v>1191</v>
      </c>
      <c r="E59" s="158"/>
      <c r="F59" s="125" t="s">
        <v>1251</v>
      </c>
      <c r="G59" s="126">
        <v>0.125</v>
      </c>
      <c r="H59" s="108">
        <v>0.33333333333333298</v>
      </c>
      <c r="I59" s="109">
        <f t="shared" si="0"/>
        <v>0.62499999999999956</v>
      </c>
      <c r="J59" s="134">
        <v>0.9</v>
      </c>
      <c r="K59" s="135" t="s">
        <v>1480</v>
      </c>
      <c r="L59" s="137"/>
    </row>
    <row r="60" spans="1:12" ht="15.6" customHeight="1">
      <c r="A60" s="253"/>
      <c r="B60" s="244"/>
      <c r="C60" s="249"/>
      <c r="D60" s="132" t="s">
        <v>1191</v>
      </c>
      <c r="E60" s="158"/>
      <c r="F60" s="129" t="s">
        <v>1252</v>
      </c>
      <c r="G60" s="126">
        <v>0.125</v>
      </c>
      <c r="H60" s="108">
        <v>0.33333333333333298</v>
      </c>
      <c r="I60" s="109">
        <f t="shared" si="0"/>
        <v>0.62499999999999956</v>
      </c>
      <c r="J60" s="134">
        <v>0.9</v>
      </c>
      <c r="K60" s="135" t="s">
        <v>1480</v>
      </c>
      <c r="L60" s="136"/>
    </row>
    <row r="61" spans="1:12" ht="15.6" customHeight="1">
      <c r="A61" s="253"/>
      <c r="B61" s="244"/>
      <c r="C61" s="250"/>
      <c r="D61" s="132" t="s">
        <v>1191</v>
      </c>
      <c r="E61" s="133"/>
      <c r="F61" s="128" t="s">
        <v>1253</v>
      </c>
      <c r="G61" s="126">
        <v>0.125</v>
      </c>
      <c r="H61" s="123">
        <v>0.33333333333333298</v>
      </c>
      <c r="I61" s="109">
        <f t="shared" si="0"/>
        <v>0.62499999999999956</v>
      </c>
      <c r="J61" s="134">
        <v>0.9</v>
      </c>
      <c r="K61" s="135" t="s">
        <v>1480</v>
      </c>
      <c r="L61" s="136"/>
    </row>
    <row r="62" spans="1:12" ht="15.6" customHeight="1">
      <c r="A62" s="253"/>
      <c r="B62" s="244"/>
      <c r="C62" s="243" t="s">
        <v>1197</v>
      </c>
      <c r="D62" s="78" t="s">
        <v>1192</v>
      </c>
      <c r="E62" s="159"/>
      <c r="F62" s="111" t="s">
        <v>1251</v>
      </c>
      <c r="G62" s="107"/>
      <c r="H62" s="108">
        <v>0.33333333333333298</v>
      </c>
      <c r="I62" s="109">
        <f t="shared" si="0"/>
        <v>1</v>
      </c>
      <c r="J62" s="109">
        <v>0.9</v>
      </c>
      <c r="K62" s="82"/>
      <c r="L62" s="82"/>
    </row>
    <row r="63" spans="1:12" ht="15.6" customHeight="1">
      <c r="A63" s="253"/>
      <c r="B63" s="244"/>
      <c r="C63" s="244"/>
      <c r="D63" s="78" t="s">
        <v>1192</v>
      </c>
      <c r="E63" s="159"/>
      <c r="F63" s="106" t="s">
        <v>1252</v>
      </c>
      <c r="G63" s="107"/>
      <c r="H63" s="108">
        <v>0.33333333333333298</v>
      </c>
      <c r="I63" s="109">
        <f t="shared" si="0"/>
        <v>1</v>
      </c>
      <c r="J63" s="109">
        <v>0.9</v>
      </c>
      <c r="K63" s="82"/>
      <c r="L63" s="82"/>
    </row>
    <row r="64" spans="1:12" ht="15.6" customHeight="1">
      <c r="A64" s="253"/>
      <c r="B64" s="245"/>
      <c r="C64" s="245"/>
      <c r="D64" s="78" t="s">
        <v>1192</v>
      </c>
      <c r="E64" s="113"/>
      <c r="F64" s="114" t="s">
        <v>1253</v>
      </c>
      <c r="G64" s="107">
        <v>0.33333333333333331</v>
      </c>
      <c r="H64" s="123">
        <v>0.33333333333333331</v>
      </c>
      <c r="I64" s="109">
        <f t="shared" si="0"/>
        <v>0</v>
      </c>
      <c r="J64" s="109">
        <v>0.9</v>
      </c>
      <c r="K64" s="82" t="s">
        <v>1479</v>
      </c>
      <c r="L64" s="82"/>
    </row>
    <row r="65" spans="1:12" ht="15.6" customHeight="1">
      <c r="A65" s="253"/>
      <c r="B65" s="117"/>
      <c r="C65" s="117"/>
      <c r="D65" s="118"/>
      <c r="E65" s="118"/>
      <c r="F65" s="119" t="s">
        <v>1251</v>
      </c>
      <c r="G65" s="124"/>
      <c r="H65" s="124"/>
      <c r="I65" s="120">
        <f>AVERAGEIF(F11:F64,F65,I11:I64)</f>
        <v>0.75752314814814814</v>
      </c>
      <c r="J65" s="121">
        <v>0.9</v>
      </c>
      <c r="K65" s="118"/>
      <c r="L65" s="116"/>
    </row>
    <row r="66" spans="1:12" ht="15.6" customHeight="1">
      <c r="A66" s="253"/>
      <c r="B66" s="117"/>
      <c r="C66" s="117"/>
      <c r="D66" s="118"/>
      <c r="E66" s="118"/>
      <c r="F66" s="119" t="s">
        <v>1252</v>
      </c>
      <c r="G66" s="124"/>
      <c r="H66" s="124"/>
      <c r="I66" s="120">
        <f>AVERAGEIF(F11:F64,F66,I11:I64)</f>
        <v>0.70833333333333315</v>
      </c>
      <c r="J66" s="121">
        <v>0.9</v>
      </c>
      <c r="K66" s="118"/>
      <c r="L66" s="116"/>
    </row>
    <row r="67" spans="1:12" ht="15.6" customHeight="1" thickBot="1">
      <c r="A67" s="253"/>
      <c r="B67" s="117"/>
      <c r="C67" s="117"/>
      <c r="D67" s="118"/>
      <c r="E67" s="118"/>
      <c r="F67" s="119" t="s">
        <v>1253</v>
      </c>
      <c r="G67" s="124"/>
      <c r="H67" s="124"/>
      <c r="I67" s="120">
        <f>AVERAGEIF(F11:F64,F67,I11:I64)</f>
        <v>0.10648148148148143</v>
      </c>
      <c r="J67" s="121">
        <v>0.9</v>
      </c>
      <c r="K67" s="118"/>
      <c r="L67" s="116"/>
    </row>
    <row r="68" spans="1:12" ht="14.4" customHeight="1">
      <c r="A68" s="252" t="s">
        <v>1296</v>
      </c>
      <c r="B68" s="251">
        <v>45845</v>
      </c>
      <c r="C68" s="243" t="s">
        <v>1198</v>
      </c>
      <c r="D68" s="110" t="s">
        <v>1201</v>
      </c>
      <c r="E68" s="156"/>
      <c r="F68" s="111" t="s">
        <v>1251</v>
      </c>
      <c r="G68" s="107"/>
      <c r="H68" s="108">
        <v>0.33333333333333331</v>
      </c>
      <c r="I68" s="109">
        <f>1-(G68/H68)</f>
        <v>1</v>
      </c>
      <c r="J68" s="109">
        <v>0.9</v>
      </c>
      <c r="K68" s="82"/>
      <c r="L68" s="82"/>
    </row>
    <row r="69" spans="1:12" ht="14.4" customHeight="1">
      <c r="A69" s="253"/>
      <c r="B69" s="244"/>
      <c r="C69" s="244"/>
      <c r="D69" s="110" t="s">
        <v>1201</v>
      </c>
      <c r="E69" s="156"/>
      <c r="F69" s="111" t="s">
        <v>1252</v>
      </c>
      <c r="G69" s="107"/>
      <c r="H69" s="108">
        <v>0.33333333333333331</v>
      </c>
      <c r="I69" s="109">
        <f>1-(G69/H69)</f>
        <v>1</v>
      </c>
      <c r="J69" s="109">
        <v>0.9</v>
      </c>
      <c r="K69" s="82"/>
      <c r="L69" s="82"/>
    </row>
    <row r="70" spans="1:12" ht="14.4" customHeight="1">
      <c r="A70" s="253"/>
      <c r="B70" s="244"/>
      <c r="C70" s="245"/>
      <c r="D70" s="110" t="s">
        <v>1201</v>
      </c>
      <c r="E70" s="157"/>
      <c r="F70" s="114" t="s">
        <v>1253</v>
      </c>
      <c r="G70" s="107"/>
      <c r="H70" s="108">
        <v>0.33333333333333298</v>
      </c>
      <c r="I70" s="109">
        <f t="shared" ref="I70:I112" si="1">1-(G70/H70)</f>
        <v>1</v>
      </c>
      <c r="J70" s="109">
        <v>0.9</v>
      </c>
      <c r="K70" s="82"/>
      <c r="L70" s="82"/>
    </row>
    <row r="71" spans="1:12" ht="14.4" customHeight="1">
      <c r="A71" s="253"/>
      <c r="B71" s="244"/>
      <c r="C71" s="248" t="s">
        <v>1196</v>
      </c>
      <c r="D71" s="132" t="s">
        <v>1191</v>
      </c>
      <c r="E71" s="158"/>
      <c r="F71" s="125" t="s">
        <v>1251</v>
      </c>
      <c r="G71" s="126">
        <v>0.125</v>
      </c>
      <c r="H71" s="127">
        <v>0.33333333333333298</v>
      </c>
      <c r="I71" s="109">
        <f t="shared" si="1"/>
        <v>0.62499999999999956</v>
      </c>
      <c r="J71" s="134">
        <v>0.9</v>
      </c>
      <c r="K71" s="135" t="s">
        <v>1480</v>
      </c>
      <c r="L71" s="136"/>
    </row>
    <row r="72" spans="1:12" ht="14.4" customHeight="1">
      <c r="A72" s="253"/>
      <c r="B72" s="244"/>
      <c r="C72" s="249"/>
      <c r="D72" s="132" t="s">
        <v>1191</v>
      </c>
      <c r="E72" s="158"/>
      <c r="F72" s="125" t="s">
        <v>1252</v>
      </c>
      <c r="G72" s="126">
        <v>0.125</v>
      </c>
      <c r="H72" s="127">
        <v>0.33333333333333298</v>
      </c>
      <c r="I72" s="109">
        <f t="shared" si="1"/>
        <v>0.62499999999999956</v>
      </c>
      <c r="J72" s="134">
        <v>0.9</v>
      </c>
      <c r="K72" s="135" t="s">
        <v>1480</v>
      </c>
      <c r="L72" s="136"/>
    </row>
    <row r="73" spans="1:12" ht="14.4" customHeight="1">
      <c r="A73" s="253"/>
      <c r="B73" s="244"/>
      <c r="C73" s="250"/>
      <c r="D73" s="132" t="s">
        <v>1191</v>
      </c>
      <c r="E73" s="133"/>
      <c r="F73" s="128" t="s">
        <v>1253</v>
      </c>
      <c r="G73" s="126">
        <v>0.125</v>
      </c>
      <c r="H73" s="127">
        <v>0.33333333333333298</v>
      </c>
      <c r="I73" s="109">
        <f t="shared" si="1"/>
        <v>0.62499999999999956</v>
      </c>
      <c r="J73" s="134">
        <v>0.9</v>
      </c>
      <c r="K73" s="135" t="s">
        <v>1480</v>
      </c>
      <c r="L73" s="136"/>
    </row>
    <row r="74" spans="1:12" ht="14.4" customHeight="1">
      <c r="A74" s="253"/>
      <c r="B74" s="244"/>
      <c r="C74" s="243" t="s">
        <v>1197</v>
      </c>
      <c r="D74" s="78" t="s">
        <v>1192</v>
      </c>
      <c r="E74" s="159"/>
      <c r="F74" s="111" t="s">
        <v>1251</v>
      </c>
      <c r="G74" s="107"/>
      <c r="H74" s="108">
        <v>0.33333333333333298</v>
      </c>
      <c r="I74" s="109">
        <f t="shared" si="1"/>
        <v>1</v>
      </c>
      <c r="J74" s="109">
        <v>0.9</v>
      </c>
      <c r="K74" s="82"/>
      <c r="L74" s="82"/>
    </row>
    <row r="75" spans="1:12" ht="14.4" customHeight="1">
      <c r="A75" s="253"/>
      <c r="B75" s="244"/>
      <c r="C75" s="244"/>
      <c r="D75" s="78" t="s">
        <v>1192</v>
      </c>
      <c r="E75" s="159"/>
      <c r="F75" s="111" t="s">
        <v>1252</v>
      </c>
      <c r="G75" s="107"/>
      <c r="H75" s="108">
        <v>0.33333333333333298</v>
      </c>
      <c r="I75" s="109">
        <f t="shared" si="1"/>
        <v>1</v>
      </c>
      <c r="J75" s="109">
        <v>0.9</v>
      </c>
      <c r="K75" s="82"/>
      <c r="L75" s="82"/>
    </row>
    <row r="76" spans="1:12" ht="15" customHeight="1" thickBot="1">
      <c r="A76" s="253"/>
      <c r="B76" s="245"/>
      <c r="C76" s="245"/>
      <c r="D76" s="78" t="s">
        <v>1192</v>
      </c>
      <c r="E76" s="113"/>
      <c r="F76" s="114" t="s">
        <v>1253</v>
      </c>
      <c r="G76" s="108">
        <v>0.33333333333333298</v>
      </c>
      <c r="H76" s="108">
        <v>0.33333333333333298</v>
      </c>
      <c r="I76" s="109">
        <f t="shared" si="1"/>
        <v>0</v>
      </c>
      <c r="J76" s="109">
        <v>0.9</v>
      </c>
      <c r="K76" s="82" t="s">
        <v>1479</v>
      </c>
      <c r="L76" s="82"/>
    </row>
    <row r="77" spans="1:12" ht="14.4" customHeight="1">
      <c r="A77" s="253"/>
      <c r="B77" s="251">
        <v>45846</v>
      </c>
      <c r="C77" s="248" t="s">
        <v>1198</v>
      </c>
      <c r="D77" s="132" t="s">
        <v>1194</v>
      </c>
      <c r="E77" s="158"/>
      <c r="F77" s="125" t="s">
        <v>1251</v>
      </c>
      <c r="G77" s="126"/>
      <c r="H77" s="127">
        <v>0.33333333333333298</v>
      </c>
      <c r="I77" s="109">
        <f t="shared" si="1"/>
        <v>1</v>
      </c>
      <c r="J77" s="134">
        <v>0.9</v>
      </c>
      <c r="K77" s="135"/>
      <c r="L77" s="137"/>
    </row>
    <row r="78" spans="1:12" ht="14.4" customHeight="1">
      <c r="A78" s="253"/>
      <c r="B78" s="244"/>
      <c r="C78" s="249"/>
      <c r="D78" s="132" t="s">
        <v>1194</v>
      </c>
      <c r="E78" s="158"/>
      <c r="F78" s="125" t="s">
        <v>1252</v>
      </c>
      <c r="G78" s="126"/>
      <c r="H78" s="127">
        <v>0.33333333333333298</v>
      </c>
      <c r="I78" s="109">
        <f t="shared" si="1"/>
        <v>1</v>
      </c>
      <c r="J78" s="134">
        <v>0.9</v>
      </c>
      <c r="K78" s="135"/>
      <c r="L78" s="136"/>
    </row>
    <row r="79" spans="1:12" ht="14.4" customHeight="1">
      <c r="A79" s="253"/>
      <c r="B79" s="244"/>
      <c r="C79" s="250"/>
      <c r="D79" s="132" t="s">
        <v>1194</v>
      </c>
      <c r="E79" s="133"/>
      <c r="F79" s="128" t="s">
        <v>1253</v>
      </c>
      <c r="G79" s="127">
        <v>0.33333333333333298</v>
      </c>
      <c r="H79" s="127">
        <v>0.33333333333333298</v>
      </c>
      <c r="I79" s="109">
        <f t="shared" si="1"/>
        <v>0</v>
      </c>
      <c r="J79" s="134">
        <v>0.9</v>
      </c>
      <c r="K79" s="133" t="s">
        <v>1479</v>
      </c>
      <c r="L79" s="136"/>
    </row>
    <row r="80" spans="1:12" ht="14.4" customHeight="1">
      <c r="A80" s="253"/>
      <c r="B80" s="244"/>
      <c r="C80" s="243" t="s">
        <v>1196</v>
      </c>
      <c r="D80" s="78" t="s">
        <v>1193</v>
      </c>
      <c r="E80" s="159"/>
      <c r="F80" s="111" t="s">
        <v>1251</v>
      </c>
      <c r="G80" s="107"/>
      <c r="H80" s="108">
        <v>0.33333333333333298</v>
      </c>
      <c r="I80" s="109">
        <f t="shared" si="1"/>
        <v>1</v>
      </c>
      <c r="J80" s="109">
        <v>0.9</v>
      </c>
      <c r="K80" s="112"/>
      <c r="L80" s="112"/>
    </row>
    <row r="81" spans="1:12" ht="14.4" customHeight="1">
      <c r="A81" s="253"/>
      <c r="B81" s="244"/>
      <c r="C81" s="244"/>
      <c r="D81" s="78" t="s">
        <v>1193</v>
      </c>
      <c r="E81" s="159"/>
      <c r="F81" s="111" t="s">
        <v>1252</v>
      </c>
      <c r="G81" s="107"/>
      <c r="H81" s="108">
        <v>0.33333333333333298</v>
      </c>
      <c r="I81" s="109">
        <f t="shared" si="1"/>
        <v>1</v>
      </c>
      <c r="J81" s="109">
        <v>0.9</v>
      </c>
      <c r="K81" s="82"/>
      <c r="L81" s="82"/>
    </row>
    <row r="82" spans="1:12" ht="14.4" customHeight="1">
      <c r="A82" s="253"/>
      <c r="B82" s="244"/>
      <c r="C82" s="245"/>
      <c r="D82" s="78" t="s">
        <v>1193</v>
      </c>
      <c r="E82" s="113"/>
      <c r="F82" s="114" t="s">
        <v>1253</v>
      </c>
      <c r="G82" s="107">
        <v>0.33333333333333331</v>
      </c>
      <c r="H82" s="108">
        <v>0.33333333333333331</v>
      </c>
      <c r="I82" s="109">
        <f t="shared" si="1"/>
        <v>0</v>
      </c>
      <c r="J82" s="109">
        <v>0.9</v>
      </c>
      <c r="K82" s="82" t="s">
        <v>1479</v>
      </c>
      <c r="L82" s="82"/>
    </row>
    <row r="83" spans="1:12" ht="14.4" customHeight="1">
      <c r="A83" s="253"/>
      <c r="B83" s="244"/>
      <c r="C83" s="248" t="s">
        <v>1197</v>
      </c>
      <c r="D83" s="132" t="s">
        <v>1191</v>
      </c>
      <c r="E83" s="158"/>
      <c r="F83" s="125" t="s">
        <v>1251</v>
      </c>
      <c r="G83" s="126"/>
      <c r="H83" s="127">
        <v>0.33333333333333298</v>
      </c>
      <c r="I83" s="109">
        <f t="shared" si="1"/>
        <v>1</v>
      </c>
      <c r="J83" s="134">
        <v>0.9</v>
      </c>
      <c r="K83" s="146"/>
      <c r="L83" s="136"/>
    </row>
    <row r="84" spans="1:12" ht="14.4" customHeight="1">
      <c r="A84" s="253"/>
      <c r="B84" s="244"/>
      <c r="C84" s="249"/>
      <c r="D84" s="132" t="s">
        <v>1191</v>
      </c>
      <c r="E84" s="158"/>
      <c r="F84" s="129" t="s">
        <v>1252</v>
      </c>
      <c r="G84" s="126"/>
      <c r="H84" s="127">
        <v>0.33333333333333298</v>
      </c>
      <c r="I84" s="109">
        <f t="shared" si="1"/>
        <v>1</v>
      </c>
      <c r="J84" s="134">
        <v>0.9</v>
      </c>
      <c r="K84" s="136"/>
      <c r="L84" s="136"/>
    </row>
    <row r="85" spans="1:12" ht="15" customHeight="1" thickBot="1">
      <c r="A85" s="253"/>
      <c r="B85" s="245"/>
      <c r="C85" s="250"/>
      <c r="D85" s="132" t="s">
        <v>1191</v>
      </c>
      <c r="E85" s="133"/>
      <c r="F85" s="128" t="s">
        <v>1253</v>
      </c>
      <c r="G85" s="126">
        <v>0.33333333333333331</v>
      </c>
      <c r="H85" s="131">
        <v>0.33333333333333298</v>
      </c>
      <c r="I85" s="115">
        <f t="shared" si="1"/>
        <v>0</v>
      </c>
      <c r="J85" s="134">
        <v>0.9</v>
      </c>
      <c r="K85" s="136" t="s">
        <v>1479</v>
      </c>
      <c r="L85" s="136"/>
    </row>
    <row r="86" spans="1:12" ht="14.4" customHeight="1">
      <c r="A86" s="253"/>
      <c r="B86" s="251">
        <v>45847</v>
      </c>
      <c r="C86" s="243" t="s">
        <v>1198</v>
      </c>
      <c r="D86" s="78" t="s">
        <v>1194</v>
      </c>
      <c r="E86" s="159"/>
      <c r="F86" s="111" t="s">
        <v>1251</v>
      </c>
      <c r="G86" s="107"/>
      <c r="H86" s="108">
        <v>0.33333333333333298</v>
      </c>
      <c r="I86" s="109">
        <f t="shared" si="1"/>
        <v>1</v>
      </c>
      <c r="J86" s="109">
        <v>0.9</v>
      </c>
      <c r="K86" s="82"/>
      <c r="L86" s="112"/>
    </row>
    <row r="87" spans="1:12" ht="14.4" customHeight="1">
      <c r="A87" s="253"/>
      <c r="B87" s="244"/>
      <c r="C87" s="244"/>
      <c r="D87" s="78" t="s">
        <v>1194</v>
      </c>
      <c r="E87" s="159"/>
      <c r="F87" s="106" t="s">
        <v>1252</v>
      </c>
      <c r="G87" s="107"/>
      <c r="H87" s="108">
        <v>0.33333333333333298</v>
      </c>
      <c r="I87" s="109">
        <f t="shared" si="1"/>
        <v>1</v>
      </c>
      <c r="J87" s="109">
        <v>0.9</v>
      </c>
      <c r="K87" s="82"/>
      <c r="L87" s="82"/>
    </row>
    <row r="88" spans="1:12" ht="14.4" customHeight="1">
      <c r="A88" s="253"/>
      <c r="B88" s="244"/>
      <c r="C88" s="245"/>
      <c r="D88" s="78" t="s">
        <v>1194</v>
      </c>
      <c r="E88" s="113"/>
      <c r="F88" s="114" t="s">
        <v>1253</v>
      </c>
      <c r="G88" s="107">
        <v>0.33333333333333331</v>
      </c>
      <c r="H88" s="108">
        <v>0.33333333333333298</v>
      </c>
      <c r="I88" s="109">
        <f t="shared" si="1"/>
        <v>0</v>
      </c>
      <c r="J88" s="109">
        <v>0.9</v>
      </c>
      <c r="K88" s="82" t="s">
        <v>1479</v>
      </c>
      <c r="L88" s="82"/>
    </row>
    <row r="89" spans="1:12" ht="14.4" customHeight="1">
      <c r="A89" s="253"/>
      <c r="B89" s="244"/>
      <c r="C89" s="248" t="s">
        <v>1196</v>
      </c>
      <c r="D89" s="132" t="s">
        <v>1193</v>
      </c>
      <c r="E89" s="158"/>
      <c r="F89" s="125" t="s">
        <v>1251</v>
      </c>
      <c r="G89" s="126"/>
      <c r="H89" s="127">
        <v>0.33333333333333298</v>
      </c>
      <c r="I89" s="109">
        <f t="shared" si="1"/>
        <v>1</v>
      </c>
      <c r="J89" s="134">
        <v>0.9</v>
      </c>
      <c r="K89" s="135"/>
      <c r="L89" s="136"/>
    </row>
    <row r="90" spans="1:12" ht="14.4" customHeight="1">
      <c r="A90" s="253"/>
      <c r="B90" s="244"/>
      <c r="C90" s="249"/>
      <c r="D90" s="132" t="s">
        <v>1193</v>
      </c>
      <c r="E90" s="158"/>
      <c r="F90" s="129" t="s">
        <v>1252</v>
      </c>
      <c r="G90" s="126"/>
      <c r="H90" s="127">
        <v>0.33333333333333298</v>
      </c>
      <c r="I90" s="109">
        <f t="shared" si="1"/>
        <v>1</v>
      </c>
      <c r="J90" s="134">
        <v>0.9</v>
      </c>
      <c r="K90" s="135"/>
      <c r="L90" s="136"/>
    </row>
    <row r="91" spans="1:12" ht="14.4" customHeight="1">
      <c r="A91" s="253"/>
      <c r="B91" s="244"/>
      <c r="C91" s="250"/>
      <c r="D91" s="132" t="s">
        <v>1193</v>
      </c>
      <c r="E91" s="133"/>
      <c r="F91" s="128" t="s">
        <v>1253</v>
      </c>
      <c r="G91" s="126">
        <v>0.33333333333333331</v>
      </c>
      <c r="H91" s="127">
        <v>0.33333333333333298</v>
      </c>
      <c r="I91" s="109">
        <f t="shared" si="1"/>
        <v>0</v>
      </c>
      <c r="J91" s="134">
        <v>0.9</v>
      </c>
      <c r="K91" s="133" t="s">
        <v>1479</v>
      </c>
      <c r="L91" s="136"/>
    </row>
    <row r="92" spans="1:12" ht="14.4" customHeight="1">
      <c r="A92" s="253"/>
      <c r="B92" s="244"/>
      <c r="C92" s="243" t="s">
        <v>1197</v>
      </c>
      <c r="D92" s="78" t="s">
        <v>1191</v>
      </c>
      <c r="E92" s="159"/>
      <c r="F92" s="111" t="s">
        <v>1251</v>
      </c>
      <c r="G92" s="107"/>
      <c r="H92" s="108">
        <v>0.33333333333333298</v>
      </c>
      <c r="I92" s="109">
        <f t="shared" si="1"/>
        <v>1</v>
      </c>
      <c r="J92" s="109">
        <v>0.9</v>
      </c>
      <c r="K92" s="82"/>
      <c r="L92" s="82"/>
    </row>
    <row r="93" spans="1:12" ht="14.4" customHeight="1">
      <c r="A93" s="253"/>
      <c r="B93" s="244"/>
      <c r="C93" s="244"/>
      <c r="D93" s="78" t="s">
        <v>1191</v>
      </c>
      <c r="E93" s="159"/>
      <c r="F93" s="106" t="s">
        <v>1252</v>
      </c>
      <c r="G93" s="107"/>
      <c r="H93" s="108">
        <v>0.33333333333333298</v>
      </c>
      <c r="I93" s="109">
        <f t="shared" si="1"/>
        <v>1</v>
      </c>
      <c r="J93" s="109">
        <v>0.9</v>
      </c>
      <c r="K93" s="82"/>
      <c r="L93" s="82"/>
    </row>
    <row r="94" spans="1:12" ht="15" customHeight="1" thickBot="1">
      <c r="A94" s="253"/>
      <c r="B94" s="245"/>
      <c r="C94" s="245"/>
      <c r="D94" s="78" t="s">
        <v>1191</v>
      </c>
      <c r="E94" s="113"/>
      <c r="F94" s="114" t="s">
        <v>1253</v>
      </c>
      <c r="G94" s="107">
        <v>0.33333333333333331</v>
      </c>
      <c r="H94" s="108">
        <v>0.33333333333333298</v>
      </c>
      <c r="I94" s="109">
        <f t="shared" si="1"/>
        <v>0</v>
      </c>
      <c r="J94" s="109">
        <v>0.9</v>
      </c>
      <c r="K94" s="82" t="s">
        <v>1479</v>
      </c>
      <c r="L94" s="82"/>
    </row>
    <row r="95" spans="1:12" ht="14.4" customHeight="1">
      <c r="A95" s="253"/>
      <c r="B95" s="251">
        <v>45848</v>
      </c>
      <c r="C95" s="248" t="s">
        <v>1198</v>
      </c>
      <c r="D95" s="132" t="s">
        <v>1192</v>
      </c>
      <c r="E95" s="158"/>
      <c r="F95" s="125" t="s">
        <v>1251</v>
      </c>
      <c r="G95" s="126"/>
      <c r="H95" s="127">
        <v>0.33333333333333298</v>
      </c>
      <c r="I95" s="109">
        <f>1-(G95/H95)</f>
        <v>1</v>
      </c>
      <c r="J95" s="134">
        <v>0.9</v>
      </c>
      <c r="K95" s="135"/>
      <c r="L95" s="137"/>
    </row>
    <row r="96" spans="1:12" ht="14.4" customHeight="1">
      <c r="A96" s="253"/>
      <c r="B96" s="244"/>
      <c r="C96" s="249"/>
      <c r="D96" s="132" t="s">
        <v>1192</v>
      </c>
      <c r="E96" s="158"/>
      <c r="F96" s="129" t="s">
        <v>1252</v>
      </c>
      <c r="G96" s="126"/>
      <c r="H96" s="127">
        <v>0.33333333333333298</v>
      </c>
      <c r="I96" s="109">
        <f>1-(G96/H96)</f>
        <v>1</v>
      </c>
      <c r="J96" s="134">
        <v>0.9</v>
      </c>
      <c r="K96" s="135"/>
      <c r="L96" s="136"/>
    </row>
    <row r="97" spans="1:12" ht="14.4" customHeight="1">
      <c r="A97" s="253"/>
      <c r="B97" s="244"/>
      <c r="C97" s="250"/>
      <c r="D97" s="132" t="s">
        <v>1192</v>
      </c>
      <c r="E97" s="133"/>
      <c r="F97" s="128" t="s">
        <v>1253</v>
      </c>
      <c r="G97" s="126">
        <v>0.33333333333333331</v>
      </c>
      <c r="H97" s="127">
        <v>0.33333333333333298</v>
      </c>
      <c r="I97" s="109">
        <f t="shared" si="1"/>
        <v>0</v>
      </c>
      <c r="J97" s="134">
        <v>0.9</v>
      </c>
      <c r="K97" s="133" t="s">
        <v>1479</v>
      </c>
      <c r="L97" s="136"/>
    </row>
    <row r="98" spans="1:12" ht="14.4" customHeight="1">
      <c r="A98" s="253"/>
      <c r="B98" s="244"/>
      <c r="C98" s="243" t="s">
        <v>1196</v>
      </c>
      <c r="D98" s="78" t="s">
        <v>1194</v>
      </c>
      <c r="E98" s="159"/>
      <c r="F98" s="111" t="s">
        <v>1251</v>
      </c>
      <c r="G98" s="107"/>
      <c r="H98" s="108">
        <v>0.33333333333333298</v>
      </c>
      <c r="I98" s="109">
        <f t="shared" si="1"/>
        <v>1</v>
      </c>
      <c r="J98" s="109">
        <v>0.9</v>
      </c>
      <c r="K98" s="82"/>
      <c r="L98" s="112"/>
    </row>
    <row r="99" spans="1:12" ht="14.4" customHeight="1">
      <c r="A99" s="253"/>
      <c r="B99" s="244"/>
      <c r="C99" s="244"/>
      <c r="D99" s="78" t="s">
        <v>1194</v>
      </c>
      <c r="E99" s="159"/>
      <c r="F99" s="106" t="s">
        <v>1252</v>
      </c>
      <c r="G99" s="107"/>
      <c r="H99" s="108">
        <v>0.33333333333333298</v>
      </c>
      <c r="I99" s="109">
        <f t="shared" si="1"/>
        <v>1</v>
      </c>
      <c r="J99" s="109">
        <v>0.9</v>
      </c>
      <c r="K99" s="82"/>
      <c r="L99" s="82"/>
    </row>
    <row r="100" spans="1:12" ht="14.4" customHeight="1">
      <c r="A100" s="253"/>
      <c r="B100" s="244"/>
      <c r="C100" s="245"/>
      <c r="D100" s="78" t="s">
        <v>1194</v>
      </c>
      <c r="E100" s="113"/>
      <c r="F100" s="114" t="s">
        <v>1253</v>
      </c>
      <c r="G100" s="107">
        <v>0.33333333333333331</v>
      </c>
      <c r="H100" s="108">
        <v>0.33333333333333298</v>
      </c>
      <c r="I100" s="109">
        <f t="shared" si="1"/>
        <v>0</v>
      </c>
      <c r="J100" s="109">
        <v>0.9</v>
      </c>
      <c r="K100" s="82" t="s">
        <v>1479</v>
      </c>
      <c r="L100" s="82"/>
    </row>
    <row r="101" spans="1:12" ht="14.4" customHeight="1">
      <c r="A101" s="253"/>
      <c r="B101" s="244"/>
      <c r="C101" s="248" t="s">
        <v>1197</v>
      </c>
      <c r="D101" s="132" t="s">
        <v>1193</v>
      </c>
      <c r="E101" s="158"/>
      <c r="F101" s="125" t="s">
        <v>1251</v>
      </c>
      <c r="G101" s="126"/>
      <c r="H101" s="127">
        <v>0.33333333333333298</v>
      </c>
      <c r="I101" s="109">
        <f t="shared" si="1"/>
        <v>1</v>
      </c>
      <c r="J101" s="134">
        <v>0.9</v>
      </c>
      <c r="K101" s="135"/>
      <c r="L101" s="136"/>
    </row>
    <row r="102" spans="1:12" ht="14.4" customHeight="1">
      <c r="A102" s="253"/>
      <c r="B102" s="244"/>
      <c r="C102" s="249"/>
      <c r="D102" s="132" t="s">
        <v>1193</v>
      </c>
      <c r="E102" s="158"/>
      <c r="F102" s="129" t="s">
        <v>1252</v>
      </c>
      <c r="G102" s="126"/>
      <c r="H102" s="127">
        <v>0.33333333333333298</v>
      </c>
      <c r="I102" s="109">
        <f t="shared" si="1"/>
        <v>1</v>
      </c>
      <c r="J102" s="134">
        <v>0.9</v>
      </c>
      <c r="K102" s="135"/>
      <c r="L102" s="136"/>
    </row>
    <row r="103" spans="1:12" ht="15" customHeight="1" thickBot="1">
      <c r="A103" s="253"/>
      <c r="B103" s="245"/>
      <c r="C103" s="250"/>
      <c r="D103" s="132" t="s">
        <v>1193</v>
      </c>
      <c r="E103" s="133"/>
      <c r="F103" s="128" t="s">
        <v>1253</v>
      </c>
      <c r="G103" s="126">
        <v>0.33333333333333331</v>
      </c>
      <c r="H103" s="127">
        <v>0.33333333333333298</v>
      </c>
      <c r="I103" s="109">
        <f t="shared" si="1"/>
        <v>0</v>
      </c>
      <c r="J103" s="134">
        <v>0.9</v>
      </c>
      <c r="K103" s="133" t="s">
        <v>1479</v>
      </c>
      <c r="L103" s="136"/>
    </row>
    <row r="104" spans="1:12" ht="14.4" customHeight="1">
      <c r="A104" s="253"/>
      <c r="B104" s="251">
        <v>45849</v>
      </c>
      <c r="C104" s="243" t="s">
        <v>1198</v>
      </c>
      <c r="D104" s="78" t="s">
        <v>1192</v>
      </c>
      <c r="E104" s="159"/>
      <c r="F104" s="111" t="s">
        <v>1251</v>
      </c>
      <c r="G104" s="107"/>
      <c r="H104" s="108">
        <v>0.33333333333333298</v>
      </c>
      <c r="I104" s="109">
        <f t="shared" si="1"/>
        <v>1</v>
      </c>
      <c r="J104" s="109">
        <v>0.9</v>
      </c>
      <c r="K104" s="82"/>
      <c r="L104" s="112"/>
    </row>
    <row r="105" spans="1:12" ht="14.4" customHeight="1">
      <c r="A105" s="253"/>
      <c r="B105" s="244"/>
      <c r="C105" s="244"/>
      <c r="D105" s="78" t="s">
        <v>1192</v>
      </c>
      <c r="E105" s="159"/>
      <c r="F105" s="106" t="s">
        <v>1252</v>
      </c>
      <c r="G105" s="107"/>
      <c r="H105" s="108">
        <v>0.33333333333333298</v>
      </c>
      <c r="I105" s="109">
        <f t="shared" si="1"/>
        <v>1</v>
      </c>
      <c r="J105" s="109">
        <v>0.9</v>
      </c>
      <c r="K105" s="82"/>
      <c r="L105" s="82"/>
    </row>
    <row r="106" spans="1:12" ht="14.4" customHeight="1">
      <c r="A106" s="253"/>
      <c r="B106" s="244"/>
      <c r="C106" s="245"/>
      <c r="D106" s="78" t="s">
        <v>1192</v>
      </c>
      <c r="E106" s="113"/>
      <c r="F106" s="114" t="s">
        <v>1253</v>
      </c>
      <c r="G106" s="107">
        <v>0.33333333333333331</v>
      </c>
      <c r="H106" s="108">
        <v>0.33333333333333298</v>
      </c>
      <c r="I106" s="109">
        <f t="shared" si="1"/>
        <v>0</v>
      </c>
      <c r="J106" s="109">
        <v>0.9</v>
      </c>
      <c r="K106" s="82" t="s">
        <v>1479</v>
      </c>
      <c r="L106" s="82"/>
    </row>
    <row r="107" spans="1:12" ht="14.4" customHeight="1">
      <c r="A107" s="253"/>
      <c r="B107" s="244"/>
      <c r="C107" s="248" t="s">
        <v>1196</v>
      </c>
      <c r="D107" s="132" t="s">
        <v>1194</v>
      </c>
      <c r="E107" s="158"/>
      <c r="F107" s="125" t="s">
        <v>1251</v>
      </c>
      <c r="G107" s="126"/>
      <c r="H107" s="127">
        <v>0.33333333333333298</v>
      </c>
      <c r="I107" s="109">
        <f t="shared" si="1"/>
        <v>1</v>
      </c>
      <c r="J107" s="134">
        <v>0.9</v>
      </c>
      <c r="K107" s="137"/>
      <c r="L107" s="137"/>
    </row>
    <row r="108" spans="1:12" ht="14.4" customHeight="1">
      <c r="A108" s="253"/>
      <c r="B108" s="244"/>
      <c r="C108" s="249"/>
      <c r="D108" s="132" t="s">
        <v>1194</v>
      </c>
      <c r="E108" s="158"/>
      <c r="F108" s="129" t="s">
        <v>1252</v>
      </c>
      <c r="G108" s="126"/>
      <c r="H108" s="127">
        <v>0.33333333333333298</v>
      </c>
      <c r="I108" s="109">
        <f t="shared" si="1"/>
        <v>1</v>
      </c>
      <c r="J108" s="134">
        <v>0.9</v>
      </c>
      <c r="K108" s="135"/>
      <c r="L108" s="136"/>
    </row>
    <row r="109" spans="1:12" ht="14.4" customHeight="1">
      <c r="A109" s="253"/>
      <c r="B109" s="244"/>
      <c r="C109" s="250"/>
      <c r="D109" s="132" t="s">
        <v>1194</v>
      </c>
      <c r="E109" s="133"/>
      <c r="F109" s="128" t="s">
        <v>1253</v>
      </c>
      <c r="G109" s="126">
        <v>0.33333333333333331</v>
      </c>
      <c r="H109" s="127">
        <v>0.33333333333333298</v>
      </c>
      <c r="I109" s="109">
        <f t="shared" si="1"/>
        <v>0</v>
      </c>
      <c r="J109" s="134">
        <v>0.9</v>
      </c>
      <c r="K109" s="133" t="s">
        <v>1479</v>
      </c>
      <c r="L109" s="136"/>
    </row>
    <row r="110" spans="1:12" ht="14.4" customHeight="1">
      <c r="A110" s="253"/>
      <c r="B110" s="244"/>
      <c r="C110" s="243" t="s">
        <v>1197</v>
      </c>
      <c r="D110" s="78" t="s">
        <v>1193</v>
      </c>
      <c r="E110" s="159"/>
      <c r="F110" s="111" t="s">
        <v>1251</v>
      </c>
      <c r="G110" s="107"/>
      <c r="H110" s="108">
        <v>0.33333333333333298</v>
      </c>
      <c r="I110" s="109">
        <f t="shared" si="1"/>
        <v>1</v>
      </c>
      <c r="J110" s="109">
        <v>0.9</v>
      </c>
      <c r="K110" s="82"/>
      <c r="L110" s="82"/>
    </row>
    <row r="111" spans="1:12" ht="14.4" customHeight="1">
      <c r="A111" s="253"/>
      <c r="B111" s="244"/>
      <c r="C111" s="244"/>
      <c r="D111" s="78" t="s">
        <v>1193</v>
      </c>
      <c r="E111" s="159"/>
      <c r="F111" s="106" t="s">
        <v>1252</v>
      </c>
      <c r="G111" s="107"/>
      <c r="H111" s="108">
        <v>0.33333333333333298</v>
      </c>
      <c r="I111" s="109">
        <f t="shared" si="1"/>
        <v>1</v>
      </c>
      <c r="J111" s="109">
        <v>0.9</v>
      </c>
      <c r="K111" s="82"/>
      <c r="L111" s="82"/>
    </row>
    <row r="112" spans="1:12" ht="14.4" customHeight="1" thickBot="1">
      <c r="A112" s="253"/>
      <c r="B112" s="245"/>
      <c r="C112" s="245"/>
      <c r="D112" s="78" t="s">
        <v>1193</v>
      </c>
      <c r="E112" s="113"/>
      <c r="F112" s="114" t="s">
        <v>1253</v>
      </c>
      <c r="G112" s="122">
        <v>0.33333333333333331</v>
      </c>
      <c r="H112" s="123">
        <v>0.33333333333333298</v>
      </c>
      <c r="I112" s="109">
        <f t="shared" si="1"/>
        <v>0</v>
      </c>
      <c r="J112" s="109">
        <v>0.9</v>
      </c>
      <c r="K112" s="82" t="s">
        <v>1479</v>
      </c>
      <c r="L112" s="82"/>
    </row>
    <row r="113" spans="1:12" ht="14.4" customHeight="1">
      <c r="A113" s="253"/>
      <c r="B113" s="251">
        <v>45850</v>
      </c>
      <c r="C113" s="248" t="s">
        <v>1198</v>
      </c>
      <c r="D113" s="132" t="s">
        <v>1191</v>
      </c>
      <c r="E113" s="158"/>
      <c r="F113" s="125" t="s">
        <v>1251</v>
      </c>
      <c r="G113" s="126"/>
      <c r="H113" s="127">
        <v>0.33333333333333298</v>
      </c>
      <c r="I113" s="109">
        <f>1-(G113/H113)</f>
        <v>1</v>
      </c>
      <c r="J113" s="134">
        <v>0.9</v>
      </c>
      <c r="K113" s="135" t="s">
        <v>1481</v>
      </c>
      <c r="L113" s="137"/>
    </row>
    <row r="114" spans="1:12" ht="14.4" customHeight="1">
      <c r="A114" s="253"/>
      <c r="B114" s="244"/>
      <c r="C114" s="249"/>
      <c r="D114" s="132" t="s">
        <v>1191</v>
      </c>
      <c r="E114" s="158"/>
      <c r="F114" s="129" t="s">
        <v>1252</v>
      </c>
      <c r="G114" s="126"/>
      <c r="H114" s="127">
        <v>0.33333333333333298</v>
      </c>
      <c r="I114" s="109">
        <f>1-(G114/H114)</f>
        <v>1</v>
      </c>
      <c r="J114" s="134">
        <v>0.9</v>
      </c>
      <c r="K114" s="135"/>
      <c r="L114" s="136"/>
    </row>
    <row r="115" spans="1:12" ht="14.4" customHeight="1">
      <c r="A115" s="253"/>
      <c r="B115" s="244"/>
      <c r="C115" s="250"/>
      <c r="D115" s="132" t="s">
        <v>1191</v>
      </c>
      <c r="E115" s="133"/>
      <c r="F115" s="128" t="s">
        <v>1253</v>
      </c>
      <c r="G115" s="126">
        <v>0.33333333333333331</v>
      </c>
      <c r="H115" s="127">
        <v>0.33333333333333298</v>
      </c>
      <c r="I115" s="109">
        <f t="shared" ref="I115:I130" si="2">1-(G115/H115)</f>
        <v>0</v>
      </c>
      <c r="J115" s="134">
        <v>0.9</v>
      </c>
      <c r="K115" s="133"/>
      <c r="L115" s="136"/>
    </row>
    <row r="116" spans="1:12" ht="14.4" customHeight="1">
      <c r="A116" s="253"/>
      <c r="B116" s="244"/>
      <c r="C116" s="243" t="s">
        <v>1196</v>
      </c>
      <c r="D116" s="78" t="s">
        <v>1192</v>
      </c>
      <c r="E116" s="159"/>
      <c r="F116" s="111" t="s">
        <v>1251</v>
      </c>
      <c r="G116" s="107"/>
      <c r="H116" s="108">
        <v>0.33333333333333298</v>
      </c>
      <c r="I116" s="109">
        <f t="shared" si="2"/>
        <v>1</v>
      </c>
      <c r="J116" s="109">
        <v>0.9</v>
      </c>
      <c r="K116" s="82"/>
      <c r="L116" s="112"/>
    </row>
    <row r="117" spans="1:12" ht="14.4" customHeight="1">
      <c r="A117" s="253"/>
      <c r="B117" s="244"/>
      <c r="C117" s="244"/>
      <c r="D117" s="78" t="s">
        <v>1192</v>
      </c>
      <c r="E117" s="159"/>
      <c r="F117" s="106" t="s">
        <v>1252</v>
      </c>
      <c r="G117" s="107"/>
      <c r="H117" s="108">
        <v>0.33333333333333298</v>
      </c>
      <c r="I117" s="109">
        <f t="shared" si="2"/>
        <v>1</v>
      </c>
      <c r="J117" s="109">
        <v>0.9</v>
      </c>
      <c r="K117" s="82"/>
      <c r="L117" s="82"/>
    </row>
    <row r="118" spans="1:12" ht="14.4" customHeight="1">
      <c r="A118" s="253"/>
      <c r="B118" s="244"/>
      <c r="C118" s="245"/>
      <c r="D118" s="78" t="s">
        <v>1192</v>
      </c>
      <c r="E118" s="113"/>
      <c r="F118" s="114" t="s">
        <v>1253</v>
      </c>
      <c r="G118" s="107">
        <v>0.33333333333333331</v>
      </c>
      <c r="H118" s="108">
        <v>0.33333333333333298</v>
      </c>
      <c r="I118" s="109">
        <f t="shared" si="2"/>
        <v>0</v>
      </c>
      <c r="J118" s="109">
        <v>0.9</v>
      </c>
      <c r="K118" s="82"/>
      <c r="L118" s="82"/>
    </row>
    <row r="119" spans="1:12" ht="14.4" customHeight="1">
      <c r="A119" s="253"/>
      <c r="B119" s="244"/>
      <c r="C119" s="248" t="s">
        <v>1197</v>
      </c>
      <c r="D119" s="132" t="s">
        <v>1194</v>
      </c>
      <c r="E119" s="158"/>
      <c r="F119" s="125" t="s">
        <v>1251</v>
      </c>
      <c r="G119" s="126"/>
      <c r="H119" s="127">
        <v>0.33333333333333298</v>
      </c>
      <c r="I119" s="109">
        <f t="shared" si="2"/>
        <v>1</v>
      </c>
      <c r="J119" s="134">
        <v>0.9</v>
      </c>
      <c r="K119" s="135" t="s">
        <v>1481</v>
      </c>
      <c r="L119" s="136"/>
    </row>
    <row r="120" spans="1:12" ht="14.4" customHeight="1">
      <c r="A120" s="253"/>
      <c r="B120" s="244"/>
      <c r="C120" s="249"/>
      <c r="D120" s="132" t="s">
        <v>1194</v>
      </c>
      <c r="E120" s="158"/>
      <c r="F120" s="129" t="s">
        <v>1252</v>
      </c>
      <c r="G120" s="126"/>
      <c r="H120" s="127">
        <v>0.33333333333333298</v>
      </c>
      <c r="I120" s="109">
        <f t="shared" si="2"/>
        <v>1</v>
      </c>
      <c r="J120" s="134">
        <v>0.9</v>
      </c>
      <c r="K120" s="135"/>
      <c r="L120" s="136"/>
    </row>
    <row r="121" spans="1:12" ht="14.4" customHeight="1" thickBot="1">
      <c r="A121" s="253"/>
      <c r="B121" s="245"/>
      <c r="C121" s="250"/>
      <c r="D121" s="132" t="s">
        <v>1194</v>
      </c>
      <c r="E121" s="133"/>
      <c r="F121" s="128" t="s">
        <v>1253</v>
      </c>
      <c r="G121" s="126">
        <v>0.33333333333333331</v>
      </c>
      <c r="H121" s="127">
        <v>0.33333333333333298</v>
      </c>
      <c r="I121" s="109">
        <f t="shared" si="2"/>
        <v>0</v>
      </c>
      <c r="J121" s="134">
        <v>0.9</v>
      </c>
      <c r="K121" s="133"/>
      <c r="L121" s="136"/>
    </row>
    <row r="122" spans="1:12" ht="14.4" customHeight="1">
      <c r="A122" s="253"/>
      <c r="B122" s="251">
        <v>45851</v>
      </c>
      <c r="C122" s="243" t="s">
        <v>1198</v>
      </c>
      <c r="D122" s="78" t="s">
        <v>1191</v>
      </c>
      <c r="E122" s="159"/>
      <c r="F122" s="111" t="s">
        <v>1251</v>
      </c>
      <c r="G122" s="107"/>
      <c r="H122" s="108">
        <v>0.33333333333333298</v>
      </c>
      <c r="I122" s="109">
        <f t="shared" si="2"/>
        <v>1</v>
      </c>
      <c r="J122" s="109">
        <v>0.9</v>
      </c>
      <c r="K122" s="82" t="s">
        <v>1481</v>
      </c>
      <c r="L122" s="112"/>
    </row>
    <row r="123" spans="1:12" ht="14.4" customHeight="1">
      <c r="A123" s="253"/>
      <c r="B123" s="244"/>
      <c r="C123" s="244"/>
      <c r="D123" s="78" t="s">
        <v>1191</v>
      </c>
      <c r="E123" s="159"/>
      <c r="F123" s="106" t="s">
        <v>1252</v>
      </c>
      <c r="G123" s="107"/>
      <c r="H123" s="108">
        <v>0.33333333333333298</v>
      </c>
      <c r="I123" s="109">
        <f t="shared" si="2"/>
        <v>1</v>
      </c>
      <c r="J123" s="109">
        <v>0.9</v>
      </c>
      <c r="K123" s="82"/>
      <c r="L123" s="82"/>
    </row>
    <row r="124" spans="1:12" ht="14.4" customHeight="1">
      <c r="A124" s="253"/>
      <c r="B124" s="244"/>
      <c r="C124" s="245"/>
      <c r="D124" s="78" t="s">
        <v>1191</v>
      </c>
      <c r="E124" s="113"/>
      <c r="F124" s="114" t="s">
        <v>1253</v>
      </c>
      <c r="G124" s="107">
        <v>0.33333333333333331</v>
      </c>
      <c r="H124" s="108">
        <v>0.33333333333333298</v>
      </c>
      <c r="I124" s="109">
        <f t="shared" si="2"/>
        <v>0</v>
      </c>
      <c r="J124" s="109">
        <v>0.9</v>
      </c>
      <c r="K124" s="82"/>
      <c r="L124" s="82"/>
    </row>
    <row r="125" spans="1:12" ht="14.4" customHeight="1">
      <c r="A125" s="253"/>
      <c r="B125" s="244"/>
      <c r="C125" s="248" t="s">
        <v>1196</v>
      </c>
      <c r="D125" s="132" t="s">
        <v>1192</v>
      </c>
      <c r="E125" s="158"/>
      <c r="F125" s="125" t="s">
        <v>1251</v>
      </c>
      <c r="G125" s="126"/>
      <c r="H125" s="127">
        <v>0.33333333333333298</v>
      </c>
      <c r="I125" s="109">
        <f t="shared" si="2"/>
        <v>1</v>
      </c>
      <c r="J125" s="134">
        <v>0.9</v>
      </c>
      <c r="K125" s="137" t="s">
        <v>1481</v>
      </c>
      <c r="L125" s="137"/>
    </row>
    <row r="126" spans="1:12" ht="14.4" customHeight="1">
      <c r="A126" s="253"/>
      <c r="B126" s="244"/>
      <c r="C126" s="249"/>
      <c r="D126" s="132" t="s">
        <v>1192</v>
      </c>
      <c r="E126" s="158"/>
      <c r="F126" s="129" t="s">
        <v>1252</v>
      </c>
      <c r="G126" s="126"/>
      <c r="H126" s="127">
        <v>0.33333333333333298</v>
      </c>
      <c r="I126" s="109">
        <f t="shared" si="2"/>
        <v>1</v>
      </c>
      <c r="J126" s="134">
        <v>0.9</v>
      </c>
      <c r="K126" s="135"/>
      <c r="L126" s="136"/>
    </row>
    <row r="127" spans="1:12" ht="14.4" customHeight="1">
      <c r="A127" s="253"/>
      <c r="B127" s="244"/>
      <c r="C127" s="250"/>
      <c r="D127" s="132" t="s">
        <v>1192</v>
      </c>
      <c r="E127" s="133"/>
      <c r="F127" s="128" t="s">
        <v>1253</v>
      </c>
      <c r="G127" s="126">
        <v>0.33333333333333331</v>
      </c>
      <c r="H127" s="127">
        <v>0.33333333333333298</v>
      </c>
      <c r="I127" s="109">
        <f t="shared" si="2"/>
        <v>0</v>
      </c>
      <c r="J127" s="134">
        <v>0.9</v>
      </c>
      <c r="K127" s="133"/>
      <c r="L127" s="136"/>
    </row>
    <row r="128" spans="1:12" ht="14.4" customHeight="1">
      <c r="A128" s="253"/>
      <c r="B128" s="244"/>
      <c r="C128" s="243" t="s">
        <v>1197</v>
      </c>
      <c r="D128" s="78" t="s">
        <v>1194</v>
      </c>
      <c r="E128" s="159"/>
      <c r="F128" s="111" t="s">
        <v>1251</v>
      </c>
      <c r="G128" s="107"/>
      <c r="H128" s="108">
        <v>0.33333333333333298</v>
      </c>
      <c r="I128" s="109">
        <f t="shared" si="2"/>
        <v>1</v>
      </c>
      <c r="J128" s="109">
        <v>0.9</v>
      </c>
      <c r="K128" s="82" t="s">
        <v>1481</v>
      </c>
      <c r="L128" s="82"/>
    </row>
    <row r="129" spans="1:12" ht="14.4" customHeight="1">
      <c r="A129" s="253"/>
      <c r="B129" s="244"/>
      <c r="C129" s="244"/>
      <c r="D129" s="78" t="s">
        <v>1194</v>
      </c>
      <c r="E129" s="159"/>
      <c r="F129" s="106" t="s">
        <v>1252</v>
      </c>
      <c r="G129" s="107">
        <v>2.0833333333333332E-2</v>
      </c>
      <c r="H129" s="108">
        <v>0.33333333333333298</v>
      </c>
      <c r="I129" s="109">
        <f t="shared" si="2"/>
        <v>0.93749999999999989</v>
      </c>
      <c r="J129" s="109">
        <v>0.9</v>
      </c>
      <c r="K129" s="82" t="s">
        <v>1482</v>
      </c>
      <c r="L129" s="82"/>
    </row>
    <row r="130" spans="1:12" ht="14.4" customHeight="1">
      <c r="A130" s="253"/>
      <c r="B130" s="245"/>
      <c r="C130" s="245"/>
      <c r="D130" s="78" t="s">
        <v>1194</v>
      </c>
      <c r="E130" s="113"/>
      <c r="F130" s="114" t="s">
        <v>1253</v>
      </c>
      <c r="G130" s="122">
        <v>0.33333333333333331</v>
      </c>
      <c r="H130" s="123">
        <v>0.33333333333333298</v>
      </c>
      <c r="I130" s="109">
        <f t="shared" si="2"/>
        <v>0</v>
      </c>
      <c r="J130" s="109">
        <v>0.9</v>
      </c>
      <c r="K130" s="82" t="s">
        <v>1481</v>
      </c>
      <c r="L130" s="82"/>
    </row>
    <row r="131" spans="1:12" ht="14.4" customHeight="1">
      <c r="A131" s="253"/>
      <c r="B131" s="117"/>
      <c r="C131" s="117"/>
      <c r="D131" s="118"/>
      <c r="E131" s="118"/>
      <c r="F131" s="119" t="s">
        <v>1251</v>
      </c>
      <c r="G131" s="124"/>
      <c r="H131" s="124"/>
      <c r="I131" s="120">
        <f>AVERAGEIF(F68:F130,F131,I68:I130)</f>
        <v>0.9821428571428571</v>
      </c>
      <c r="J131" s="121">
        <v>0.9</v>
      </c>
      <c r="K131" s="118"/>
      <c r="L131" s="116"/>
    </row>
    <row r="132" spans="1:12" ht="14.4" customHeight="1">
      <c r="A132" s="253"/>
      <c r="B132" s="117"/>
      <c r="C132" s="117"/>
      <c r="D132" s="118"/>
      <c r="E132" s="118"/>
      <c r="F132" s="119" t="s">
        <v>1252</v>
      </c>
      <c r="G132" s="124"/>
      <c r="H132" s="124"/>
      <c r="I132" s="120">
        <f>AVERAGEIF(F68:F130,F132,I68:I130)</f>
        <v>0.97916666666666663</v>
      </c>
      <c r="J132" s="121">
        <v>0.9</v>
      </c>
      <c r="K132" s="118"/>
      <c r="L132" s="116"/>
    </row>
    <row r="133" spans="1:12" ht="15" customHeight="1" thickBot="1">
      <c r="A133" s="253"/>
      <c r="B133" s="117"/>
      <c r="C133" s="117"/>
      <c r="D133" s="118"/>
      <c r="E133" s="118"/>
      <c r="F133" s="119" t="s">
        <v>1253</v>
      </c>
      <c r="G133" s="124"/>
      <c r="H133" s="124"/>
      <c r="I133" s="120">
        <f>AVERAGEIF(F68:F130,F133,I68:I130)</f>
        <v>7.7380952380952356E-2</v>
      </c>
      <c r="J133" s="121">
        <v>0.9</v>
      </c>
      <c r="K133" s="118"/>
      <c r="L133" s="116"/>
    </row>
    <row r="134" spans="1:12" ht="14.4" customHeight="1">
      <c r="A134" s="252" t="s">
        <v>1202</v>
      </c>
      <c r="B134" s="251">
        <v>45852</v>
      </c>
      <c r="C134" s="243" t="s">
        <v>1198</v>
      </c>
      <c r="D134" s="110" t="s">
        <v>1201</v>
      </c>
      <c r="E134" s="156"/>
      <c r="F134" s="111" t="s">
        <v>1251</v>
      </c>
      <c r="G134" s="107"/>
      <c r="H134" s="108">
        <v>0.33333333333333331</v>
      </c>
      <c r="I134" s="109">
        <f>1-(G134/H134)</f>
        <v>1</v>
      </c>
      <c r="J134" s="109">
        <v>0.9</v>
      </c>
      <c r="K134" s="82"/>
      <c r="L134" s="82"/>
    </row>
    <row r="135" spans="1:12" ht="14.4" customHeight="1">
      <c r="A135" s="253"/>
      <c r="B135" s="244"/>
      <c r="C135" s="244"/>
      <c r="D135" s="110" t="s">
        <v>1201</v>
      </c>
      <c r="E135" s="156"/>
      <c r="F135" s="111" t="s">
        <v>1252</v>
      </c>
      <c r="G135" s="107"/>
      <c r="H135" s="108">
        <v>0.33333333333333331</v>
      </c>
      <c r="I135" s="109">
        <f>1-(G135/H135)</f>
        <v>1</v>
      </c>
      <c r="J135" s="109">
        <v>0.9</v>
      </c>
      <c r="K135" s="82"/>
      <c r="L135" s="82"/>
    </row>
    <row r="136" spans="1:12" ht="14.4" customHeight="1">
      <c r="A136" s="253"/>
      <c r="B136" s="244"/>
      <c r="C136" s="245"/>
      <c r="D136" s="110" t="s">
        <v>1201</v>
      </c>
      <c r="E136" s="157"/>
      <c r="F136" s="114" t="s">
        <v>1253</v>
      </c>
      <c r="G136" s="107"/>
      <c r="H136" s="108">
        <v>0.33333333333333298</v>
      </c>
      <c r="I136" s="109">
        <f t="shared" ref="I136:I196" si="3">1-(G136/H136)</f>
        <v>1</v>
      </c>
      <c r="J136" s="109">
        <v>0.9</v>
      </c>
      <c r="K136" s="82"/>
      <c r="L136" s="82"/>
    </row>
    <row r="137" spans="1:12" ht="14.4" customHeight="1">
      <c r="A137" s="253"/>
      <c r="B137" s="244"/>
      <c r="C137" s="248" t="s">
        <v>1196</v>
      </c>
      <c r="D137" s="132"/>
      <c r="E137" s="158"/>
      <c r="F137" s="125" t="s">
        <v>1251</v>
      </c>
      <c r="G137" s="126"/>
      <c r="H137" s="127">
        <v>0.33333333333333298</v>
      </c>
      <c r="I137" s="109">
        <f t="shared" si="3"/>
        <v>1</v>
      </c>
      <c r="J137" s="134">
        <v>0.9</v>
      </c>
      <c r="K137" s="82"/>
      <c r="L137" s="136"/>
    </row>
    <row r="138" spans="1:12" ht="14.4" customHeight="1">
      <c r="A138" s="253"/>
      <c r="B138" s="244"/>
      <c r="C138" s="249"/>
      <c r="D138" s="132"/>
      <c r="E138" s="158"/>
      <c r="F138" s="125" t="s">
        <v>1252</v>
      </c>
      <c r="G138" s="126"/>
      <c r="H138" s="127">
        <v>0.33333333333333298</v>
      </c>
      <c r="I138" s="109">
        <f t="shared" si="3"/>
        <v>1</v>
      </c>
      <c r="J138" s="134">
        <v>0.9</v>
      </c>
      <c r="K138" s="135"/>
      <c r="L138" s="136"/>
    </row>
    <row r="139" spans="1:12" ht="14.4" customHeight="1">
      <c r="A139" s="253"/>
      <c r="B139" s="244"/>
      <c r="C139" s="250"/>
      <c r="D139" s="132"/>
      <c r="E139" s="133"/>
      <c r="F139" s="128" t="s">
        <v>1253</v>
      </c>
      <c r="G139" s="126"/>
      <c r="H139" s="127">
        <v>0.33333333333333298</v>
      </c>
      <c r="I139" s="109">
        <f t="shared" si="3"/>
        <v>1</v>
      </c>
      <c r="J139" s="134">
        <v>0.9</v>
      </c>
      <c r="K139" s="133"/>
      <c r="L139" s="136"/>
    </row>
    <row r="140" spans="1:12" ht="14.4" customHeight="1">
      <c r="A140" s="253"/>
      <c r="B140" s="244"/>
      <c r="C140" s="243" t="s">
        <v>1197</v>
      </c>
      <c r="D140" s="78" t="s">
        <v>1192</v>
      </c>
      <c r="E140" s="159"/>
      <c r="F140" s="111" t="s">
        <v>1251</v>
      </c>
      <c r="G140" s="108">
        <v>7.2916666666666671E-2</v>
      </c>
      <c r="H140" s="108">
        <v>0.33333333333333298</v>
      </c>
      <c r="I140" s="109">
        <f t="shared" si="3"/>
        <v>0.78124999999999978</v>
      </c>
      <c r="J140" s="109">
        <v>0.9</v>
      </c>
      <c r="K140" s="82" t="s">
        <v>1483</v>
      </c>
      <c r="L140" s="112"/>
    </row>
    <row r="141" spans="1:12" ht="14.4" customHeight="1">
      <c r="A141" s="253"/>
      <c r="B141" s="244"/>
      <c r="C141" s="244"/>
      <c r="D141" s="78" t="s">
        <v>1192</v>
      </c>
      <c r="E141" s="159"/>
      <c r="F141" s="111" t="s">
        <v>1252</v>
      </c>
      <c r="G141" s="108">
        <v>7.2916666666666671E-2</v>
      </c>
      <c r="H141" s="108">
        <v>0.33333333333333298</v>
      </c>
      <c r="I141" s="109">
        <f t="shared" si="3"/>
        <v>0.78124999999999978</v>
      </c>
      <c r="J141" s="109">
        <v>0.9</v>
      </c>
      <c r="K141" s="82" t="s">
        <v>1483</v>
      </c>
      <c r="L141" s="82"/>
    </row>
    <row r="142" spans="1:12" ht="15" customHeight="1" thickBot="1">
      <c r="A142" s="253"/>
      <c r="B142" s="245"/>
      <c r="C142" s="245"/>
      <c r="D142" s="78" t="s">
        <v>1192</v>
      </c>
      <c r="E142" s="113"/>
      <c r="F142" s="114" t="s">
        <v>1253</v>
      </c>
      <c r="G142" s="108">
        <v>0.33333333333333298</v>
      </c>
      <c r="H142" s="108">
        <v>0.33333333333333298</v>
      </c>
      <c r="I142" s="109">
        <f t="shared" si="3"/>
        <v>0</v>
      </c>
      <c r="J142" s="109">
        <v>0.9</v>
      </c>
      <c r="K142" s="82" t="s">
        <v>1479</v>
      </c>
      <c r="L142" s="82"/>
    </row>
    <row r="143" spans="1:12" ht="14.4" customHeight="1">
      <c r="A143" s="253"/>
      <c r="B143" s="251">
        <v>45853</v>
      </c>
      <c r="C143" s="248" t="s">
        <v>1198</v>
      </c>
      <c r="D143" s="132" t="s">
        <v>1193</v>
      </c>
      <c r="E143" s="158"/>
      <c r="F143" s="125" t="s">
        <v>1251</v>
      </c>
      <c r="G143" s="126"/>
      <c r="H143" s="127">
        <v>0.33333333333333298</v>
      </c>
      <c r="I143" s="109">
        <f t="shared" si="3"/>
        <v>1</v>
      </c>
      <c r="J143" s="134">
        <v>0.9</v>
      </c>
      <c r="K143" s="135"/>
      <c r="L143" s="137"/>
    </row>
    <row r="144" spans="1:12" ht="14.4" customHeight="1">
      <c r="A144" s="253"/>
      <c r="B144" s="244"/>
      <c r="C144" s="249"/>
      <c r="D144" s="132" t="s">
        <v>1193</v>
      </c>
      <c r="E144" s="158"/>
      <c r="F144" s="125" t="s">
        <v>1252</v>
      </c>
      <c r="G144" s="126"/>
      <c r="H144" s="127">
        <v>0.33333333333333298</v>
      </c>
      <c r="I144" s="109">
        <f t="shared" si="3"/>
        <v>1</v>
      </c>
      <c r="J144" s="134">
        <v>0.9</v>
      </c>
      <c r="K144" s="135"/>
      <c r="L144" s="136"/>
    </row>
    <row r="145" spans="1:12" ht="14.4" customHeight="1">
      <c r="A145" s="253"/>
      <c r="B145" s="244"/>
      <c r="C145" s="250"/>
      <c r="D145" s="132" t="s">
        <v>1193</v>
      </c>
      <c r="E145" s="133"/>
      <c r="F145" s="128" t="s">
        <v>1253</v>
      </c>
      <c r="G145" s="126">
        <v>0.33333333333333331</v>
      </c>
      <c r="H145" s="127">
        <v>0.33333333333333331</v>
      </c>
      <c r="I145" s="109">
        <f t="shared" si="3"/>
        <v>0</v>
      </c>
      <c r="J145" s="134">
        <v>0.9</v>
      </c>
      <c r="K145" s="133"/>
      <c r="L145" s="136"/>
    </row>
    <row r="146" spans="1:12" ht="14.4" customHeight="1">
      <c r="A146" s="253"/>
      <c r="B146" s="244"/>
      <c r="C146" s="243" t="s">
        <v>1196</v>
      </c>
      <c r="D146" s="78" t="s">
        <v>1191</v>
      </c>
      <c r="E146" s="159"/>
      <c r="F146" s="111" t="s">
        <v>1251</v>
      </c>
      <c r="G146" s="107"/>
      <c r="H146" s="108">
        <v>0.33333333333333298</v>
      </c>
      <c r="I146" s="109">
        <f t="shared" si="3"/>
        <v>1</v>
      </c>
      <c r="J146" s="109">
        <v>0.9</v>
      </c>
      <c r="K146" s="82"/>
      <c r="L146" s="112"/>
    </row>
    <row r="147" spans="1:12" ht="14.4" customHeight="1">
      <c r="A147" s="253"/>
      <c r="B147" s="244"/>
      <c r="C147" s="244"/>
      <c r="D147" s="78" t="s">
        <v>1191</v>
      </c>
      <c r="E147" s="159"/>
      <c r="F147" s="111" t="s">
        <v>1252</v>
      </c>
      <c r="G147" s="107"/>
      <c r="H147" s="108">
        <v>0.33333333333333298</v>
      </c>
      <c r="I147" s="109">
        <f t="shared" si="3"/>
        <v>1</v>
      </c>
      <c r="J147" s="109">
        <v>0.9</v>
      </c>
      <c r="K147" s="82"/>
      <c r="L147" s="82"/>
    </row>
    <row r="148" spans="1:12" ht="14.4" customHeight="1">
      <c r="A148" s="253"/>
      <c r="B148" s="244"/>
      <c r="C148" s="245"/>
      <c r="D148" s="78" t="s">
        <v>1191</v>
      </c>
      <c r="E148" s="113"/>
      <c r="F148" s="114" t="s">
        <v>1253</v>
      </c>
      <c r="G148" s="107">
        <v>0.33333333333333331</v>
      </c>
      <c r="H148" s="108">
        <v>0.33333333333333298</v>
      </c>
      <c r="I148" s="109">
        <f t="shared" si="3"/>
        <v>0</v>
      </c>
      <c r="J148" s="109">
        <v>0.9</v>
      </c>
      <c r="K148" s="82"/>
      <c r="L148" s="82"/>
    </row>
    <row r="149" spans="1:12" ht="14.4" customHeight="1">
      <c r="A149" s="253"/>
      <c r="B149" s="244"/>
      <c r="C149" s="248" t="s">
        <v>1197</v>
      </c>
      <c r="D149" s="132" t="s">
        <v>1192</v>
      </c>
      <c r="E149" s="158"/>
      <c r="F149" s="125" t="s">
        <v>1251</v>
      </c>
      <c r="G149" s="126">
        <v>0.33333333333333331</v>
      </c>
      <c r="H149" s="127">
        <v>0.33333333333333298</v>
      </c>
      <c r="I149" s="109">
        <f t="shared" si="3"/>
        <v>0</v>
      </c>
      <c r="J149" s="134">
        <v>0.9</v>
      </c>
      <c r="K149" s="135" t="s">
        <v>1484</v>
      </c>
      <c r="L149" s="137"/>
    </row>
    <row r="150" spans="1:12" ht="14.4" customHeight="1">
      <c r="A150" s="253"/>
      <c r="B150" s="244"/>
      <c r="C150" s="249"/>
      <c r="D150" s="132" t="s">
        <v>1192</v>
      </c>
      <c r="E150" s="158"/>
      <c r="F150" s="129" t="s">
        <v>1252</v>
      </c>
      <c r="G150" s="126">
        <v>0.33333333333333331</v>
      </c>
      <c r="H150" s="127">
        <v>0.33333333333333298</v>
      </c>
      <c r="I150" s="109">
        <f t="shared" si="3"/>
        <v>0</v>
      </c>
      <c r="J150" s="134">
        <v>0.9</v>
      </c>
      <c r="K150" s="135" t="s">
        <v>1484</v>
      </c>
      <c r="L150" s="136"/>
    </row>
    <row r="151" spans="1:12" ht="15" customHeight="1" thickBot="1">
      <c r="A151" s="253"/>
      <c r="B151" s="245"/>
      <c r="C151" s="250"/>
      <c r="D151" s="132" t="s">
        <v>1192</v>
      </c>
      <c r="E151" s="133"/>
      <c r="F151" s="128" t="s">
        <v>1253</v>
      </c>
      <c r="G151" s="126">
        <v>0.33333333333333331</v>
      </c>
      <c r="H151" s="131">
        <v>0.33333333333333298</v>
      </c>
      <c r="I151" s="115">
        <f t="shared" si="3"/>
        <v>0</v>
      </c>
      <c r="J151" s="134">
        <v>0.9</v>
      </c>
      <c r="K151" s="135" t="s">
        <v>1484</v>
      </c>
      <c r="L151" s="136"/>
    </row>
    <row r="152" spans="1:12" ht="14.4" customHeight="1">
      <c r="A152" s="253"/>
      <c r="B152" s="251">
        <v>45854</v>
      </c>
      <c r="C152" s="243" t="s">
        <v>1198</v>
      </c>
      <c r="D152" s="78" t="s">
        <v>1194</v>
      </c>
      <c r="E152" s="159"/>
      <c r="F152" s="111" t="s">
        <v>1251</v>
      </c>
      <c r="G152" s="107">
        <v>0.15972222222222221</v>
      </c>
      <c r="H152" s="108">
        <v>0.33333333333333331</v>
      </c>
      <c r="I152" s="109">
        <f>1-(G153/H152)</f>
        <v>0.52083333333333337</v>
      </c>
      <c r="J152" s="109">
        <v>0.9</v>
      </c>
      <c r="K152" s="82" t="s">
        <v>1484</v>
      </c>
      <c r="L152" s="112"/>
    </row>
    <row r="153" spans="1:12" ht="14.4" customHeight="1">
      <c r="A153" s="253"/>
      <c r="B153" s="244"/>
      <c r="C153" s="244"/>
      <c r="D153" s="78" t="s">
        <v>1194</v>
      </c>
      <c r="E153" s="159"/>
      <c r="F153" s="106" t="s">
        <v>1252</v>
      </c>
      <c r="G153" s="107">
        <v>0.15972222222222221</v>
      </c>
      <c r="H153" s="108">
        <v>0.33333333333333331</v>
      </c>
      <c r="I153" s="109">
        <f>1-(G154/H153)</f>
        <v>0</v>
      </c>
      <c r="J153" s="109">
        <v>0.9</v>
      </c>
      <c r="K153" s="82" t="s">
        <v>1484</v>
      </c>
      <c r="L153" s="82"/>
    </row>
    <row r="154" spans="1:12" ht="14.4" customHeight="1">
      <c r="A154" s="253"/>
      <c r="B154" s="244"/>
      <c r="C154" s="245"/>
      <c r="D154" s="78" t="s">
        <v>1194</v>
      </c>
      <c r="E154" s="113"/>
      <c r="F154" s="114" t="s">
        <v>1253</v>
      </c>
      <c r="G154" s="107">
        <v>0.33333333333333331</v>
      </c>
      <c r="H154" s="108">
        <v>0.33333333333333298</v>
      </c>
      <c r="I154" s="109">
        <f t="shared" si="3"/>
        <v>0</v>
      </c>
      <c r="J154" s="109">
        <v>0.9</v>
      </c>
      <c r="K154" s="82" t="s">
        <v>1479</v>
      </c>
      <c r="L154" s="82"/>
    </row>
    <row r="155" spans="1:12" ht="14.4" customHeight="1">
      <c r="A155" s="253"/>
      <c r="B155" s="244"/>
      <c r="C155" s="248" t="s">
        <v>1196</v>
      </c>
      <c r="D155" s="132" t="s">
        <v>1193</v>
      </c>
      <c r="E155" s="158"/>
      <c r="F155" s="125" t="s">
        <v>1251</v>
      </c>
      <c r="G155" s="126"/>
      <c r="H155" s="127">
        <v>0.33333333333333298</v>
      </c>
      <c r="I155" s="109">
        <f t="shared" si="3"/>
        <v>1</v>
      </c>
      <c r="J155" s="134">
        <v>0.9</v>
      </c>
      <c r="K155" s="135"/>
      <c r="L155" s="137"/>
    </row>
    <row r="156" spans="1:12" ht="14.4" customHeight="1">
      <c r="A156" s="253"/>
      <c r="B156" s="244"/>
      <c r="C156" s="249"/>
      <c r="D156" s="132" t="s">
        <v>1193</v>
      </c>
      <c r="E156" s="158"/>
      <c r="F156" s="129" t="s">
        <v>1252</v>
      </c>
      <c r="G156" s="126">
        <v>2.7777777777777776E-2</v>
      </c>
      <c r="H156" s="127">
        <v>0.33333333333333331</v>
      </c>
      <c r="I156" s="109">
        <f t="shared" si="3"/>
        <v>0.91666666666666663</v>
      </c>
      <c r="J156" s="134">
        <v>0.9</v>
      </c>
      <c r="K156" s="135" t="s">
        <v>1326</v>
      </c>
      <c r="L156" s="136"/>
    </row>
    <row r="157" spans="1:12" ht="14.4" customHeight="1">
      <c r="A157" s="253"/>
      <c r="B157" s="244"/>
      <c r="C157" s="250"/>
      <c r="D157" s="132" t="s">
        <v>1193</v>
      </c>
      <c r="E157" s="133"/>
      <c r="F157" s="128" t="s">
        <v>1253</v>
      </c>
      <c r="G157" s="127">
        <v>0.33333333333333298</v>
      </c>
      <c r="H157" s="127">
        <v>0.33333333333333298</v>
      </c>
      <c r="I157" s="109">
        <f t="shared" si="3"/>
        <v>0</v>
      </c>
      <c r="J157" s="134">
        <v>0.9</v>
      </c>
      <c r="K157" s="133" t="s">
        <v>1479</v>
      </c>
      <c r="L157" s="136"/>
    </row>
    <row r="158" spans="1:12" ht="14.4" customHeight="1">
      <c r="A158" s="253"/>
      <c r="B158" s="244"/>
      <c r="C158" s="243" t="s">
        <v>1197</v>
      </c>
      <c r="D158" s="78" t="s">
        <v>1191</v>
      </c>
      <c r="E158" s="159"/>
      <c r="F158" s="111" t="s">
        <v>1251</v>
      </c>
      <c r="G158" s="107"/>
      <c r="H158" s="108">
        <v>0.33333333333333298</v>
      </c>
      <c r="I158" s="109">
        <f t="shared" si="3"/>
        <v>1</v>
      </c>
      <c r="J158" s="109">
        <v>0.9</v>
      </c>
      <c r="K158" s="82"/>
      <c r="L158" s="112"/>
    </row>
    <row r="159" spans="1:12" ht="14.4" customHeight="1">
      <c r="A159" s="253"/>
      <c r="B159" s="244"/>
      <c r="C159" s="244"/>
      <c r="D159" s="78" t="s">
        <v>1191</v>
      </c>
      <c r="E159" s="159"/>
      <c r="F159" s="106" t="s">
        <v>1252</v>
      </c>
      <c r="G159" s="107"/>
      <c r="H159" s="108">
        <v>0.33333333333333298</v>
      </c>
      <c r="I159" s="109">
        <f t="shared" si="3"/>
        <v>1</v>
      </c>
      <c r="J159" s="109">
        <v>0.9</v>
      </c>
      <c r="K159" s="82"/>
      <c r="L159" s="82"/>
    </row>
    <row r="160" spans="1:12" ht="15" customHeight="1" thickBot="1">
      <c r="A160" s="253"/>
      <c r="B160" s="245"/>
      <c r="C160" s="245"/>
      <c r="D160" s="78" t="s">
        <v>1191</v>
      </c>
      <c r="E160" s="113"/>
      <c r="F160" s="114" t="s">
        <v>1253</v>
      </c>
      <c r="G160" s="108">
        <v>0.33333333333333298</v>
      </c>
      <c r="H160" s="108">
        <v>0.33333333333333298</v>
      </c>
      <c r="I160" s="109">
        <f t="shared" si="3"/>
        <v>0</v>
      </c>
      <c r="J160" s="109">
        <v>0.9</v>
      </c>
      <c r="K160" s="82" t="s">
        <v>1479</v>
      </c>
      <c r="L160" s="82"/>
    </row>
    <row r="161" spans="1:12" ht="14.4" customHeight="1">
      <c r="A161" s="253"/>
      <c r="B161" s="251">
        <v>45855</v>
      </c>
      <c r="C161" s="248" t="s">
        <v>1198</v>
      </c>
      <c r="D161" s="132" t="s">
        <v>1194</v>
      </c>
      <c r="E161" s="158"/>
      <c r="F161" s="125" t="s">
        <v>1251</v>
      </c>
      <c r="G161" s="126"/>
      <c r="H161" s="127">
        <v>0.33333333333333298</v>
      </c>
      <c r="I161" s="109">
        <f t="shared" si="3"/>
        <v>1</v>
      </c>
      <c r="J161" s="134">
        <v>0.9</v>
      </c>
      <c r="K161" s="135" t="s">
        <v>1485</v>
      </c>
      <c r="L161" s="137"/>
    </row>
    <row r="162" spans="1:12" ht="14.4" customHeight="1">
      <c r="A162" s="253"/>
      <c r="B162" s="244"/>
      <c r="C162" s="249"/>
      <c r="D162" s="132" t="s">
        <v>1194</v>
      </c>
      <c r="E162" s="158"/>
      <c r="F162" s="129" t="s">
        <v>1252</v>
      </c>
      <c r="G162" s="126"/>
      <c r="H162" s="127">
        <v>0.33333333333333298</v>
      </c>
      <c r="I162" s="109">
        <f t="shared" si="3"/>
        <v>1</v>
      </c>
      <c r="J162" s="134">
        <v>0.9</v>
      </c>
      <c r="K162" s="135" t="s">
        <v>1485</v>
      </c>
      <c r="L162" s="136"/>
    </row>
    <row r="163" spans="1:12" ht="14.4" customHeight="1">
      <c r="A163" s="253"/>
      <c r="B163" s="244"/>
      <c r="C163" s="250"/>
      <c r="D163" s="132" t="s">
        <v>1194</v>
      </c>
      <c r="E163" s="133"/>
      <c r="F163" s="128" t="s">
        <v>1253</v>
      </c>
      <c r="G163" s="127">
        <v>0.33333333333333298</v>
      </c>
      <c r="H163" s="127">
        <v>0.33333333333333298</v>
      </c>
      <c r="I163" s="109">
        <f t="shared" si="3"/>
        <v>0</v>
      </c>
      <c r="J163" s="134">
        <v>0.9</v>
      </c>
      <c r="K163" s="133" t="s">
        <v>1479</v>
      </c>
      <c r="L163" s="136"/>
    </row>
    <row r="164" spans="1:12" ht="14.4" customHeight="1">
      <c r="A164" s="253"/>
      <c r="B164" s="244"/>
      <c r="C164" s="243" t="s">
        <v>1196</v>
      </c>
      <c r="D164" s="78" t="s">
        <v>1193</v>
      </c>
      <c r="E164" s="159"/>
      <c r="F164" s="111" t="s">
        <v>1251</v>
      </c>
      <c r="G164" s="108">
        <v>0.18402777777777779</v>
      </c>
      <c r="H164" s="108">
        <v>0.33333333333333298</v>
      </c>
      <c r="I164" s="109">
        <f t="shared" si="3"/>
        <v>0.44791666666666607</v>
      </c>
      <c r="J164" s="109">
        <v>0.9</v>
      </c>
      <c r="K164" s="112" t="s">
        <v>1485</v>
      </c>
      <c r="L164" s="112"/>
    </row>
    <row r="165" spans="1:12" ht="14.4" customHeight="1">
      <c r="A165" s="253"/>
      <c r="B165" s="244"/>
      <c r="C165" s="244"/>
      <c r="D165" s="78" t="s">
        <v>1193</v>
      </c>
      <c r="E165" s="159"/>
      <c r="F165" s="106" t="s">
        <v>1252</v>
      </c>
      <c r="G165" s="108">
        <v>0.18402777777777779</v>
      </c>
      <c r="H165" s="108">
        <v>0.33333333333333298</v>
      </c>
      <c r="I165" s="109">
        <f t="shared" si="3"/>
        <v>0.44791666666666607</v>
      </c>
      <c r="J165" s="109">
        <v>0.9</v>
      </c>
      <c r="K165" s="112" t="s">
        <v>1485</v>
      </c>
      <c r="L165" s="82"/>
    </row>
    <row r="166" spans="1:12" ht="14.4" customHeight="1">
      <c r="A166" s="253"/>
      <c r="B166" s="244"/>
      <c r="C166" s="245"/>
      <c r="D166" s="78" t="s">
        <v>1193</v>
      </c>
      <c r="E166" s="113"/>
      <c r="F166" s="114" t="s">
        <v>1253</v>
      </c>
      <c r="G166" s="108">
        <v>0.33333333333333331</v>
      </c>
      <c r="H166" s="108">
        <v>0.33333333333333298</v>
      </c>
      <c r="I166" s="109">
        <f t="shared" si="3"/>
        <v>0</v>
      </c>
      <c r="J166" s="109">
        <v>0.9</v>
      </c>
      <c r="K166" s="82"/>
      <c r="L166" s="82"/>
    </row>
    <row r="167" spans="1:12" ht="14.4" customHeight="1">
      <c r="A167" s="253"/>
      <c r="B167" s="244"/>
      <c r="C167" s="248" t="s">
        <v>1197</v>
      </c>
      <c r="D167" s="132" t="s">
        <v>1191</v>
      </c>
      <c r="E167" s="158"/>
      <c r="F167" s="125" t="s">
        <v>1251</v>
      </c>
      <c r="G167" s="127">
        <v>3.4722222222222224E-2</v>
      </c>
      <c r="H167" s="127">
        <v>0.33333333333333298</v>
      </c>
      <c r="I167" s="109">
        <f t="shared" si="3"/>
        <v>0.89583333333333326</v>
      </c>
      <c r="J167" s="134">
        <v>0.9</v>
      </c>
      <c r="K167" s="133" t="s">
        <v>1486</v>
      </c>
      <c r="L167" s="137"/>
    </row>
    <row r="168" spans="1:12" ht="14.4" customHeight="1">
      <c r="A168" s="253"/>
      <c r="B168" s="244"/>
      <c r="C168" s="249"/>
      <c r="D168" s="132" t="s">
        <v>1191</v>
      </c>
      <c r="E168" s="158"/>
      <c r="F168" s="129" t="s">
        <v>1252</v>
      </c>
      <c r="G168" s="127"/>
      <c r="H168" s="127">
        <v>0.33333333333333298</v>
      </c>
      <c r="I168" s="109">
        <f t="shared" si="3"/>
        <v>1</v>
      </c>
      <c r="J168" s="134">
        <v>0.9</v>
      </c>
      <c r="K168" s="133"/>
      <c r="L168" s="136"/>
    </row>
    <row r="169" spans="1:12" ht="15" customHeight="1" thickBot="1">
      <c r="A169" s="253"/>
      <c r="B169" s="245"/>
      <c r="C169" s="250"/>
      <c r="D169" s="132" t="s">
        <v>1191</v>
      </c>
      <c r="E169" s="133"/>
      <c r="F169" s="128" t="s">
        <v>1253</v>
      </c>
      <c r="G169" s="127">
        <v>0.33333333333333331</v>
      </c>
      <c r="H169" s="127">
        <v>0.33333333333333298</v>
      </c>
      <c r="I169" s="109">
        <f t="shared" si="3"/>
        <v>0</v>
      </c>
      <c r="J169" s="134">
        <v>0.9</v>
      </c>
      <c r="K169" s="133" t="s">
        <v>1479</v>
      </c>
      <c r="L169" s="136"/>
    </row>
    <row r="170" spans="1:12" ht="14.4" customHeight="1">
      <c r="A170" s="253"/>
      <c r="B170" s="251">
        <v>45856</v>
      </c>
      <c r="C170" s="243" t="s">
        <v>1198</v>
      </c>
      <c r="D170" s="78"/>
      <c r="E170" s="159"/>
      <c r="F170" s="111" t="s">
        <v>1251</v>
      </c>
      <c r="G170" s="107"/>
      <c r="H170" s="108">
        <v>0.33333333333333298</v>
      </c>
      <c r="I170" s="109">
        <f t="shared" si="3"/>
        <v>1</v>
      </c>
      <c r="J170" s="109">
        <v>0.9</v>
      </c>
      <c r="K170" s="82"/>
      <c r="L170" s="112"/>
    </row>
    <row r="171" spans="1:12" ht="14.4" customHeight="1">
      <c r="A171" s="253"/>
      <c r="B171" s="244"/>
      <c r="C171" s="244"/>
      <c r="D171" s="78"/>
      <c r="E171" s="159"/>
      <c r="F171" s="106" t="s">
        <v>1252</v>
      </c>
      <c r="G171" s="107"/>
      <c r="H171" s="108">
        <v>0.33333333333333298</v>
      </c>
      <c r="I171" s="109">
        <f t="shared" si="3"/>
        <v>1</v>
      </c>
      <c r="J171" s="109">
        <v>0.9</v>
      </c>
      <c r="K171" s="82"/>
      <c r="L171" s="82"/>
    </row>
    <row r="172" spans="1:12" ht="14.4" customHeight="1">
      <c r="A172" s="253"/>
      <c r="B172" s="244"/>
      <c r="C172" s="245"/>
      <c r="D172" s="78"/>
      <c r="E172" s="113"/>
      <c r="F172" s="114" t="s">
        <v>1253</v>
      </c>
      <c r="G172" s="107">
        <v>0.33333333333333331</v>
      </c>
      <c r="H172" s="108">
        <v>0.33333333333333331</v>
      </c>
      <c r="I172" s="109">
        <f t="shared" si="3"/>
        <v>0</v>
      </c>
      <c r="J172" s="109">
        <v>0.9</v>
      </c>
      <c r="K172" s="82" t="s">
        <v>1479</v>
      </c>
      <c r="L172" s="82"/>
    </row>
    <row r="173" spans="1:12" ht="14.4" customHeight="1">
      <c r="A173" s="253"/>
      <c r="B173" s="244"/>
      <c r="C173" s="248" t="s">
        <v>1196</v>
      </c>
      <c r="D173" s="132" t="s">
        <v>1194</v>
      </c>
      <c r="E173" s="158"/>
      <c r="F173" s="125" t="s">
        <v>1251</v>
      </c>
      <c r="G173" s="126"/>
      <c r="H173" s="127">
        <v>0.33333333333333298</v>
      </c>
      <c r="I173" s="109">
        <f t="shared" si="3"/>
        <v>1</v>
      </c>
      <c r="J173" s="134">
        <v>0.9</v>
      </c>
      <c r="K173" s="135"/>
      <c r="L173" s="137"/>
    </row>
    <row r="174" spans="1:12" ht="14.4" customHeight="1">
      <c r="A174" s="253"/>
      <c r="B174" s="244"/>
      <c r="C174" s="249"/>
      <c r="D174" s="132" t="s">
        <v>1194</v>
      </c>
      <c r="E174" s="158"/>
      <c r="F174" s="129" t="s">
        <v>1252</v>
      </c>
      <c r="G174" s="126"/>
      <c r="H174" s="127">
        <v>0.33333333333333298</v>
      </c>
      <c r="I174" s="109">
        <f t="shared" si="3"/>
        <v>1</v>
      </c>
      <c r="J174" s="134">
        <v>0.9</v>
      </c>
      <c r="K174" s="135"/>
      <c r="L174" s="136"/>
    </row>
    <row r="175" spans="1:12" ht="14.4" customHeight="1">
      <c r="A175" s="253"/>
      <c r="B175" s="244"/>
      <c r="C175" s="250"/>
      <c r="D175" s="132" t="s">
        <v>1194</v>
      </c>
      <c r="E175" s="133"/>
      <c r="F175" s="128" t="s">
        <v>1253</v>
      </c>
      <c r="G175" s="126">
        <v>0.33333333333333331</v>
      </c>
      <c r="H175" s="127">
        <v>0.33333333333333298</v>
      </c>
      <c r="I175" s="109">
        <f t="shared" si="3"/>
        <v>0</v>
      </c>
      <c r="J175" s="134">
        <v>0.9</v>
      </c>
      <c r="K175" s="133" t="s">
        <v>1479</v>
      </c>
      <c r="L175" s="136"/>
    </row>
    <row r="176" spans="1:12" ht="14.4" customHeight="1">
      <c r="A176" s="253"/>
      <c r="B176" s="244"/>
      <c r="C176" s="243" t="s">
        <v>1197</v>
      </c>
      <c r="D176" s="78" t="s">
        <v>1193</v>
      </c>
      <c r="E176" s="159"/>
      <c r="F176" s="111" t="s">
        <v>1251</v>
      </c>
      <c r="G176" s="107"/>
      <c r="H176" s="108">
        <v>0.33333333333333298</v>
      </c>
      <c r="I176" s="109">
        <f t="shared" si="3"/>
        <v>1</v>
      </c>
      <c r="J176" s="109">
        <v>0.9</v>
      </c>
      <c r="K176" s="82"/>
      <c r="L176" s="82"/>
    </row>
    <row r="177" spans="1:12" ht="14.4" customHeight="1">
      <c r="A177" s="253"/>
      <c r="B177" s="244"/>
      <c r="C177" s="244"/>
      <c r="D177" s="78" t="s">
        <v>1193</v>
      </c>
      <c r="E177" s="159"/>
      <c r="F177" s="106" t="s">
        <v>1252</v>
      </c>
      <c r="G177" s="107"/>
      <c r="H177" s="108">
        <v>0.33333333333333298</v>
      </c>
      <c r="I177" s="109">
        <f t="shared" si="3"/>
        <v>1</v>
      </c>
      <c r="J177" s="109">
        <v>0.9</v>
      </c>
      <c r="K177" s="82"/>
      <c r="L177" s="82"/>
    </row>
    <row r="178" spans="1:12" ht="14.4" customHeight="1" thickBot="1">
      <c r="A178" s="253"/>
      <c r="B178" s="245"/>
      <c r="C178" s="245"/>
      <c r="D178" s="78" t="s">
        <v>1193</v>
      </c>
      <c r="E178" s="113"/>
      <c r="F178" s="114" t="s">
        <v>1253</v>
      </c>
      <c r="G178" s="107">
        <v>0.33333333333333331</v>
      </c>
      <c r="H178" s="123">
        <v>0.33333333333333298</v>
      </c>
      <c r="I178" s="109">
        <f t="shared" si="3"/>
        <v>0</v>
      </c>
      <c r="J178" s="109">
        <v>0.9</v>
      </c>
      <c r="K178" s="82" t="s">
        <v>1479</v>
      </c>
      <c r="L178" s="82"/>
    </row>
    <row r="179" spans="1:12" ht="14.4" customHeight="1">
      <c r="A179" s="253"/>
      <c r="B179" s="251">
        <v>45857</v>
      </c>
      <c r="C179" s="243" t="s">
        <v>1198</v>
      </c>
      <c r="D179" s="78"/>
      <c r="E179" s="159"/>
      <c r="F179" s="111" t="s">
        <v>1251</v>
      </c>
      <c r="G179" s="107"/>
      <c r="H179" s="108">
        <v>0.33333333333333298</v>
      </c>
      <c r="I179" s="109">
        <f t="shared" si="3"/>
        <v>1</v>
      </c>
      <c r="J179" s="109">
        <v>0.9</v>
      </c>
      <c r="K179" s="82"/>
      <c r="L179" s="112"/>
    </row>
    <row r="180" spans="1:12" ht="14.4" customHeight="1">
      <c r="A180" s="253"/>
      <c r="B180" s="244"/>
      <c r="C180" s="244"/>
      <c r="D180" s="78"/>
      <c r="E180" s="159"/>
      <c r="F180" s="106" t="s">
        <v>1252</v>
      </c>
      <c r="G180" s="107"/>
      <c r="H180" s="108">
        <v>0.33333333333333298</v>
      </c>
      <c r="I180" s="109">
        <f t="shared" si="3"/>
        <v>1</v>
      </c>
      <c r="J180" s="109">
        <v>0.9</v>
      </c>
      <c r="K180" s="82"/>
      <c r="L180" s="82"/>
    </row>
    <row r="181" spans="1:12" ht="14.4" customHeight="1">
      <c r="A181" s="253"/>
      <c r="B181" s="244"/>
      <c r="C181" s="245"/>
      <c r="D181" s="78"/>
      <c r="E181" s="113"/>
      <c r="F181" s="114" t="s">
        <v>1253</v>
      </c>
      <c r="G181" s="107">
        <v>0.33333333333333331</v>
      </c>
      <c r="H181" s="108">
        <v>0.33333333333333298</v>
      </c>
      <c r="I181" s="109">
        <f t="shared" si="3"/>
        <v>0</v>
      </c>
      <c r="J181" s="109">
        <v>0.9</v>
      </c>
      <c r="K181" s="82" t="s">
        <v>1479</v>
      </c>
      <c r="L181" s="82"/>
    </row>
    <row r="182" spans="1:12" ht="14.4" customHeight="1">
      <c r="A182" s="253"/>
      <c r="B182" s="244"/>
      <c r="C182" s="248" t="s">
        <v>1196</v>
      </c>
      <c r="D182" s="132" t="s">
        <v>1194</v>
      </c>
      <c r="E182" s="158"/>
      <c r="F182" s="125" t="s">
        <v>1251</v>
      </c>
      <c r="G182" s="126"/>
      <c r="H182" s="127">
        <v>0.33333333333333298</v>
      </c>
      <c r="I182" s="109">
        <f t="shared" si="3"/>
        <v>1</v>
      </c>
      <c r="J182" s="134">
        <v>0.9</v>
      </c>
      <c r="K182" s="135"/>
      <c r="L182" s="137"/>
    </row>
    <row r="183" spans="1:12" ht="14.4" customHeight="1">
      <c r="A183" s="253"/>
      <c r="B183" s="244"/>
      <c r="C183" s="249"/>
      <c r="D183" s="132" t="s">
        <v>1194</v>
      </c>
      <c r="E183" s="158"/>
      <c r="F183" s="129" t="s">
        <v>1252</v>
      </c>
      <c r="G183" s="126"/>
      <c r="H183" s="127">
        <v>0.33333333333333298</v>
      </c>
      <c r="I183" s="109">
        <f t="shared" si="3"/>
        <v>1</v>
      </c>
      <c r="J183" s="134">
        <v>0.9</v>
      </c>
      <c r="K183" s="135"/>
      <c r="L183" s="136"/>
    </row>
    <row r="184" spans="1:12" ht="14.4" customHeight="1">
      <c r="A184" s="253"/>
      <c r="B184" s="244"/>
      <c r="C184" s="250"/>
      <c r="D184" s="132" t="s">
        <v>1194</v>
      </c>
      <c r="E184" s="133"/>
      <c r="F184" s="128" t="s">
        <v>1253</v>
      </c>
      <c r="G184" s="126">
        <v>0.33333333333333331</v>
      </c>
      <c r="H184" s="127">
        <v>0.33333333333333298</v>
      </c>
      <c r="I184" s="109">
        <f t="shared" si="3"/>
        <v>0</v>
      </c>
      <c r="J184" s="134">
        <v>0.9</v>
      </c>
      <c r="K184" s="133" t="s">
        <v>1479</v>
      </c>
      <c r="L184" s="136"/>
    </row>
    <row r="185" spans="1:12" ht="14.4" customHeight="1">
      <c r="A185" s="253"/>
      <c r="B185" s="244"/>
      <c r="C185" s="243" t="s">
        <v>1197</v>
      </c>
      <c r="D185" s="78" t="s">
        <v>1193</v>
      </c>
      <c r="E185" s="159"/>
      <c r="F185" s="111" t="s">
        <v>1251</v>
      </c>
      <c r="G185" s="107"/>
      <c r="H185" s="108">
        <v>0.33333333333333298</v>
      </c>
      <c r="I185" s="109">
        <f t="shared" si="3"/>
        <v>1</v>
      </c>
      <c r="J185" s="109">
        <v>0.9</v>
      </c>
      <c r="K185" s="82"/>
      <c r="L185" s="82"/>
    </row>
    <row r="186" spans="1:12" ht="14.4" customHeight="1">
      <c r="A186" s="253"/>
      <c r="B186" s="244"/>
      <c r="C186" s="244"/>
      <c r="D186" s="78" t="s">
        <v>1193</v>
      </c>
      <c r="E186" s="159"/>
      <c r="F186" s="106" t="s">
        <v>1252</v>
      </c>
      <c r="G186" s="107"/>
      <c r="H186" s="108">
        <v>0.33333333333333298</v>
      </c>
      <c r="I186" s="109">
        <f t="shared" si="3"/>
        <v>1</v>
      </c>
      <c r="J186" s="109">
        <v>0.9</v>
      </c>
      <c r="K186" s="82"/>
      <c r="L186" s="82"/>
    </row>
    <row r="187" spans="1:12" ht="14.4" customHeight="1" thickBot="1">
      <c r="A187" s="253"/>
      <c r="B187" s="245"/>
      <c r="C187" s="245"/>
      <c r="D187" s="78" t="s">
        <v>1193</v>
      </c>
      <c r="E187" s="113"/>
      <c r="F187" s="114" t="s">
        <v>1253</v>
      </c>
      <c r="G187" s="107">
        <v>0.33333333333333331</v>
      </c>
      <c r="H187" s="123">
        <v>0.33333333333333298</v>
      </c>
      <c r="I187" s="109">
        <f t="shared" si="3"/>
        <v>0</v>
      </c>
      <c r="J187" s="109">
        <v>0.9</v>
      </c>
      <c r="K187" s="82" t="s">
        <v>1479</v>
      </c>
      <c r="L187" s="82"/>
    </row>
    <row r="188" spans="1:12" ht="14.4" customHeight="1">
      <c r="A188" s="253"/>
      <c r="B188" s="251">
        <v>45858</v>
      </c>
      <c r="C188" s="243" t="s">
        <v>1198</v>
      </c>
      <c r="D188" s="78" t="s">
        <v>1191</v>
      </c>
      <c r="E188" s="159"/>
      <c r="F188" s="111" t="s">
        <v>1251</v>
      </c>
      <c r="G188" s="107"/>
      <c r="H188" s="108">
        <v>0.33333333333333298</v>
      </c>
      <c r="I188" s="109">
        <f t="shared" si="3"/>
        <v>1</v>
      </c>
      <c r="J188" s="109">
        <v>0.9</v>
      </c>
      <c r="K188" s="82"/>
      <c r="L188" s="112"/>
    </row>
    <row r="189" spans="1:12" ht="14.4" customHeight="1">
      <c r="A189" s="253"/>
      <c r="B189" s="244"/>
      <c r="C189" s="244"/>
      <c r="D189" s="78" t="s">
        <v>1191</v>
      </c>
      <c r="E189" s="159"/>
      <c r="F189" s="106" t="s">
        <v>1252</v>
      </c>
      <c r="G189" s="107"/>
      <c r="H189" s="108">
        <v>0.33333333333333298</v>
      </c>
      <c r="I189" s="109">
        <f t="shared" si="3"/>
        <v>1</v>
      </c>
      <c r="J189" s="109">
        <v>0.9</v>
      </c>
      <c r="K189" s="82"/>
      <c r="L189" s="82"/>
    </row>
    <row r="190" spans="1:12" ht="14.4" customHeight="1">
      <c r="A190" s="253"/>
      <c r="B190" s="244"/>
      <c r="C190" s="245"/>
      <c r="D190" s="78" t="s">
        <v>1191</v>
      </c>
      <c r="E190" s="113"/>
      <c r="F190" s="114" t="s">
        <v>1253</v>
      </c>
      <c r="G190" s="107">
        <v>0.33333333333333331</v>
      </c>
      <c r="H190" s="108">
        <v>0.33333333333333298</v>
      </c>
      <c r="I190" s="109">
        <f t="shared" si="3"/>
        <v>0</v>
      </c>
      <c r="J190" s="109">
        <v>0.9</v>
      </c>
      <c r="K190" s="82" t="s">
        <v>1479</v>
      </c>
      <c r="L190" s="82"/>
    </row>
    <row r="191" spans="1:12" ht="14.4" customHeight="1">
      <c r="A191" s="253"/>
      <c r="B191" s="244"/>
      <c r="C191" s="248" t="s">
        <v>1196</v>
      </c>
      <c r="D191" s="132"/>
      <c r="E191" s="158"/>
      <c r="F191" s="125" t="s">
        <v>1251</v>
      </c>
      <c r="G191" s="126"/>
      <c r="H191" s="127">
        <v>0.33333333333333298</v>
      </c>
      <c r="I191" s="109">
        <f t="shared" si="3"/>
        <v>1</v>
      </c>
      <c r="J191" s="134">
        <v>0.9</v>
      </c>
      <c r="K191" s="135"/>
      <c r="L191" s="137"/>
    </row>
    <row r="192" spans="1:12" ht="14.4" customHeight="1">
      <c r="A192" s="253"/>
      <c r="B192" s="244"/>
      <c r="C192" s="249"/>
      <c r="D192" s="132"/>
      <c r="E192" s="158"/>
      <c r="F192" s="129" t="s">
        <v>1252</v>
      </c>
      <c r="G192" s="126"/>
      <c r="H192" s="127">
        <v>0.33333333333333298</v>
      </c>
      <c r="I192" s="109">
        <f t="shared" si="3"/>
        <v>1</v>
      </c>
      <c r="J192" s="134">
        <v>0.9</v>
      </c>
      <c r="K192" s="135"/>
      <c r="L192" s="136"/>
    </row>
    <row r="193" spans="1:12" ht="14.4" customHeight="1">
      <c r="A193" s="253"/>
      <c r="B193" s="244"/>
      <c r="C193" s="250"/>
      <c r="D193" s="132"/>
      <c r="E193" s="133"/>
      <c r="F193" s="128" t="s">
        <v>1253</v>
      </c>
      <c r="G193" s="126">
        <v>0.33333333333333331</v>
      </c>
      <c r="H193" s="127">
        <v>0.33333333333333298</v>
      </c>
      <c r="I193" s="109">
        <f t="shared" si="3"/>
        <v>0</v>
      </c>
      <c r="J193" s="134">
        <v>0.9</v>
      </c>
      <c r="K193" s="133" t="s">
        <v>1479</v>
      </c>
      <c r="L193" s="136"/>
    </row>
    <row r="194" spans="1:12" ht="14.4" customHeight="1">
      <c r="A194" s="253"/>
      <c r="B194" s="244"/>
      <c r="C194" s="243" t="s">
        <v>1197</v>
      </c>
      <c r="D194" s="78" t="s">
        <v>1194</v>
      </c>
      <c r="E194" s="159"/>
      <c r="F194" s="111" t="s">
        <v>1251</v>
      </c>
      <c r="G194" s="107"/>
      <c r="H194" s="108">
        <v>0.33333333333333298</v>
      </c>
      <c r="I194" s="109">
        <f t="shared" si="3"/>
        <v>1</v>
      </c>
      <c r="J194" s="109">
        <v>0.9</v>
      </c>
      <c r="K194" s="82"/>
      <c r="L194" s="82"/>
    </row>
    <row r="195" spans="1:12" ht="14.4" customHeight="1">
      <c r="A195" s="253"/>
      <c r="B195" s="244"/>
      <c r="C195" s="244"/>
      <c r="D195" s="78" t="s">
        <v>1194</v>
      </c>
      <c r="E195" s="159"/>
      <c r="F195" s="106" t="s">
        <v>1252</v>
      </c>
      <c r="G195" s="107"/>
      <c r="H195" s="108">
        <v>0.33333333333333298</v>
      </c>
      <c r="I195" s="109">
        <f t="shared" si="3"/>
        <v>1</v>
      </c>
      <c r="J195" s="109">
        <v>0.9</v>
      </c>
      <c r="K195" s="82"/>
      <c r="L195" s="82"/>
    </row>
    <row r="196" spans="1:12" ht="14.4" customHeight="1">
      <c r="A196" s="253"/>
      <c r="B196" s="245"/>
      <c r="C196" s="245"/>
      <c r="D196" s="78" t="s">
        <v>1194</v>
      </c>
      <c r="E196" s="113"/>
      <c r="F196" s="114" t="s">
        <v>1253</v>
      </c>
      <c r="G196" s="107">
        <v>0.33333333333333331</v>
      </c>
      <c r="H196" s="123">
        <v>0.33333333333333298</v>
      </c>
      <c r="I196" s="109">
        <f t="shared" si="3"/>
        <v>0</v>
      </c>
      <c r="J196" s="109">
        <v>0.9</v>
      </c>
      <c r="K196" s="82" t="s">
        <v>1479</v>
      </c>
      <c r="L196" s="82"/>
    </row>
    <row r="197" spans="1:12" ht="14.4" customHeight="1">
      <c r="A197" s="253"/>
      <c r="B197" s="117"/>
      <c r="C197" s="117"/>
      <c r="D197" s="118"/>
      <c r="E197" s="118"/>
      <c r="F197" s="119" t="s">
        <v>1251</v>
      </c>
      <c r="G197" s="124"/>
      <c r="H197" s="124"/>
      <c r="I197" s="120">
        <f>AVERAGEIF(F134:F196,F197,I134:I196)</f>
        <v>0.88789682539682535</v>
      </c>
      <c r="J197" s="121">
        <v>0.9</v>
      </c>
      <c r="K197" s="118"/>
      <c r="L197" s="116"/>
    </row>
    <row r="198" spans="1:12" ht="14.4" customHeight="1">
      <c r="A198" s="253"/>
      <c r="B198" s="117"/>
      <c r="C198" s="117"/>
      <c r="D198" s="118"/>
      <c r="E198" s="118"/>
      <c r="F198" s="119" t="s">
        <v>1252</v>
      </c>
      <c r="G198" s="124"/>
      <c r="H198" s="124"/>
      <c r="I198" s="120">
        <f>AVERAGEIF(F134:F196,F198,I134:I196)</f>
        <v>0.86408730158730152</v>
      </c>
      <c r="J198" s="121">
        <v>0.9</v>
      </c>
      <c r="K198" s="118"/>
      <c r="L198" s="116"/>
    </row>
    <row r="199" spans="1:12" ht="14.4" customHeight="1" thickBot="1">
      <c r="A199" s="253"/>
      <c r="B199" s="117"/>
      <c r="C199" s="117"/>
      <c r="D199" s="118"/>
      <c r="E199" s="118"/>
      <c r="F199" s="119" t="s">
        <v>1253</v>
      </c>
      <c r="G199" s="124"/>
      <c r="H199" s="124"/>
      <c r="I199" s="120">
        <f>AVERAGEIF(F134:F196,F199,I134:I196)</f>
        <v>9.5238095238095233E-2</v>
      </c>
      <c r="J199" s="121">
        <v>0.9</v>
      </c>
      <c r="K199" s="118"/>
      <c r="L199" s="116"/>
    </row>
    <row r="200" spans="1:12">
      <c r="A200" s="252" t="s">
        <v>1202</v>
      </c>
      <c r="B200" s="251">
        <v>45859</v>
      </c>
      <c r="C200" s="243" t="s">
        <v>1198</v>
      </c>
      <c r="D200" s="110" t="s">
        <v>1201</v>
      </c>
      <c r="E200" s="156"/>
      <c r="F200" s="111" t="s">
        <v>1251</v>
      </c>
      <c r="G200" s="107"/>
      <c r="H200" s="108">
        <v>0.33333333333333331</v>
      </c>
      <c r="I200" s="109">
        <f>1-(G200/H200)</f>
        <v>1</v>
      </c>
      <c r="J200" s="109">
        <v>0.9</v>
      </c>
      <c r="K200" s="82"/>
      <c r="L200" s="82"/>
    </row>
    <row r="201" spans="1:12">
      <c r="A201" s="253"/>
      <c r="B201" s="244"/>
      <c r="C201" s="244"/>
      <c r="D201" s="110" t="s">
        <v>1201</v>
      </c>
      <c r="E201" s="156"/>
      <c r="F201" s="111" t="s">
        <v>1252</v>
      </c>
      <c r="G201" s="107"/>
      <c r="H201" s="108">
        <v>0.33333333333333331</v>
      </c>
      <c r="I201" s="109">
        <f>1-(G201/H201)</f>
        <v>1</v>
      </c>
      <c r="J201" s="109">
        <v>0.9</v>
      </c>
      <c r="K201" s="82"/>
      <c r="L201" s="82"/>
    </row>
    <row r="202" spans="1:12">
      <c r="A202" s="253"/>
      <c r="B202" s="244"/>
      <c r="C202" s="245"/>
      <c r="D202" s="110" t="s">
        <v>1201</v>
      </c>
      <c r="E202" s="157"/>
      <c r="F202" s="114" t="s">
        <v>1253</v>
      </c>
      <c r="G202" s="107"/>
      <c r="H202" s="108">
        <v>0.33333333333333298</v>
      </c>
      <c r="I202" s="109">
        <f t="shared" ref="I202:I262" si="4">1-(G202/H202)</f>
        <v>1</v>
      </c>
      <c r="J202" s="109">
        <v>0.9</v>
      </c>
      <c r="K202" s="82"/>
      <c r="L202" s="82"/>
    </row>
    <row r="203" spans="1:12">
      <c r="A203" s="253"/>
      <c r="B203" s="244"/>
      <c r="C203" s="248" t="s">
        <v>1196</v>
      </c>
      <c r="D203" s="132"/>
      <c r="E203" s="158"/>
      <c r="F203" s="125" t="s">
        <v>1251</v>
      </c>
      <c r="G203" s="126"/>
      <c r="H203" s="127">
        <v>0.33333333333333331</v>
      </c>
      <c r="I203" s="109">
        <f t="shared" si="4"/>
        <v>1</v>
      </c>
      <c r="J203" s="134">
        <v>0.9</v>
      </c>
      <c r="K203" s="135"/>
      <c r="L203" s="136"/>
    </row>
    <row r="204" spans="1:12">
      <c r="A204" s="253"/>
      <c r="B204" s="244"/>
      <c r="C204" s="249"/>
      <c r="D204" s="132"/>
      <c r="E204" s="158"/>
      <c r="F204" s="125" t="s">
        <v>1252</v>
      </c>
      <c r="G204" s="126"/>
      <c r="H204" s="127">
        <v>0.33333333333333298</v>
      </c>
      <c r="I204" s="109">
        <f t="shared" si="4"/>
        <v>1</v>
      </c>
      <c r="J204" s="134">
        <v>0.9</v>
      </c>
      <c r="K204" s="135"/>
      <c r="L204" s="136"/>
    </row>
    <row r="205" spans="1:12">
      <c r="A205" s="253"/>
      <c r="B205" s="244"/>
      <c r="C205" s="250"/>
      <c r="D205" s="132"/>
      <c r="E205" s="133"/>
      <c r="F205" s="128" t="s">
        <v>1253</v>
      </c>
      <c r="G205" s="126">
        <v>0.33333333333333331</v>
      </c>
      <c r="H205" s="127">
        <v>0.33333333333333298</v>
      </c>
      <c r="I205" s="109">
        <f t="shared" si="4"/>
        <v>0</v>
      </c>
      <c r="J205" s="134">
        <v>0.9</v>
      </c>
      <c r="K205" s="133" t="s">
        <v>1479</v>
      </c>
      <c r="L205" s="136"/>
    </row>
    <row r="206" spans="1:12">
      <c r="A206" s="253"/>
      <c r="B206" s="244"/>
      <c r="C206" s="243" t="s">
        <v>1197</v>
      </c>
      <c r="D206" s="78" t="s">
        <v>1194</v>
      </c>
      <c r="E206" s="159"/>
      <c r="F206" s="111" t="s">
        <v>1251</v>
      </c>
      <c r="G206" s="107"/>
      <c r="H206" s="108">
        <v>0.33333333333333298</v>
      </c>
      <c r="I206" s="109">
        <f t="shared" si="4"/>
        <v>1</v>
      </c>
      <c r="J206" s="109">
        <v>0.9</v>
      </c>
      <c r="K206" s="82"/>
      <c r="L206" s="112"/>
    </row>
    <row r="207" spans="1:12">
      <c r="A207" s="253"/>
      <c r="B207" s="244"/>
      <c r="C207" s="244"/>
      <c r="D207" s="78" t="s">
        <v>1194</v>
      </c>
      <c r="E207" s="159"/>
      <c r="F207" s="111" t="s">
        <v>1252</v>
      </c>
      <c r="G207" s="107">
        <v>6.5972222222222224E-2</v>
      </c>
      <c r="H207" s="108">
        <v>0.33333333333333298</v>
      </c>
      <c r="I207" s="109">
        <f t="shared" si="4"/>
        <v>0.80208333333333315</v>
      </c>
      <c r="J207" s="109">
        <v>0.9</v>
      </c>
      <c r="K207" s="82"/>
      <c r="L207" s="82"/>
    </row>
    <row r="208" spans="1:12" ht="15" thickBot="1">
      <c r="A208" s="253"/>
      <c r="B208" s="245"/>
      <c r="C208" s="245"/>
      <c r="D208" s="78" t="s">
        <v>1194</v>
      </c>
      <c r="E208" s="113"/>
      <c r="F208" s="114" t="s">
        <v>1253</v>
      </c>
      <c r="G208" s="107">
        <v>0.33333333333333331</v>
      </c>
      <c r="H208" s="108">
        <v>0.33333333333333298</v>
      </c>
      <c r="I208" s="109">
        <f t="shared" si="4"/>
        <v>0</v>
      </c>
      <c r="J208" s="109">
        <v>0.9</v>
      </c>
      <c r="K208" s="82" t="s">
        <v>1479</v>
      </c>
      <c r="L208" s="82"/>
    </row>
    <row r="209" spans="1:12">
      <c r="A209" s="253"/>
      <c r="B209" s="251">
        <v>45860</v>
      </c>
      <c r="C209" s="248" t="s">
        <v>1198</v>
      </c>
      <c r="D209" s="132" t="s">
        <v>1193</v>
      </c>
      <c r="E209" s="158"/>
      <c r="F209" s="125" t="s">
        <v>1251</v>
      </c>
      <c r="G209" s="126"/>
      <c r="H209" s="127">
        <v>0.33333333333333298</v>
      </c>
      <c r="I209" s="109">
        <f t="shared" si="4"/>
        <v>1</v>
      </c>
      <c r="J209" s="134">
        <v>0.9</v>
      </c>
      <c r="K209" s="135"/>
      <c r="L209" s="137"/>
    </row>
    <row r="210" spans="1:12">
      <c r="A210" s="253"/>
      <c r="B210" s="244"/>
      <c r="C210" s="249"/>
      <c r="D210" s="132" t="s">
        <v>1193</v>
      </c>
      <c r="E210" s="158"/>
      <c r="F210" s="125" t="s">
        <v>1252</v>
      </c>
      <c r="G210" s="126"/>
      <c r="H210" s="127">
        <v>0.33333333333333298</v>
      </c>
      <c r="I210" s="109">
        <f t="shared" si="4"/>
        <v>1</v>
      </c>
      <c r="J210" s="134">
        <v>0.9</v>
      </c>
      <c r="K210" s="135"/>
      <c r="L210" s="136"/>
    </row>
    <row r="211" spans="1:12">
      <c r="A211" s="253"/>
      <c r="B211" s="244"/>
      <c r="C211" s="250"/>
      <c r="D211" s="132" t="s">
        <v>1193</v>
      </c>
      <c r="E211" s="133"/>
      <c r="F211" s="128" t="s">
        <v>1253</v>
      </c>
      <c r="G211" s="126">
        <v>0.33333333333333331</v>
      </c>
      <c r="H211" s="127">
        <v>0.33333333333333298</v>
      </c>
      <c r="I211" s="109">
        <f t="shared" si="4"/>
        <v>0</v>
      </c>
      <c r="J211" s="134">
        <v>0.9</v>
      </c>
      <c r="K211" s="133" t="s">
        <v>1479</v>
      </c>
      <c r="L211" s="136"/>
    </row>
    <row r="212" spans="1:12">
      <c r="A212" s="253"/>
      <c r="B212" s="244"/>
      <c r="C212" s="243" t="s">
        <v>1196</v>
      </c>
      <c r="D212" s="78" t="s">
        <v>1191</v>
      </c>
      <c r="E212" s="159"/>
      <c r="F212" s="111" t="s">
        <v>1251</v>
      </c>
      <c r="G212" s="107"/>
      <c r="H212" s="108">
        <v>0.33333333333333298</v>
      </c>
      <c r="I212" s="109">
        <f t="shared" si="4"/>
        <v>1</v>
      </c>
      <c r="J212" s="109">
        <v>0.9</v>
      </c>
      <c r="K212" s="82"/>
      <c r="L212" s="112"/>
    </row>
    <row r="213" spans="1:12">
      <c r="A213" s="253"/>
      <c r="B213" s="244"/>
      <c r="C213" s="244"/>
      <c r="D213" s="78" t="s">
        <v>1191</v>
      </c>
      <c r="E213" s="159"/>
      <c r="F213" s="111" t="s">
        <v>1252</v>
      </c>
      <c r="G213" s="107"/>
      <c r="H213" s="108">
        <v>0.33333333333333298</v>
      </c>
      <c r="I213" s="109">
        <f t="shared" si="4"/>
        <v>1</v>
      </c>
      <c r="J213" s="109">
        <v>0.9</v>
      </c>
      <c r="K213" s="82"/>
      <c r="L213" s="82"/>
    </row>
    <row r="214" spans="1:12">
      <c r="A214" s="253"/>
      <c r="B214" s="244"/>
      <c r="C214" s="245"/>
      <c r="D214" s="78" t="s">
        <v>1191</v>
      </c>
      <c r="E214" s="113"/>
      <c r="F214" s="114" t="s">
        <v>1253</v>
      </c>
      <c r="G214" s="107">
        <v>0.33333333333333331</v>
      </c>
      <c r="H214" s="108">
        <v>0.33333333333333298</v>
      </c>
      <c r="I214" s="109">
        <f t="shared" si="4"/>
        <v>0</v>
      </c>
      <c r="J214" s="109">
        <v>0.9</v>
      </c>
      <c r="K214" s="82" t="s">
        <v>1479</v>
      </c>
      <c r="L214" s="82"/>
    </row>
    <row r="215" spans="1:12">
      <c r="A215" s="253"/>
      <c r="B215" s="244"/>
      <c r="C215" s="248" t="s">
        <v>1197</v>
      </c>
      <c r="D215" s="132"/>
      <c r="E215" s="158"/>
      <c r="F215" s="125" t="s">
        <v>1251</v>
      </c>
      <c r="G215" s="126"/>
      <c r="H215" s="127">
        <v>0.33333333333333298</v>
      </c>
      <c r="I215" s="109">
        <f t="shared" si="4"/>
        <v>1</v>
      </c>
      <c r="J215" s="134">
        <v>0.9</v>
      </c>
      <c r="K215" s="135"/>
      <c r="L215" s="137"/>
    </row>
    <row r="216" spans="1:12">
      <c r="A216" s="253"/>
      <c r="B216" s="244"/>
      <c r="C216" s="249"/>
      <c r="D216" s="132"/>
      <c r="E216" s="158"/>
      <c r="F216" s="129" t="s">
        <v>1252</v>
      </c>
      <c r="G216" s="126"/>
      <c r="H216" s="127">
        <v>0.33333333333333298</v>
      </c>
      <c r="I216" s="109">
        <f t="shared" si="4"/>
        <v>1</v>
      </c>
      <c r="J216" s="134">
        <v>0.9</v>
      </c>
      <c r="K216" s="135"/>
      <c r="L216" s="136"/>
    </row>
    <row r="217" spans="1:12" ht="15" thickBot="1">
      <c r="A217" s="253"/>
      <c r="B217" s="245"/>
      <c r="C217" s="250"/>
      <c r="D217" s="132"/>
      <c r="E217" s="133"/>
      <c r="F217" s="128" t="s">
        <v>1253</v>
      </c>
      <c r="G217" s="126">
        <v>0.33333333333333331</v>
      </c>
      <c r="H217" s="131">
        <v>0.33333333333333298</v>
      </c>
      <c r="I217" s="115">
        <f t="shared" si="4"/>
        <v>0</v>
      </c>
      <c r="J217" s="134">
        <v>0.9</v>
      </c>
      <c r="K217" s="133" t="s">
        <v>1479</v>
      </c>
      <c r="L217" s="136"/>
    </row>
    <row r="218" spans="1:12">
      <c r="A218" s="253"/>
      <c r="B218" s="251">
        <v>45861</v>
      </c>
      <c r="C218" s="243" t="s">
        <v>1198</v>
      </c>
      <c r="D218" s="78" t="s">
        <v>1193</v>
      </c>
      <c r="E218" s="159"/>
      <c r="F218" s="111" t="s">
        <v>1251</v>
      </c>
      <c r="G218" s="107"/>
      <c r="H218" s="108">
        <v>0.33333333333333298</v>
      </c>
      <c r="I218" s="109">
        <f t="shared" si="4"/>
        <v>1</v>
      </c>
      <c r="J218" s="109">
        <v>0.9</v>
      </c>
      <c r="K218" s="82"/>
      <c r="L218" s="112"/>
    </row>
    <row r="219" spans="1:12">
      <c r="A219" s="253"/>
      <c r="B219" s="244"/>
      <c r="C219" s="244"/>
      <c r="D219" s="78" t="s">
        <v>1193</v>
      </c>
      <c r="E219" s="159"/>
      <c r="F219" s="106" t="s">
        <v>1252</v>
      </c>
      <c r="G219" s="107"/>
      <c r="H219" s="108">
        <v>0.33333333333333298</v>
      </c>
      <c r="I219" s="109">
        <f t="shared" si="4"/>
        <v>1</v>
      </c>
      <c r="J219" s="109">
        <v>0.9</v>
      </c>
      <c r="K219" s="82"/>
      <c r="L219" s="82"/>
    </row>
    <row r="220" spans="1:12">
      <c r="A220" s="253"/>
      <c r="B220" s="244"/>
      <c r="C220" s="245"/>
      <c r="D220" s="78" t="s">
        <v>1193</v>
      </c>
      <c r="E220" s="113"/>
      <c r="F220" s="114" t="s">
        <v>1253</v>
      </c>
      <c r="G220" s="107">
        <v>0.33333333333333331</v>
      </c>
      <c r="H220" s="108">
        <v>0.33333333333333298</v>
      </c>
      <c r="I220" s="109">
        <f t="shared" si="4"/>
        <v>0</v>
      </c>
      <c r="J220" s="109">
        <v>0.9</v>
      </c>
      <c r="K220" s="82" t="s">
        <v>1479</v>
      </c>
      <c r="L220" s="82"/>
    </row>
    <row r="221" spans="1:12">
      <c r="A221" s="253"/>
      <c r="B221" s="244"/>
      <c r="C221" s="248" t="s">
        <v>1196</v>
      </c>
      <c r="D221" s="132" t="s">
        <v>1191</v>
      </c>
      <c r="E221" s="158"/>
      <c r="F221" s="125" t="s">
        <v>1251</v>
      </c>
      <c r="G221" s="126"/>
      <c r="H221" s="127">
        <v>0.33333333333333298</v>
      </c>
      <c r="I221" s="109">
        <f t="shared" si="4"/>
        <v>1</v>
      </c>
      <c r="J221" s="134">
        <v>0.9</v>
      </c>
      <c r="K221" s="135"/>
      <c r="L221" s="137"/>
    </row>
    <row r="222" spans="1:12">
      <c r="A222" s="253"/>
      <c r="B222" s="244"/>
      <c r="C222" s="249"/>
      <c r="D222" s="132" t="s">
        <v>1191</v>
      </c>
      <c r="E222" s="158"/>
      <c r="F222" s="129" t="s">
        <v>1252</v>
      </c>
      <c r="G222" s="126">
        <v>3.4722222222222224E-2</v>
      </c>
      <c r="H222" s="127">
        <v>0.33333333333333298</v>
      </c>
      <c r="I222" s="109">
        <f t="shared" si="4"/>
        <v>0.89583333333333326</v>
      </c>
      <c r="J222" s="134">
        <v>0.9</v>
      </c>
      <c r="K222" s="135"/>
      <c r="L222" s="136"/>
    </row>
    <row r="223" spans="1:12">
      <c r="A223" s="253"/>
      <c r="B223" s="244"/>
      <c r="C223" s="250"/>
      <c r="D223" s="132" t="s">
        <v>1191</v>
      </c>
      <c r="E223" s="133"/>
      <c r="F223" s="128" t="s">
        <v>1253</v>
      </c>
      <c r="G223" s="126">
        <v>0.33333333333333331</v>
      </c>
      <c r="H223" s="127">
        <v>0.33333333333333298</v>
      </c>
      <c r="I223" s="109">
        <f t="shared" si="4"/>
        <v>0</v>
      </c>
      <c r="J223" s="134">
        <v>0.9</v>
      </c>
      <c r="K223" s="133" t="s">
        <v>1479</v>
      </c>
      <c r="L223" s="136"/>
    </row>
    <row r="224" spans="1:12">
      <c r="A224" s="253"/>
      <c r="B224" s="244"/>
      <c r="C224" s="243" t="s">
        <v>1197</v>
      </c>
      <c r="D224" s="78"/>
      <c r="E224" s="159"/>
      <c r="F224" s="111" t="s">
        <v>1251</v>
      </c>
      <c r="G224" s="107"/>
      <c r="H224" s="108">
        <v>0.33333333333333298</v>
      </c>
      <c r="I224" s="109">
        <f t="shared" si="4"/>
        <v>1</v>
      </c>
      <c r="J224" s="109">
        <v>0.9</v>
      </c>
      <c r="K224" s="82"/>
      <c r="L224" s="112"/>
    </row>
    <row r="225" spans="1:12">
      <c r="A225" s="253"/>
      <c r="B225" s="244"/>
      <c r="C225" s="244"/>
      <c r="D225" s="78"/>
      <c r="E225" s="159"/>
      <c r="F225" s="106" t="s">
        <v>1252</v>
      </c>
      <c r="G225" s="107"/>
      <c r="H225" s="108">
        <v>0.33333333333333298</v>
      </c>
      <c r="I225" s="109">
        <f t="shared" si="4"/>
        <v>1</v>
      </c>
      <c r="J225" s="109">
        <v>0.9</v>
      </c>
      <c r="K225" s="82"/>
      <c r="L225" s="82"/>
    </row>
    <row r="226" spans="1:12" ht="15" thickBot="1">
      <c r="A226" s="253"/>
      <c r="B226" s="245"/>
      <c r="C226" s="245"/>
      <c r="D226" s="78"/>
      <c r="E226" s="113"/>
      <c r="F226" s="114" t="s">
        <v>1253</v>
      </c>
      <c r="G226" s="107">
        <v>0.33333333333333331</v>
      </c>
      <c r="H226" s="108">
        <v>0.33333333333333298</v>
      </c>
      <c r="I226" s="109">
        <f t="shared" si="4"/>
        <v>0</v>
      </c>
      <c r="J226" s="109">
        <v>0.9</v>
      </c>
      <c r="K226" s="82" t="s">
        <v>1479</v>
      </c>
      <c r="L226" s="82"/>
    </row>
    <row r="227" spans="1:12">
      <c r="A227" s="253"/>
      <c r="B227" s="251">
        <v>45862</v>
      </c>
      <c r="C227" s="248" t="s">
        <v>1198</v>
      </c>
      <c r="D227" s="132" t="s">
        <v>1194</v>
      </c>
      <c r="E227" s="158"/>
      <c r="F227" s="125" t="s">
        <v>1251</v>
      </c>
      <c r="G227" s="126"/>
      <c r="H227" s="127">
        <v>0.33333333333333298</v>
      </c>
      <c r="I227" s="109">
        <f t="shared" si="4"/>
        <v>1</v>
      </c>
      <c r="J227" s="134">
        <v>0.9</v>
      </c>
      <c r="K227" s="135" t="s">
        <v>1487</v>
      </c>
      <c r="L227" s="137"/>
    </row>
    <row r="228" spans="1:12">
      <c r="A228" s="253"/>
      <c r="B228" s="244"/>
      <c r="C228" s="249"/>
      <c r="D228" s="132" t="s">
        <v>1194</v>
      </c>
      <c r="E228" s="158"/>
      <c r="F228" s="129" t="s">
        <v>1252</v>
      </c>
      <c r="G228" s="126">
        <v>0.16666666666666666</v>
      </c>
      <c r="H228" s="127">
        <v>0.33333333333333331</v>
      </c>
      <c r="I228" s="109">
        <f t="shared" si="4"/>
        <v>0.5</v>
      </c>
      <c r="J228" s="134">
        <v>0.9</v>
      </c>
      <c r="K228" s="135"/>
      <c r="L228" s="136"/>
    </row>
    <row r="229" spans="1:12">
      <c r="A229" s="253"/>
      <c r="B229" s="244"/>
      <c r="C229" s="250"/>
      <c r="D229" s="132" t="s">
        <v>1194</v>
      </c>
      <c r="E229" s="133"/>
      <c r="F229" s="128" t="s">
        <v>1253</v>
      </c>
      <c r="G229" s="126">
        <v>0.33333333333333331</v>
      </c>
      <c r="H229" s="127">
        <v>0.33333333333333298</v>
      </c>
      <c r="I229" s="109">
        <f t="shared" si="4"/>
        <v>0</v>
      </c>
      <c r="J229" s="134">
        <v>0.9</v>
      </c>
      <c r="K229" s="133"/>
      <c r="L229" s="136"/>
    </row>
    <row r="230" spans="1:12">
      <c r="A230" s="253"/>
      <c r="B230" s="244"/>
      <c r="C230" s="243" t="s">
        <v>1196</v>
      </c>
      <c r="D230" s="78" t="s">
        <v>1193</v>
      </c>
      <c r="E230" s="159"/>
      <c r="F230" s="111" t="s">
        <v>1251</v>
      </c>
      <c r="G230" s="107"/>
      <c r="H230" s="108">
        <v>0.33333333333333298</v>
      </c>
      <c r="I230" s="109">
        <f t="shared" si="4"/>
        <v>1</v>
      </c>
      <c r="J230" s="109">
        <v>0.9</v>
      </c>
      <c r="K230" s="82" t="s">
        <v>1488</v>
      </c>
      <c r="L230" s="112"/>
    </row>
    <row r="231" spans="1:12">
      <c r="A231" s="253"/>
      <c r="B231" s="244"/>
      <c r="C231" s="244"/>
      <c r="D231" s="78" t="s">
        <v>1193</v>
      </c>
      <c r="E231" s="159"/>
      <c r="F231" s="106" t="s">
        <v>1252</v>
      </c>
      <c r="G231" s="107"/>
      <c r="H231" s="108">
        <v>0.33333333333333298</v>
      </c>
      <c r="I231" s="109">
        <f t="shared" si="4"/>
        <v>1</v>
      </c>
      <c r="J231" s="109">
        <v>0.9</v>
      </c>
      <c r="K231" s="82" t="s">
        <v>1488</v>
      </c>
      <c r="L231" s="82"/>
    </row>
    <row r="232" spans="1:12">
      <c r="A232" s="253"/>
      <c r="B232" s="244"/>
      <c r="C232" s="245"/>
      <c r="D232" s="78" t="s">
        <v>1193</v>
      </c>
      <c r="E232" s="113"/>
      <c r="F232" s="114" t="s">
        <v>1253</v>
      </c>
      <c r="G232" s="107">
        <v>0.33333333333333331</v>
      </c>
      <c r="H232" s="108">
        <v>0.33333333333333298</v>
      </c>
      <c r="I232" s="109">
        <f t="shared" si="4"/>
        <v>0</v>
      </c>
      <c r="J232" s="109">
        <v>0.9</v>
      </c>
      <c r="K232" s="82" t="s">
        <v>1479</v>
      </c>
      <c r="L232" s="82"/>
    </row>
    <row r="233" spans="1:12">
      <c r="A233" s="253"/>
      <c r="B233" s="244"/>
      <c r="C233" s="248" t="s">
        <v>1197</v>
      </c>
      <c r="D233" s="132" t="s">
        <v>1191</v>
      </c>
      <c r="E233" s="158"/>
      <c r="F233" s="125" t="s">
        <v>1251</v>
      </c>
      <c r="G233" s="126"/>
      <c r="H233" s="127">
        <v>0.33333333333333298</v>
      </c>
      <c r="I233" s="109">
        <f t="shared" si="4"/>
        <v>1</v>
      </c>
      <c r="J233" s="134">
        <v>0.9</v>
      </c>
      <c r="K233" s="133"/>
      <c r="L233" s="137"/>
    </row>
    <row r="234" spans="1:12">
      <c r="A234" s="253"/>
      <c r="B234" s="244"/>
      <c r="C234" s="249"/>
      <c r="D234" s="132" t="s">
        <v>1191</v>
      </c>
      <c r="E234" s="158"/>
      <c r="F234" s="129" t="s">
        <v>1252</v>
      </c>
      <c r="G234" s="126"/>
      <c r="H234" s="127">
        <v>0.33333333333333298</v>
      </c>
      <c r="I234" s="109">
        <f t="shared" si="4"/>
        <v>1</v>
      </c>
      <c r="J234" s="134">
        <v>0.9</v>
      </c>
      <c r="K234" s="135"/>
      <c r="L234" s="136"/>
    </row>
    <row r="235" spans="1:12" ht="15" thickBot="1">
      <c r="A235" s="253"/>
      <c r="B235" s="245"/>
      <c r="C235" s="250"/>
      <c r="D235" s="132" t="s">
        <v>1191</v>
      </c>
      <c r="E235" s="133"/>
      <c r="F235" s="128" t="s">
        <v>1253</v>
      </c>
      <c r="G235" s="126">
        <v>0.33333333333333331</v>
      </c>
      <c r="H235" s="127">
        <v>0.33333333333333298</v>
      </c>
      <c r="I235" s="109">
        <f t="shared" si="4"/>
        <v>0</v>
      </c>
      <c r="J235" s="134">
        <v>0.9</v>
      </c>
      <c r="K235" s="133" t="s">
        <v>1479</v>
      </c>
      <c r="L235" s="136"/>
    </row>
    <row r="236" spans="1:12">
      <c r="A236" s="253"/>
      <c r="B236" s="251">
        <v>45863</v>
      </c>
      <c r="C236" s="248" t="s">
        <v>1198</v>
      </c>
      <c r="D236" s="132" t="s">
        <v>1194</v>
      </c>
      <c r="E236" s="158"/>
      <c r="F236" s="125" t="s">
        <v>1251</v>
      </c>
      <c r="G236" s="126"/>
      <c r="H236" s="127">
        <v>0.33333333333333298</v>
      </c>
      <c r="I236" s="109">
        <f t="shared" si="4"/>
        <v>1</v>
      </c>
      <c r="J236" s="134">
        <v>0.9</v>
      </c>
      <c r="K236" s="135"/>
      <c r="L236" s="137"/>
    </row>
    <row r="237" spans="1:12">
      <c r="A237" s="253"/>
      <c r="B237" s="244"/>
      <c r="C237" s="249"/>
      <c r="D237" s="132" t="s">
        <v>1194</v>
      </c>
      <c r="E237" s="158"/>
      <c r="F237" s="129" t="s">
        <v>1252</v>
      </c>
      <c r="G237" s="126"/>
      <c r="H237" s="127">
        <v>0.33333333333333298</v>
      </c>
      <c r="I237" s="109">
        <f t="shared" si="4"/>
        <v>1</v>
      </c>
      <c r="J237" s="134">
        <v>0.9</v>
      </c>
      <c r="K237" s="135"/>
      <c r="L237" s="136"/>
    </row>
    <row r="238" spans="1:12">
      <c r="A238" s="253"/>
      <c r="B238" s="244"/>
      <c r="C238" s="250"/>
      <c r="D238" s="132" t="s">
        <v>1194</v>
      </c>
      <c r="E238" s="133"/>
      <c r="F238" s="128" t="s">
        <v>1253</v>
      </c>
      <c r="G238" s="126">
        <v>0.33333333333333331</v>
      </c>
      <c r="H238" s="127">
        <v>0.33333333333333331</v>
      </c>
      <c r="I238" s="109">
        <f t="shared" si="4"/>
        <v>0</v>
      </c>
      <c r="J238" s="134">
        <v>0.9</v>
      </c>
      <c r="K238" s="133" t="s">
        <v>1479</v>
      </c>
      <c r="L238" s="136"/>
    </row>
    <row r="239" spans="1:12">
      <c r="A239" s="253"/>
      <c r="B239" s="244"/>
      <c r="C239" s="243" t="s">
        <v>1196</v>
      </c>
      <c r="D239" s="78" t="s">
        <v>1193</v>
      </c>
      <c r="E239" s="159"/>
      <c r="F239" s="111" t="s">
        <v>1251</v>
      </c>
      <c r="G239" s="107"/>
      <c r="H239" s="108">
        <v>0.33333333333333298</v>
      </c>
      <c r="I239" s="109">
        <f t="shared" si="4"/>
        <v>1</v>
      </c>
      <c r="J239" s="109">
        <v>0.9</v>
      </c>
      <c r="K239" s="82"/>
      <c r="L239" s="112"/>
    </row>
    <row r="240" spans="1:12">
      <c r="A240" s="253"/>
      <c r="B240" s="244"/>
      <c r="C240" s="244"/>
      <c r="D240" s="78" t="s">
        <v>1193</v>
      </c>
      <c r="E240" s="159"/>
      <c r="F240" s="106" t="s">
        <v>1252</v>
      </c>
      <c r="G240" s="107">
        <v>4.1666666666666664E-2</v>
      </c>
      <c r="H240" s="108">
        <v>0.33333333333333298</v>
      </c>
      <c r="I240" s="109">
        <f t="shared" si="4"/>
        <v>0.87499999999999989</v>
      </c>
      <c r="J240" s="109">
        <v>0.9</v>
      </c>
      <c r="K240" s="82"/>
      <c r="L240" s="82"/>
    </row>
    <row r="241" spans="1:12">
      <c r="A241" s="253"/>
      <c r="B241" s="244"/>
      <c r="C241" s="245"/>
      <c r="D241" s="78" t="s">
        <v>1193</v>
      </c>
      <c r="E241" s="113"/>
      <c r="F241" s="114" t="s">
        <v>1253</v>
      </c>
      <c r="G241" s="107">
        <v>0.33333333333333331</v>
      </c>
      <c r="H241" s="108">
        <v>0.33333333333333298</v>
      </c>
      <c r="I241" s="109">
        <f t="shared" si="4"/>
        <v>0</v>
      </c>
      <c r="J241" s="109">
        <v>0.9</v>
      </c>
      <c r="K241" s="82" t="s">
        <v>1479</v>
      </c>
      <c r="L241" s="82"/>
    </row>
    <row r="242" spans="1:12">
      <c r="A242" s="253"/>
      <c r="B242" s="244"/>
      <c r="C242" s="248" t="s">
        <v>1197</v>
      </c>
      <c r="D242" s="132" t="s">
        <v>1191</v>
      </c>
      <c r="E242" s="158"/>
      <c r="F242" s="125" t="s">
        <v>1251</v>
      </c>
      <c r="G242" s="126"/>
      <c r="H242" s="127">
        <v>0.33333333333333298</v>
      </c>
      <c r="I242" s="109">
        <f t="shared" si="4"/>
        <v>1</v>
      </c>
      <c r="J242" s="134">
        <v>0.9</v>
      </c>
      <c r="K242" s="133"/>
      <c r="L242" s="137"/>
    </row>
    <row r="243" spans="1:12">
      <c r="A243" s="253"/>
      <c r="B243" s="244"/>
      <c r="C243" s="249"/>
      <c r="D243" s="132" t="s">
        <v>1191</v>
      </c>
      <c r="E243" s="158"/>
      <c r="F243" s="129" t="s">
        <v>1252</v>
      </c>
      <c r="G243" s="126">
        <v>4.1666666666666664E-2</v>
      </c>
      <c r="H243" s="127">
        <v>0.33333333333333298</v>
      </c>
      <c r="I243" s="109">
        <f t="shared" si="4"/>
        <v>0.87499999999999989</v>
      </c>
      <c r="J243" s="134">
        <v>0.9</v>
      </c>
      <c r="K243" s="135"/>
      <c r="L243" s="136"/>
    </row>
    <row r="244" spans="1:12" ht="15" thickBot="1">
      <c r="A244" s="253"/>
      <c r="B244" s="245"/>
      <c r="C244" s="250"/>
      <c r="D244" s="132" t="s">
        <v>1191</v>
      </c>
      <c r="E244" s="133"/>
      <c r="F244" s="128" t="s">
        <v>1253</v>
      </c>
      <c r="G244" s="126">
        <v>0.33333333333333331</v>
      </c>
      <c r="H244" s="127">
        <v>0.33333333333333298</v>
      </c>
      <c r="I244" s="109">
        <f t="shared" si="4"/>
        <v>0</v>
      </c>
      <c r="J244" s="134">
        <v>0.9</v>
      </c>
      <c r="K244" s="133" t="s">
        <v>1479</v>
      </c>
      <c r="L244" s="136"/>
    </row>
    <row r="245" spans="1:12">
      <c r="A245" s="253"/>
      <c r="B245" s="251">
        <v>45864</v>
      </c>
      <c r="C245" s="248" t="s">
        <v>1198</v>
      </c>
      <c r="D245" s="132"/>
      <c r="E245" s="158"/>
      <c r="F245" s="125" t="s">
        <v>1251</v>
      </c>
      <c r="G245" s="126"/>
      <c r="H245" s="127">
        <v>0.33333333333333298</v>
      </c>
      <c r="I245" s="109">
        <f t="shared" si="4"/>
        <v>1</v>
      </c>
      <c r="J245" s="134">
        <v>0.9</v>
      </c>
      <c r="K245" s="135"/>
      <c r="L245" s="137"/>
    </row>
    <row r="246" spans="1:12">
      <c r="A246" s="253"/>
      <c r="B246" s="244"/>
      <c r="C246" s="249"/>
      <c r="D246" s="132"/>
      <c r="E246" s="158"/>
      <c r="F246" s="129" t="s">
        <v>1252</v>
      </c>
      <c r="G246" s="126"/>
      <c r="H246" s="127">
        <v>0.33333333333333298</v>
      </c>
      <c r="I246" s="109">
        <f t="shared" si="4"/>
        <v>1</v>
      </c>
      <c r="J246" s="134">
        <v>0.9</v>
      </c>
      <c r="K246" s="135"/>
      <c r="L246" s="136"/>
    </row>
    <row r="247" spans="1:12">
      <c r="A247" s="253"/>
      <c r="B247" s="244"/>
      <c r="C247" s="250"/>
      <c r="D247" s="132"/>
      <c r="E247" s="133"/>
      <c r="F247" s="128" t="s">
        <v>1253</v>
      </c>
      <c r="G247" s="126">
        <v>0.33333333333333331</v>
      </c>
      <c r="H247" s="127">
        <v>0.33333333333333298</v>
      </c>
      <c r="I247" s="109">
        <f t="shared" si="4"/>
        <v>0</v>
      </c>
      <c r="J247" s="134">
        <v>0.9</v>
      </c>
      <c r="K247" s="135" t="s">
        <v>1479</v>
      </c>
      <c r="L247" s="136"/>
    </row>
    <row r="248" spans="1:12">
      <c r="A248" s="253"/>
      <c r="B248" s="244"/>
      <c r="C248" s="243" t="s">
        <v>1196</v>
      </c>
      <c r="D248" s="78" t="s">
        <v>1194</v>
      </c>
      <c r="E248" s="159"/>
      <c r="F248" s="111" t="s">
        <v>1251</v>
      </c>
      <c r="G248" s="107">
        <v>2.0833333333333332E-2</v>
      </c>
      <c r="H248" s="108">
        <v>0.33333333333333298</v>
      </c>
      <c r="I248" s="109">
        <f t="shared" si="4"/>
        <v>0.93749999999999989</v>
      </c>
      <c r="J248" s="109">
        <v>0.9</v>
      </c>
      <c r="K248" s="82"/>
      <c r="L248" s="112"/>
    </row>
    <row r="249" spans="1:12">
      <c r="A249" s="253"/>
      <c r="B249" s="244"/>
      <c r="C249" s="244"/>
      <c r="D249" s="78" t="s">
        <v>1194</v>
      </c>
      <c r="E249" s="159"/>
      <c r="F249" s="106" t="s">
        <v>1252</v>
      </c>
      <c r="G249" s="107">
        <v>5.5555555555555552E-2</v>
      </c>
      <c r="H249" s="108">
        <v>0.33333333333333298</v>
      </c>
      <c r="I249" s="109">
        <f t="shared" si="4"/>
        <v>0.83333333333333315</v>
      </c>
      <c r="J249" s="109">
        <v>0.9</v>
      </c>
      <c r="K249" s="82"/>
      <c r="L249" s="82"/>
    </row>
    <row r="250" spans="1:12">
      <c r="A250" s="253"/>
      <c r="B250" s="244"/>
      <c r="C250" s="245"/>
      <c r="D250" s="78" t="s">
        <v>1194</v>
      </c>
      <c r="E250" s="113"/>
      <c r="F250" s="114" t="s">
        <v>1253</v>
      </c>
      <c r="G250" s="107">
        <v>0.33333333333333331</v>
      </c>
      <c r="H250" s="108">
        <v>0.33333333333333298</v>
      </c>
      <c r="I250" s="109">
        <f t="shared" si="4"/>
        <v>0</v>
      </c>
      <c r="J250" s="109">
        <v>0.9</v>
      </c>
      <c r="K250" s="82" t="s">
        <v>1479</v>
      </c>
      <c r="L250" s="82"/>
    </row>
    <row r="251" spans="1:12">
      <c r="A251" s="253"/>
      <c r="B251" s="244"/>
      <c r="C251" s="248" t="s">
        <v>1197</v>
      </c>
      <c r="D251" s="132" t="s">
        <v>1193</v>
      </c>
      <c r="E251" s="158"/>
      <c r="F251" s="125" t="s">
        <v>1251</v>
      </c>
      <c r="G251" s="126"/>
      <c r="H251" s="127">
        <v>0.33333333333333298</v>
      </c>
      <c r="I251" s="109">
        <f t="shared" si="4"/>
        <v>1</v>
      </c>
      <c r="J251" s="134">
        <v>0.9</v>
      </c>
      <c r="K251" s="133"/>
      <c r="L251" s="137"/>
    </row>
    <row r="252" spans="1:12">
      <c r="A252" s="253"/>
      <c r="B252" s="244"/>
      <c r="C252" s="249"/>
      <c r="D252" s="132" t="s">
        <v>1193</v>
      </c>
      <c r="E252" s="158"/>
      <c r="F252" s="129" t="s">
        <v>1252</v>
      </c>
      <c r="G252" s="126"/>
      <c r="H252" s="127">
        <v>0.33333333333333298</v>
      </c>
      <c r="I252" s="109">
        <f t="shared" si="4"/>
        <v>1</v>
      </c>
      <c r="J252" s="134">
        <v>0.9</v>
      </c>
      <c r="K252" s="135"/>
      <c r="L252" s="136"/>
    </row>
    <row r="253" spans="1:12" ht="15" thickBot="1">
      <c r="A253" s="253"/>
      <c r="B253" s="245"/>
      <c r="C253" s="250"/>
      <c r="D253" s="132" t="s">
        <v>1193</v>
      </c>
      <c r="E253" s="133"/>
      <c r="F253" s="128" t="s">
        <v>1253</v>
      </c>
      <c r="G253" s="126">
        <v>0.33333333333333331</v>
      </c>
      <c r="H253" s="127">
        <v>0.33333333333333298</v>
      </c>
      <c r="I253" s="109">
        <f t="shared" si="4"/>
        <v>0</v>
      </c>
      <c r="J253" s="134">
        <v>0.9</v>
      </c>
      <c r="K253" s="133" t="s">
        <v>1479</v>
      </c>
      <c r="L253" s="136"/>
    </row>
    <row r="254" spans="1:12">
      <c r="A254" s="253"/>
      <c r="B254" s="251">
        <v>45865</v>
      </c>
      <c r="C254" s="248" t="s">
        <v>1198</v>
      </c>
      <c r="D254" s="132"/>
      <c r="E254" s="158"/>
      <c r="F254" s="125" t="s">
        <v>1251</v>
      </c>
      <c r="G254" s="126"/>
      <c r="H254" s="127">
        <v>0.33333333333333298</v>
      </c>
      <c r="I254" s="109">
        <f t="shared" si="4"/>
        <v>1</v>
      </c>
      <c r="J254" s="134">
        <v>0.9</v>
      </c>
      <c r="K254" s="135"/>
      <c r="L254" s="137"/>
    </row>
    <row r="255" spans="1:12">
      <c r="A255" s="253"/>
      <c r="B255" s="244"/>
      <c r="C255" s="249"/>
      <c r="D255" s="132"/>
      <c r="E255" s="158"/>
      <c r="F255" s="129" t="s">
        <v>1252</v>
      </c>
      <c r="G255" s="126"/>
      <c r="H255" s="127">
        <v>0.33333333333333298</v>
      </c>
      <c r="I255" s="109">
        <f t="shared" si="4"/>
        <v>1</v>
      </c>
      <c r="J255" s="134">
        <v>0.9</v>
      </c>
      <c r="K255" s="135"/>
      <c r="L255" s="136"/>
    </row>
    <row r="256" spans="1:12">
      <c r="A256" s="253"/>
      <c r="B256" s="244"/>
      <c r="C256" s="250"/>
      <c r="D256" s="132"/>
      <c r="E256" s="133"/>
      <c r="F256" s="128" t="s">
        <v>1253</v>
      </c>
      <c r="G256" s="126">
        <v>0.33333333333333331</v>
      </c>
      <c r="H256" s="127">
        <v>0.33333333333333298</v>
      </c>
      <c r="I256" s="109">
        <f t="shared" si="4"/>
        <v>0</v>
      </c>
      <c r="J256" s="134">
        <v>0.9</v>
      </c>
      <c r="K256" s="133" t="s">
        <v>1479</v>
      </c>
      <c r="L256" s="136"/>
    </row>
    <row r="257" spans="1:12">
      <c r="A257" s="253"/>
      <c r="B257" s="244"/>
      <c r="C257" s="243" t="s">
        <v>1196</v>
      </c>
      <c r="D257" s="78" t="s">
        <v>1194</v>
      </c>
      <c r="E257" s="159"/>
      <c r="F257" s="111" t="s">
        <v>1251</v>
      </c>
      <c r="G257" s="107"/>
      <c r="H257" s="108">
        <v>0.33333333333333298</v>
      </c>
      <c r="I257" s="109">
        <f t="shared" si="4"/>
        <v>1</v>
      </c>
      <c r="J257" s="109">
        <v>0.9</v>
      </c>
      <c r="K257" s="82"/>
      <c r="L257" s="112"/>
    </row>
    <row r="258" spans="1:12">
      <c r="A258" s="253"/>
      <c r="B258" s="244"/>
      <c r="C258" s="244"/>
      <c r="D258" s="78" t="s">
        <v>1194</v>
      </c>
      <c r="E258" s="159"/>
      <c r="F258" s="106" t="s">
        <v>1252</v>
      </c>
      <c r="G258" s="107"/>
      <c r="H258" s="108">
        <v>0.33333333333333298</v>
      </c>
      <c r="I258" s="109">
        <f t="shared" si="4"/>
        <v>1</v>
      </c>
      <c r="J258" s="109">
        <v>0.9</v>
      </c>
      <c r="K258" s="82"/>
      <c r="L258" s="82"/>
    </row>
    <row r="259" spans="1:12">
      <c r="A259" s="253"/>
      <c r="B259" s="244"/>
      <c r="C259" s="245"/>
      <c r="D259" s="78" t="s">
        <v>1194</v>
      </c>
      <c r="E259" s="113"/>
      <c r="F259" s="114" t="s">
        <v>1253</v>
      </c>
      <c r="G259" s="107">
        <v>0.33333333333333331</v>
      </c>
      <c r="H259" s="108">
        <v>0.33333333333333298</v>
      </c>
      <c r="I259" s="109">
        <f t="shared" si="4"/>
        <v>0</v>
      </c>
      <c r="J259" s="109">
        <v>0.9</v>
      </c>
      <c r="K259" s="82" t="s">
        <v>1479</v>
      </c>
      <c r="L259" s="82"/>
    </row>
    <row r="260" spans="1:12">
      <c r="A260" s="253"/>
      <c r="B260" s="244"/>
      <c r="C260" s="248" t="s">
        <v>1197</v>
      </c>
      <c r="D260" s="132" t="s">
        <v>1193</v>
      </c>
      <c r="E260" s="158"/>
      <c r="F260" s="125" t="s">
        <v>1251</v>
      </c>
      <c r="G260" s="126"/>
      <c r="H260" s="127">
        <v>0.33333333333333298</v>
      </c>
      <c r="I260" s="109">
        <f t="shared" si="4"/>
        <v>1</v>
      </c>
      <c r="J260" s="134">
        <v>0.9</v>
      </c>
      <c r="K260" s="133"/>
      <c r="L260" s="137"/>
    </row>
    <row r="261" spans="1:12">
      <c r="A261" s="253"/>
      <c r="B261" s="244"/>
      <c r="C261" s="249"/>
      <c r="D261" s="132" t="s">
        <v>1193</v>
      </c>
      <c r="E261" s="158"/>
      <c r="F261" s="129" t="s">
        <v>1252</v>
      </c>
      <c r="G261" s="126"/>
      <c r="H261" s="127">
        <v>0.33333333333333298</v>
      </c>
      <c r="I261" s="109">
        <f t="shared" si="4"/>
        <v>1</v>
      </c>
      <c r="J261" s="134">
        <v>0.9</v>
      </c>
      <c r="K261" s="135"/>
      <c r="L261" s="136"/>
    </row>
    <row r="262" spans="1:12">
      <c r="A262" s="253"/>
      <c r="B262" s="245"/>
      <c r="C262" s="250"/>
      <c r="D262" s="132" t="s">
        <v>1193</v>
      </c>
      <c r="E262" s="133"/>
      <c r="F262" s="128" t="s">
        <v>1253</v>
      </c>
      <c r="G262" s="126">
        <v>0.33333333333333331</v>
      </c>
      <c r="H262" s="127">
        <v>0.33333333333333298</v>
      </c>
      <c r="I262" s="109">
        <f t="shared" si="4"/>
        <v>0</v>
      </c>
      <c r="J262" s="134">
        <v>0.9</v>
      </c>
      <c r="K262" s="133" t="s">
        <v>1479</v>
      </c>
      <c r="L262" s="136"/>
    </row>
    <row r="263" spans="1:12">
      <c r="A263" s="253"/>
      <c r="B263" s="117"/>
      <c r="C263" s="117"/>
      <c r="D263" s="118"/>
      <c r="E263" s="118"/>
      <c r="F263" s="119" t="s">
        <v>1251</v>
      </c>
      <c r="G263" s="124"/>
      <c r="H263" s="124"/>
      <c r="I263" s="120">
        <f>AVERAGEIF(F200:F262,F263,I200:I262)</f>
        <v>0.99702380952380953</v>
      </c>
      <c r="J263" s="121">
        <v>0.9</v>
      </c>
      <c r="K263" s="118"/>
      <c r="L263" s="116"/>
    </row>
    <row r="264" spans="1:12">
      <c r="A264" s="253"/>
      <c r="B264" s="117"/>
      <c r="C264" s="117"/>
      <c r="D264" s="118"/>
      <c r="E264" s="118"/>
      <c r="F264" s="119" t="s">
        <v>1252</v>
      </c>
      <c r="G264" s="124"/>
      <c r="H264" s="124"/>
      <c r="I264" s="120">
        <f>AVERAGEIF(F200:F262,F264,I200:I262)</f>
        <v>0.9419642857142857</v>
      </c>
      <c r="J264" s="121">
        <v>0.9</v>
      </c>
      <c r="K264" s="118"/>
      <c r="L264" s="116"/>
    </row>
    <row r="265" spans="1:12" ht="15" thickBot="1">
      <c r="A265" s="253"/>
      <c r="B265" s="117"/>
      <c r="C265" s="117"/>
      <c r="D265" s="118"/>
      <c r="E265" s="118"/>
      <c r="F265" s="119" t="s">
        <v>1253</v>
      </c>
      <c r="G265" s="124"/>
      <c r="H265" s="124"/>
      <c r="I265" s="120">
        <f>AVERAGEIF(F200:F262,F265,I200:I262)</f>
        <v>4.7619047619047616E-2</v>
      </c>
      <c r="J265" s="121">
        <v>0.9</v>
      </c>
      <c r="K265" s="118"/>
      <c r="L265" s="116"/>
    </row>
    <row r="266" spans="1:12">
      <c r="A266" s="252" t="s">
        <v>1202</v>
      </c>
      <c r="B266" s="251">
        <v>45866</v>
      </c>
      <c r="C266" s="243" t="s">
        <v>1198</v>
      </c>
      <c r="D266" s="110"/>
      <c r="E266" s="156"/>
      <c r="F266" s="111" t="s">
        <v>1251</v>
      </c>
      <c r="G266" s="107"/>
      <c r="H266" s="108">
        <v>0.33333333333333331</v>
      </c>
      <c r="I266" s="109">
        <f>1-(G266/H266)</f>
        <v>1</v>
      </c>
      <c r="J266" s="109">
        <v>0.9</v>
      </c>
      <c r="K266" s="82"/>
      <c r="L266" s="82"/>
    </row>
    <row r="267" spans="1:12">
      <c r="A267" s="253"/>
      <c r="B267" s="244"/>
      <c r="C267" s="244"/>
      <c r="D267" s="110"/>
      <c r="E267" s="156"/>
      <c r="F267" s="111" t="s">
        <v>1252</v>
      </c>
      <c r="G267" s="107"/>
      <c r="H267" s="108">
        <v>0.33333333333333331</v>
      </c>
      <c r="I267" s="109">
        <f>1-(G267/H267)</f>
        <v>1</v>
      </c>
      <c r="J267" s="109">
        <v>0.9</v>
      </c>
      <c r="K267" s="82"/>
      <c r="L267" s="82"/>
    </row>
    <row r="268" spans="1:12">
      <c r="A268" s="253"/>
      <c r="B268" s="244"/>
      <c r="C268" s="245"/>
      <c r="D268" s="110"/>
      <c r="E268" s="157"/>
      <c r="F268" s="114" t="s">
        <v>1253</v>
      </c>
      <c r="G268" s="107"/>
      <c r="H268" s="108">
        <v>0.33333333333333298</v>
      </c>
      <c r="I268" s="109">
        <f t="shared" ref="I268:I301" si="5">1-(G268/H268)</f>
        <v>1</v>
      </c>
      <c r="J268" s="109">
        <v>0.9</v>
      </c>
      <c r="K268" s="82"/>
      <c r="L268" s="82"/>
    </row>
    <row r="269" spans="1:12">
      <c r="A269" s="253"/>
      <c r="B269" s="244"/>
      <c r="C269" s="248" t="s">
        <v>1196</v>
      </c>
      <c r="D269" s="132" t="s">
        <v>1191</v>
      </c>
      <c r="E269" s="158"/>
      <c r="F269" s="125" t="s">
        <v>1251</v>
      </c>
      <c r="G269" s="126"/>
      <c r="H269" s="127">
        <v>0.33333333333333298</v>
      </c>
      <c r="I269" s="109">
        <f t="shared" si="5"/>
        <v>1</v>
      </c>
      <c r="J269" s="134">
        <v>0.9</v>
      </c>
      <c r="K269" s="135"/>
      <c r="L269" s="136"/>
    </row>
    <row r="270" spans="1:12">
      <c r="A270" s="253"/>
      <c r="B270" s="244"/>
      <c r="C270" s="249"/>
      <c r="D270" s="132" t="s">
        <v>1191</v>
      </c>
      <c r="E270" s="158"/>
      <c r="F270" s="125" t="s">
        <v>1252</v>
      </c>
      <c r="G270" s="126"/>
      <c r="H270" s="127">
        <v>0.33333333333333298</v>
      </c>
      <c r="I270" s="109">
        <f t="shared" si="5"/>
        <v>1</v>
      </c>
      <c r="J270" s="134">
        <v>0.9</v>
      </c>
      <c r="K270" s="135"/>
      <c r="L270" s="136"/>
    </row>
    <row r="271" spans="1:12">
      <c r="A271" s="253"/>
      <c r="B271" s="244"/>
      <c r="C271" s="250"/>
      <c r="D271" s="132" t="s">
        <v>1191</v>
      </c>
      <c r="E271" s="133"/>
      <c r="F271" s="128" t="s">
        <v>1253</v>
      </c>
      <c r="G271" s="126"/>
      <c r="H271" s="127">
        <v>0.33333333333333298</v>
      </c>
      <c r="I271" s="109">
        <f t="shared" si="5"/>
        <v>1</v>
      </c>
      <c r="J271" s="134">
        <v>0.9</v>
      </c>
      <c r="K271" s="133"/>
      <c r="L271" s="136"/>
    </row>
    <row r="272" spans="1:12">
      <c r="A272" s="253"/>
      <c r="B272" s="244"/>
      <c r="C272" s="243" t="s">
        <v>1197</v>
      </c>
      <c r="D272" s="78" t="s">
        <v>1194</v>
      </c>
      <c r="E272" s="159"/>
      <c r="F272" s="111" t="s">
        <v>1251</v>
      </c>
      <c r="G272" s="107"/>
      <c r="H272" s="108">
        <v>0.33333333333333298</v>
      </c>
      <c r="I272" s="109">
        <f t="shared" si="5"/>
        <v>1</v>
      </c>
      <c r="J272" s="109">
        <v>0.9</v>
      </c>
      <c r="K272" s="82"/>
      <c r="L272" s="112"/>
    </row>
    <row r="273" spans="1:12">
      <c r="A273" s="253"/>
      <c r="B273" s="244"/>
      <c r="C273" s="244"/>
      <c r="D273" s="78" t="s">
        <v>1194</v>
      </c>
      <c r="E273" s="159"/>
      <c r="F273" s="111" t="s">
        <v>1252</v>
      </c>
      <c r="G273" s="107"/>
      <c r="H273" s="108">
        <v>0.33333333333333298</v>
      </c>
      <c r="I273" s="109">
        <f t="shared" si="5"/>
        <v>1</v>
      </c>
      <c r="J273" s="109">
        <v>0.9</v>
      </c>
      <c r="K273" s="82"/>
      <c r="L273" s="82"/>
    </row>
    <row r="274" spans="1:12" ht="15" thickBot="1">
      <c r="A274" s="253"/>
      <c r="B274" s="245"/>
      <c r="C274" s="245"/>
      <c r="D274" s="78" t="s">
        <v>1194</v>
      </c>
      <c r="E274" s="113"/>
      <c r="F274" s="114" t="s">
        <v>1253</v>
      </c>
      <c r="G274" s="107">
        <v>0.33333333333333331</v>
      </c>
      <c r="H274" s="108">
        <v>0.33333333333333331</v>
      </c>
      <c r="I274" s="109">
        <f t="shared" si="5"/>
        <v>0</v>
      </c>
      <c r="J274" s="109">
        <v>0.9</v>
      </c>
      <c r="K274" s="82" t="s">
        <v>1482</v>
      </c>
      <c r="L274" s="82"/>
    </row>
    <row r="275" spans="1:12">
      <c r="A275" s="253"/>
      <c r="B275" s="251">
        <v>45867</v>
      </c>
      <c r="C275" s="248" t="s">
        <v>1198</v>
      </c>
      <c r="D275" s="132" t="s">
        <v>1191</v>
      </c>
      <c r="E275" s="158"/>
      <c r="F275" s="125" t="s">
        <v>1251</v>
      </c>
      <c r="G275" s="126"/>
      <c r="H275" s="127">
        <v>0.33333333333333298</v>
      </c>
      <c r="I275" s="109">
        <f t="shared" si="5"/>
        <v>1</v>
      </c>
      <c r="J275" s="134">
        <v>0.9</v>
      </c>
      <c r="K275" s="135"/>
      <c r="L275" s="137"/>
    </row>
    <row r="276" spans="1:12">
      <c r="A276" s="253"/>
      <c r="B276" s="244"/>
      <c r="C276" s="249"/>
      <c r="D276" s="132" t="s">
        <v>1191</v>
      </c>
      <c r="E276" s="158"/>
      <c r="F276" s="125" t="s">
        <v>1252</v>
      </c>
      <c r="G276" s="126"/>
      <c r="H276" s="127">
        <v>0.33333333333333298</v>
      </c>
      <c r="I276" s="109">
        <f t="shared" si="5"/>
        <v>1</v>
      </c>
      <c r="J276" s="134">
        <v>0.9</v>
      </c>
      <c r="K276" s="135"/>
      <c r="L276" s="136"/>
    </row>
    <row r="277" spans="1:12">
      <c r="A277" s="253"/>
      <c r="B277" s="244"/>
      <c r="C277" s="250"/>
      <c r="D277" s="132" t="s">
        <v>1191</v>
      </c>
      <c r="E277" s="133"/>
      <c r="F277" s="128" t="s">
        <v>1253</v>
      </c>
      <c r="G277" s="126">
        <v>0.29166666666666669</v>
      </c>
      <c r="H277" s="127">
        <v>0.33333333333333298</v>
      </c>
      <c r="I277" s="109">
        <f t="shared" si="5"/>
        <v>0.124999999999999</v>
      </c>
      <c r="J277" s="134">
        <v>0.9</v>
      </c>
      <c r="K277" s="133" t="s">
        <v>1325</v>
      </c>
      <c r="L277" s="136"/>
    </row>
    <row r="278" spans="1:12">
      <c r="A278" s="253"/>
      <c r="B278" s="244"/>
      <c r="C278" s="243" t="s">
        <v>1196</v>
      </c>
      <c r="D278" s="78"/>
      <c r="E278" s="159"/>
      <c r="F278" s="111" t="s">
        <v>1251</v>
      </c>
      <c r="G278" s="107"/>
      <c r="H278" s="108">
        <v>0.33333333333333298</v>
      </c>
      <c r="I278" s="109">
        <f t="shared" si="5"/>
        <v>1</v>
      </c>
      <c r="J278" s="109">
        <v>0.9</v>
      </c>
      <c r="K278" s="82"/>
      <c r="L278" s="112"/>
    </row>
    <row r="279" spans="1:12">
      <c r="A279" s="253"/>
      <c r="B279" s="244"/>
      <c r="C279" s="244"/>
      <c r="D279" s="78"/>
      <c r="E279" s="159"/>
      <c r="F279" s="111" t="s">
        <v>1252</v>
      </c>
      <c r="G279" s="107">
        <v>0.25</v>
      </c>
      <c r="H279" s="108">
        <v>0.33333333333333298</v>
      </c>
      <c r="I279" s="109">
        <f t="shared" si="5"/>
        <v>0.24999999999999922</v>
      </c>
      <c r="J279" s="109">
        <v>0.9</v>
      </c>
      <c r="K279" s="82" t="s">
        <v>1326</v>
      </c>
      <c r="L279" s="82"/>
    </row>
    <row r="280" spans="1:12">
      <c r="A280" s="253"/>
      <c r="B280" s="244"/>
      <c r="C280" s="245"/>
      <c r="D280" s="78"/>
      <c r="E280" s="113"/>
      <c r="F280" s="114" t="s">
        <v>1253</v>
      </c>
      <c r="G280" s="107">
        <v>5.5555555555555552E-2</v>
      </c>
      <c r="H280" s="108">
        <v>0.33333333333333298</v>
      </c>
      <c r="I280" s="109">
        <f t="shared" si="5"/>
        <v>0.83333333333333315</v>
      </c>
      <c r="J280" s="109">
        <v>0.9</v>
      </c>
      <c r="K280" s="82"/>
      <c r="L280" s="82"/>
    </row>
    <row r="281" spans="1:12">
      <c r="A281" s="253"/>
      <c r="B281" s="244"/>
      <c r="C281" s="248" t="s">
        <v>1197</v>
      </c>
      <c r="D281" s="132" t="s">
        <v>1194</v>
      </c>
      <c r="E281" s="158"/>
      <c r="F281" s="125" t="s">
        <v>1251</v>
      </c>
      <c r="G281" s="126"/>
      <c r="H281" s="127">
        <v>0.33333333333333298</v>
      </c>
      <c r="I281" s="109">
        <f t="shared" si="5"/>
        <v>1</v>
      </c>
      <c r="J281" s="134">
        <v>0.9</v>
      </c>
      <c r="K281" s="135"/>
      <c r="L281" s="137"/>
    </row>
    <row r="282" spans="1:12">
      <c r="A282" s="253"/>
      <c r="B282" s="244"/>
      <c r="C282" s="249"/>
      <c r="D282" s="132" t="s">
        <v>1194</v>
      </c>
      <c r="E282" s="158"/>
      <c r="F282" s="129" t="s">
        <v>1252</v>
      </c>
      <c r="G282" s="126">
        <v>0.16666666666666666</v>
      </c>
      <c r="H282" s="127">
        <v>0.33333333333333298</v>
      </c>
      <c r="I282" s="109">
        <f t="shared" si="5"/>
        <v>0.49999999999999944</v>
      </c>
      <c r="J282" s="134">
        <v>0.9</v>
      </c>
      <c r="K282" s="135" t="s">
        <v>1326</v>
      </c>
      <c r="L282" s="136"/>
    </row>
    <row r="283" spans="1:12" ht="15" thickBot="1">
      <c r="A283" s="253"/>
      <c r="B283" s="245"/>
      <c r="C283" s="250"/>
      <c r="D283" s="132" t="s">
        <v>1194</v>
      </c>
      <c r="E283" s="133"/>
      <c r="F283" s="128" t="s">
        <v>1253</v>
      </c>
      <c r="G283" s="126">
        <v>0.20833333333333334</v>
      </c>
      <c r="H283" s="131">
        <v>0.33333333333333298</v>
      </c>
      <c r="I283" s="115">
        <f t="shared" si="5"/>
        <v>0.37499999999999933</v>
      </c>
      <c r="J283" s="134">
        <v>0.9</v>
      </c>
      <c r="K283" s="133" t="s">
        <v>1482</v>
      </c>
      <c r="L283" s="136"/>
    </row>
    <row r="284" spans="1:12">
      <c r="A284" s="253"/>
      <c r="B284" s="251">
        <v>45868</v>
      </c>
      <c r="C284" s="243" t="s">
        <v>1198</v>
      </c>
      <c r="D284" s="78" t="s">
        <v>1193</v>
      </c>
      <c r="E284" s="159"/>
      <c r="F284" s="111" t="s">
        <v>1251</v>
      </c>
      <c r="G284" s="107">
        <v>0.29166666666666669</v>
      </c>
      <c r="H284" s="108">
        <v>0.33333333333333331</v>
      </c>
      <c r="I284" s="109">
        <f t="shared" si="5"/>
        <v>0.12499999999999989</v>
      </c>
      <c r="J284" s="109">
        <v>0.9</v>
      </c>
      <c r="K284" s="82"/>
      <c r="L284" s="112"/>
    </row>
    <row r="285" spans="1:12">
      <c r="A285" s="253"/>
      <c r="B285" s="244"/>
      <c r="C285" s="244"/>
      <c r="D285" s="78" t="s">
        <v>1193</v>
      </c>
      <c r="E285" s="159"/>
      <c r="F285" s="106" t="s">
        <v>1252</v>
      </c>
      <c r="G285" s="107">
        <v>0.29166666666666669</v>
      </c>
      <c r="H285" s="108">
        <v>0.33333333333333298</v>
      </c>
      <c r="I285" s="109">
        <f t="shared" si="5"/>
        <v>0.124999999999999</v>
      </c>
      <c r="J285" s="109">
        <v>0.9</v>
      </c>
      <c r="K285" s="82"/>
      <c r="L285" s="82"/>
    </row>
    <row r="286" spans="1:12">
      <c r="A286" s="253"/>
      <c r="B286" s="244"/>
      <c r="C286" s="245"/>
      <c r="D286" s="78" t="s">
        <v>1193</v>
      </c>
      <c r="E286" s="113"/>
      <c r="F286" s="114" t="s">
        <v>1253</v>
      </c>
      <c r="G286" s="107">
        <v>0.29166666666666669</v>
      </c>
      <c r="H286" s="108">
        <v>0.33333333333333298</v>
      </c>
      <c r="I286" s="109">
        <f t="shared" si="5"/>
        <v>0.124999999999999</v>
      </c>
      <c r="J286" s="109">
        <v>0.9</v>
      </c>
      <c r="K286" s="82"/>
      <c r="L286" s="82"/>
    </row>
    <row r="287" spans="1:12">
      <c r="A287" s="253"/>
      <c r="B287" s="244"/>
      <c r="C287" s="248" t="s">
        <v>1196</v>
      </c>
      <c r="D287" s="132" t="s">
        <v>1191</v>
      </c>
      <c r="E287" s="158"/>
      <c r="F287" s="125" t="s">
        <v>1251</v>
      </c>
      <c r="G287" s="126">
        <v>0.20833333333333334</v>
      </c>
      <c r="H287" s="127">
        <v>0.33333333333333298</v>
      </c>
      <c r="I287" s="109">
        <f t="shared" si="5"/>
        <v>0.37499999999999933</v>
      </c>
      <c r="J287" s="134">
        <v>0.9</v>
      </c>
      <c r="K287" s="135" t="s">
        <v>1497</v>
      </c>
      <c r="L287" s="137"/>
    </row>
    <row r="288" spans="1:12">
      <c r="A288" s="253"/>
      <c r="B288" s="244"/>
      <c r="C288" s="249"/>
      <c r="D288" s="132" t="s">
        <v>1191</v>
      </c>
      <c r="E288" s="158"/>
      <c r="F288" s="129" t="s">
        <v>1252</v>
      </c>
      <c r="G288" s="126">
        <v>0.20833333333333334</v>
      </c>
      <c r="H288" s="127">
        <v>0.33333333333333298</v>
      </c>
      <c r="I288" s="109">
        <f t="shared" si="5"/>
        <v>0.37499999999999933</v>
      </c>
      <c r="J288" s="134">
        <v>0.9</v>
      </c>
      <c r="K288" s="135" t="s">
        <v>1497</v>
      </c>
      <c r="L288" s="136"/>
    </row>
    <row r="289" spans="1:12">
      <c r="A289" s="253"/>
      <c r="B289" s="244"/>
      <c r="C289" s="250"/>
      <c r="D289" s="132" t="s">
        <v>1191</v>
      </c>
      <c r="E289" s="133"/>
      <c r="F289" s="128" t="s">
        <v>1253</v>
      </c>
      <c r="G289" s="126">
        <v>0.20833333333333334</v>
      </c>
      <c r="H289" s="127">
        <v>0.33333333333333298</v>
      </c>
      <c r="I289" s="109">
        <f t="shared" si="5"/>
        <v>0.37499999999999933</v>
      </c>
      <c r="J289" s="134">
        <v>0.9</v>
      </c>
      <c r="K289" s="135" t="s">
        <v>1497</v>
      </c>
      <c r="L289" s="136"/>
    </row>
    <row r="290" spans="1:12">
      <c r="A290" s="253"/>
      <c r="B290" s="244"/>
      <c r="C290" s="243" t="s">
        <v>1197</v>
      </c>
      <c r="D290" s="78"/>
      <c r="E290" s="159"/>
      <c r="F290" s="111" t="s">
        <v>1251</v>
      </c>
      <c r="G290" s="107">
        <v>0.20833333333333334</v>
      </c>
      <c r="H290" s="108">
        <v>0.33333333333333298</v>
      </c>
      <c r="I290" s="109">
        <f t="shared" si="5"/>
        <v>0.37499999999999933</v>
      </c>
      <c r="J290" s="109">
        <v>0.9</v>
      </c>
      <c r="K290" s="82" t="s">
        <v>1498</v>
      </c>
      <c r="L290" s="112"/>
    </row>
    <row r="291" spans="1:12">
      <c r="A291" s="253"/>
      <c r="B291" s="244"/>
      <c r="C291" s="244"/>
      <c r="D291" s="78"/>
      <c r="E291" s="159"/>
      <c r="F291" s="106" t="s">
        <v>1252</v>
      </c>
      <c r="G291" s="107">
        <v>0.20833333333333334</v>
      </c>
      <c r="H291" s="108">
        <v>0.33333333333333298</v>
      </c>
      <c r="I291" s="109">
        <f t="shared" si="5"/>
        <v>0.37499999999999933</v>
      </c>
      <c r="J291" s="109">
        <v>0.9</v>
      </c>
      <c r="K291" s="82" t="s">
        <v>1498</v>
      </c>
      <c r="L291" s="82"/>
    </row>
    <row r="292" spans="1:12" ht="15" thickBot="1">
      <c r="A292" s="253"/>
      <c r="B292" s="245"/>
      <c r="C292" s="245"/>
      <c r="D292" s="78"/>
      <c r="E292" s="113"/>
      <c r="F292" s="114" t="s">
        <v>1253</v>
      </c>
      <c r="G292" s="107">
        <v>0.20833333333333334</v>
      </c>
      <c r="H292" s="108">
        <v>0.33333333333333298</v>
      </c>
      <c r="I292" s="109">
        <f t="shared" si="5"/>
        <v>0.37499999999999933</v>
      </c>
      <c r="J292" s="109">
        <v>0.9</v>
      </c>
      <c r="K292" s="82" t="s">
        <v>1498</v>
      </c>
      <c r="L292" s="82"/>
    </row>
    <row r="293" spans="1:12">
      <c r="A293" s="253"/>
      <c r="B293" s="251">
        <v>45869</v>
      </c>
      <c r="C293" s="248" t="s">
        <v>1198</v>
      </c>
      <c r="D293" s="132" t="s">
        <v>1193</v>
      </c>
      <c r="E293" s="158"/>
      <c r="F293" s="125" t="s">
        <v>1251</v>
      </c>
      <c r="G293" s="126">
        <v>0.33333333333333331</v>
      </c>
      <c r="H293" s="127">
        <v>0.33333333333333331</v>
      </c>
      <c r="I293" s="109">
        <f t="shared" si="5"/>
        <v>0</v>
      </c>
      <c r="J293" s="134">
        <v>0.9</v>
      </c>
      <c r="K293" s="135" t="s">
        <v>1500</v>
      </c>
      <c r="L293" s="137"/>
    </row>
    <row r="294" spans="1:12">
      <c r="A294" s="253"/>
      <c r="B294" s="244"/>
      <c r="C294" s="249"/>
      <c r="D294" s="132" t="s">
        <v>1193</v>
      </c>
      <c r="E294" s="158"/>
      <c r="F294" s="129" t="s">
        <v>1252</v>
      </c>
      <c r="G294" s="126">
        <v>0.33333333333333331</v>
      </c>
      <c r="H294" s="127">
        <v>0.33333333333333298</v>
      </c>
      <c r="I294" s="109">
        <f t="shared" si="5"/>
        <v>0</v>
      </c>
      <c r="J294" s="134">
        <v>0.9</v>
      </c>
      <c r="K294" s="135" t="s">
        <v>1500</v>
      </c>
      <c r="L294" s="136"/>
    </row>
    <row r="295" spans="1:12">
      <c r="A295" s="253"/>
      <c r="B295" s="244"/>
      <c r="C295" s="250"/>
      <c r="D295" s="132" t="s">
        <v>1193</v>
      </c>
      <c r="E295" s="133"/>
      <c r="F295" s="128" t="s">
        <v>1253</v>
      </c>
      <c r="G295" s="126">
        <v>0.33333333333333331</v>
      </c>
      <c r="H295" s="127">
        <v>0.33333333333333298</v>
      </c>
      <c r="I295" s="109">
        <f t="shared" si="5"/>
        <v>0</v>
      </c>
      <c r="J295" s="134">
        <v>0.9</v>
      </c>
      <c r="K295" s="135" t="s">
        <v>1500</v>
      </c>
      <c r="L295" s="136"/>
    </row>
    <row r="296" spans="1:12">
      <c r="A296" s="253"/>
      <c r="B296" s="244"/>
      <c r="C296" s="243" t="s">
        <v>1196</v>
      </c>
      <c r="D296" s="78" t="s">
        <v>1191</v>
      </c>
      <c r="E296" s="159"/>
      <c r="F296" s="111" t="s">
        <v>1251</v>
      </c>
      <c r="G296" s="107">
        <v>0.20833333333333334</v>
      </c>
      <c r="H296" s="108">
        <v>0.33333333333333298</v>
      </c>
      <c r="I296" s="109">
        <f t="shared" si="5"/>
        <v>0.37499999999999933</v>
      </c>
      <c r="J296" s="109">
        <v>0.9</v>
      </c>
      <c r="K296" s="82" t="s">
        <v>1499</v>
      </c>
      <c r="L296" s="112"/>
    </row>
    <row r="297" spans="1:12">
      <c r="A297" s="253"/>
      <c r="B297" s="244"/>
      <c r="C297" s="244"/>
      <c r="D297" s="78" t="s">
        <v>1191</v>
      </c>
      <c r="E297" s="159"/>
      <c r="F297" s="106" t="s">
        <v>1252</v>
      </c>
      <c r="G297" s="107">
        <v>0.20833333333333334</v>
      </c>
      <c r="H297" s="108">
        <v>0.33333333333333298</v>
      </c>
      <c r="I297" s="109">
        <f t="shared" si="5"/>
        <v>0.37499999999999933</v>
      </c>
      <c r="J297" s="109">
        <v>0.9</v>
      </c>
      <c r="K297" s="82" t="s">
        <v>1499</v>
      </c>
      <c r="L297" s="82"/>
    </row>
    <row r="298" spans="1:12">
      <c r="A298" s="253"/>
      <c r="B298" s="244"/>
      <c r="C298" s="245"/>
      <c r="D298" s="78" t="s">
        <v>1191</v>
      </c>
      <c r="E298" s="113"/>
      <c r="F298" s="114" t="s">
        <v>1253</v>
      </c>
      <c r="G298" s="107">
        <v>0.20833333333333334</v>
      </c>
      <c r="H298" s="108">
        <v>0.33333333333333298</v>
      </c>
      <c r="I298" s="109">
        <f t="shared" si="5"/>
        <v>0.37499999999999933</v>
      </c>
      <c r="J298" s="109">
        <v>0.9</v>
      </c>
      <c r="K298" s="82" t="s">
        <v>1499</v>
      </c>
      <c r="L298" s="82"/>
    </row>
    <row r="299" spans="1:12">
      <c r="A299" s="253"/>
      <c r="B299" s="244"/>
      <c r="C299" s="248" t="s">
        <v>1197</v>
      </c>
      <c r="D299" s="132"/>
      <c r="E299" s="158"/>
      <c r="F299" s="125" t="s">
        <v>1251</v>
      </c>
      <c r="G299" s="126"/>
      <c r="H299" s="127">
        <v>0.33333333333333298</v>
      </c>
      <c r="I299" s="109">
        <f t="shared" si="5"/>
        <v>1</v>
      </c>
      <c r="J299" s="134">
        <v>0.9</v>
      </c>
      <c r="K299" s="133"/>
      <c r="L299" s="137"/>
    </row>
    <row r="300" spans="1:12">
      <c r="A300" s="253"/>
      <c r="B300" s="244"/>
      <c r="C300" s="249"/>
      <c r="D300" s="132"/>
      <c r="E300" s="158"/>
      <c r="F300" s="129" t="s">
        <v>1252</v>
      </c>
      <c r="G300" s="126"/>
      <c r="H300" s="127">
        <v>0.33333333333333298</v>
      </c>
      <c r="I300" s="109">
        <f t="shared" si="5"/>
        <v>1</v>
      </c>
      <c r="J300" s="134">
        <v>0.9</v>
      </c>
      <c r="K300" s="135"/>
      <c r="L300" s="136"/>
    </row>
    <row r="301" spans="1:12">
      <c r="A301" s="253"/>
      <c r="B301" s="245"/>
      <c r="C301" s="250"/>
      <c r="D301" s="132"/>
      <c r="E301" s="133"/>
      <c r="F301" s="128" t="s">
        <v>1253</v>
      </c>
      <c r="G301" s="126">
        <v>0.20833333333333334</v>
      </c>
      <c r="H301" s="127">
        <v>0.33333333333333298</v>
      </c>
      <c r="I301" s="109">
        <f t="shared" si="5"/>
        <v>0.37499999999999933</v>
      </c>
      <c r="J301" s="134">
        <v>0.9</v>
      </c>
      <c r="K301" s="133" t="s">
        <v>1501</v>
      </c>
      <c r="L301" s="136"/>
    </row>
    <row r="302" spans="1:12">
      <c r="A302" s="253"/>
      <c r="B302" s="117"/>
      <c r="C302" s="117"/>
      <c r="D302" s="118"/>
      <c r="E302" s="118"/>
      <c r="F302" s="119" t="s">
        <v>1251</v>
      </c>
      <c r="G302" s="124"/>
      <c r="H302" s="124"/>
      <c r="I302" s="120">
        <f>AVERAGEIF(F266:F301,F302,I266:I301)</f>
        <v>0.68749999999999967</v>
      </c>
      <c r="J302" s="121">
        <v>0.9</v>
      </c>
      <c r="K302" s="118"/>
      <c r="L302" s="116"/>
    </row>
    <row r="303" spans="1:12">
      <c r="A303" s="253"/>
      <c r="B303" s="117"/>
      <c r="C303" s="117"/>
      <c r="D303" s="118"/>
      <c r="E303" s="118"/>
      <c r="F303" s="119" t="s">
        <v>1252</v>
      </c>
      <c r="G303" s="124"/>
      <c r="H303" s="124"/>
      <c r="I303" s="120">
        <f>AVERAGEIF(F266:F301,F303,I266:I301)</f>
        <v>0.58333333333333293</v>
      </c>
      <c r="J303" s="121">
        <v>0.9</v>
      </c>
      <c r="K303" s="118"/>
      <c r="L303" s="116"/>
    </row>
    <row r="304" spans="1:12">
      <c r="A304" s="253"/>
      <c r="B304" s="117"/>
      <c r="C304" s="117"/>
      <c r="D304" s="118"/>
      <c r="E304" s="118"/>
      <c r="F304" s="119" t="s">
        <v>1253</v>
      </c>
      <c r="G304" s="124"/>
      <c r="H304" s="124"/>
      <c r="I304" s="120">
        <f>AVERAGEIF(F266:F301,F304,I266:I301)</f>
        <v>0.41319444444444392</v>
      </c>
      <c r="J304" s="121">
        <v>0.9</v>
      </c>
      <c r="K304" s="118"/>
      <c r="L304" s="116"/>
    </row>
  </sheetData>
  <mergeCells count="169">
    <mergeCell ref="A1:F1"/>
    <mergeCell ref="G1:J1"/>
    <mergeCell ref="K1:L1"/>
    <mergeCell ref="A2:L2"/>
    <mergeCell ref="A3:F3"/>
    <mergeCell ref="G3:J3"/>
    <mergeCell ref="K3:L3"/>
    <mergeCell ref="A4:F4"/>
    <mergeCell ref="G4:J4"/>
    <mergeCell ref="K4:L4"/>
    <mergeCell ref="A11:A67"/>
    <mergeCell ref="B11:B19"/>
    <mergeCell ref="C11:C13"/>
    <mergeCell ref="C14:C16"/>
    <mergeCell ref="B20:B28"/>
    <mergeCell ref="C20:C22"/>
    <mergeCell ref="B29:B37"/>
    <mergeCell ref="N22:N23"/>
    <mergeCell ref="O22:O23"/>
    <mergeCell ref="B38:B46"/>
    <mergeCell ref="C38:C40"/>
    <mergeCell ref="P22:P23"/>
    <mergeCell ref="Q22:Q23"/>
    <mergeCell ref="C23:C25"/>
    <mergeCell ref="P24:P27"/>
    <mergeCell ref="Q24:Q27"/>
    <mergeCell ref="C26:C28"/>
    <mergeCell ref="N15:N16"/>
    <mergeCell ref="O15:O16"/>
    <mergeCell ref="P15:P16"/>
    <mergeCell ref="Q15:Q16"/>
    <mergeCell ref="C17:C19"/>
    <mergeCell ref="P17:P19"/>
    <mergeCell ref="Q17:Q19"/>
    <mergeCell ref="P38:P41"/>
    <mergeCell ref="Q38:Q41"/>
    <mergeCell ref="C41:C43"/>
    <mergeCell ref="C29:C31"/>
    <mergeCell ref="N29:N30"/>
    <mergeCell ref="O29:O30"/>
    <mergeCell ref="P29:P30"/>
    <mergeCell ref="Q29:Q30"/>
    <mergeCell ref="P31:P34"/>
    <mergeCell ref="Q31:Q34"/>
    <mergeCell ref="C32:C34"/>
    <mergeCell ref="N43:N44"/>
    <mergeCell ref="O43:O44"/>
    <mergeCell ref="P43:P44"/>
    <mergeCell ref="Q43:Q44"/>
    <mergeCell ref="C44:C46"/>
    <mergeCell ref="P45:P48"/>
    <mergeCell ref="Q45:Q48"/>
    <mergeCell ref="C35:C37"/>
    <mergeCell ref="N36:N37"/>
    <mergeCell ref="O36:O37"/>
    <mergeCell ref="P36:P37"/>
    <mergeCell ref="Q36:Q37"/>
    <mergeCell ref="A68:A133"/>
    <mergeCell ref="B68:B76"/>
    <mergeCell ref="C68:C70"/>
    <mergeCell ref="C71:C73"/>
    <mergeCell ref="C74:C76"/>
    <mergeCell ref="B77:B85"/>
    <mergeCell ref="B47:B55"/>
    <mergeCell ref="C47:C49"/>
    <mergeCell ref="C50:C52"/>
    <mergeCell ref="C53:C55"/>
    <mergeCell ref="B56:B64"/>
    <mergeCell ref="C56:C58"/>
    <mergeCell ref="C59:C61"/>
    <mergeCell ref="C62:C64"/>
    <mergeCell ref="C77:C79"/>
    <mergeCell ref="C80:C82"/>
    <mergeCell ref="C83:C85"/>
    <mergeCell ref="B86:B94"/>
    <mergeCell ref="C86:C88"/>
    <mergeCell ref="C89:C91"/>
    <mergeCell ref="C92:C94"/>
    <mergeCell ref="B113:B121"/>
    <mergeCell ref="C113:C115"/>
    <mergeCell ref="C116:C118"/>
    <mergeCell ref="C119:C121"/>
    <mergeCell ref="B122:B130"/>
    <mergeCell ref="C122:C124"/>
    <mergeCell ref="C125:C127"/>
    <mergeCell ref="C128:C130"/>
    <mergeCell ref="B95:B103"/>
    <mergeCell ref="C95:C97"/>
    <mergeCell ref="C98:C100"/>
    <mergeCell ref="C101:C103"/>
    <mergeCell ref="B104:B112"/>
    <mergeCell ref="C104:C106"/>
    <mergeCell ref="C107:C109"/>
    <mergeCell ref="C110:C112"/>
    <mergeCell ref="C152:C154"/>
    <mergeCell ref="C155:C157"/>
    <mergeCell ref="C158:C160"/>
    <mergeCell ref="B161:B169"/>
    <mergeCell ref="C161:C163"/>
    <mergeCell ref="C164:C166"/>
    <mergeCell ref="C167:C169"/>
    <mergeCell ref="A134:A199"/>
    <mergeCell ref="B134:B142"/>
    <mergeCell ref="C134:C136"/>
    <mergeCell ref="C137:C139"/>
    <mergeCell ref="C140:C142"/>
    <mergeCell ref="B143:B151"/>
    <mergeCell ref="C143:C145"/>
    <mergeCell ref="C146:C148"/>
    <mergeCell ref="C149:C151"/>
    <mergeCell ref="B152:B160"/>
    <mergeCell ref="C194:C196"/>
    <mergeCell ref="B170:B178"/>
    <mergeCell ref="C170:C172"/>
    <mergeCell ref="C173:C175"/>
    <mergeCell ref="C176:C178"/>
    <mergeCell ref="B179:B187"/>
    <mergeCell ref="C179:C181"/>
    <mergeCell ref="C182:C184"/>
    <mergeCell ref="C185:C187"/>
    <mergeCell ref="C209:C211"/>
    <mergeCell ref="B188:B196"/>
    <mergeCell ref="C188:C190"/>
    <mergeCell ref="C191:C193"/>
    <mergeCell ref="B227:B235"/>
    <mergeCell ref="C227:C229"/>
    <mergeCell ref="C230:C232"/>
    <mergeCell ref="C233:C235"/>
    <mergeCell ref="B236:B244"/>
    <mergeCell ref="C236:C238"/>
    <mergeCell ref="C239:C241"/>
    <mergeCell ref="C242:C244"/>
    <mergeCell ref="A200:A265"/>
    <mergeCell ref="B200:B208"/>
    <mergeCell ref="C200:C202"/>
    <mergeCell ref="C203:C205"/>
    <mergeCell ref="C206:C208"/>
    <mergeCell ref="B209:B217"/>
    <mergeCell ref="C212:C214"/>
    <mergeCell ref="C215:C217"/>
    <mergeCell ref="B218:B226"/>
    <mergeCell ref="C218:C220"/>
    <mergeCell ref="C221:C223"/>
    <mergeCell ref="C224:C226"/>
    <mergeCell ref="B245:B253"/>
    <mergeCell ref="C245:C247"/>
    <mergeCell ref="C248:C250"/>
    <mergeCell ref="C251:C253"/>
    <mergeCell ref="B254:B262"/>
    <mergeCell ref="C254:C256"/>
    <mergeCell ref="C257:C259"/>
    <mergeCell ref="C260:C262"/>
    <mergeCell ref="A266:A304"/>
    <mergeCell ref="B266:B274"/>
    <mergeCell ref="C266:C268"/>
    <mergeCell ref="C269:C271"/>
    <mergeCell ref="C272:C274"/>
    <mergeCell ref="B275:B283"/>
    <mergeCell ref="C275:C277"/>
    <mergeCell ref="C278:C280"/>
    <mergeCell ref="C281:C283"/>
    <mergeCell ref="B284:B292"/>
    <mergeCell ref="B293:B301"/>
    <mergeCell ref="C293:C295"/>
    <mergeCell ref="C296:C298"/>
    <mergeCell ref="C299:C301"/>
    <mergeCell ref="C284:C286"/>
    <mergeCell ref="C287:C289"/>
    <mergeCell ref="C290:C292"/>
  </mergeCells>
  <phoneticPr fontId="13" type="noConversion"/>
  <conditionalFormatting sqref="F11:F64">
    <cfRule type="containsText" dxfId="88" priority="1" operator="containsText" text="P'SUP">
      <formula>NOT(ISERROR(SEARCH("P'SUP",F11)))</formula>
    </cfRule>
    <cfRule type="containsText" dxfId="87" priority="2" operator="containsText" text="P'NUT">
      <formula>NOT(ISERROR(SEARCH("P'NUT",F11)))</formula>
    </cfRule>
  </conditionalFormatting>
  <conditionalFormatting sqref="F11:F304">
    <cfRule type="containsText" dxfId="86" priority="3" operator="containsText" text="P'SUP">
      <formula>NOT(ISERROR(SEARCH("P'SUP",F11)))</formula>
    </cfRule>
  </conditionalFormatting>
  <conditionalFormatting sqref="F65:F304">
    <cfRule type="containsText" dxfId="85" priority="12" operator="containsText" text="P'NUT">
      <formula>NOT(ISERROR(SEARCH("P'NUT",F65)))</formula>
    </cfRule>
    <cfRule type="containsText" dxfId="84" priority="13" operator="containsText" text="P'SUP">
      <formula>NOT(ISERROR(SEARCH("P'SUP",F65)))</formula>
    </cfRule>
  </conditionalFormatting>
  <conditionalFormatting sqref="I11:I304">
    <cfRule type="cellIs" dxfId="83" priority="10" operator="greaterThan">
      <formula>0.85</formula>
    </cfRule>
    <cfRule type="cellIs" dxfId="82" priority="11" operator="lessThan">
      <formula>0.85</formula>
    </cfRule>
  </conditionalFormatting>
  <conditionalFormatting sqref="O25:O27">
    <cfRule type="cellIs" dxfId="81" priority="6" operator="lessThan">
      <formula>0.85</formula>
    </cfRule>
  </conditionalFormatting>
  <conditionalFormatting sqref="O17:P19">
    <cfRule type="cellIs" dxfId="80" priority="9" operator="lessThan">
      <formula>0.85</formula>
    </cfRule>
  </conditionalFormatting>
  <conditionalFormatting sqref="O24:P24">
    <cfRule type="cellIs" dxfId="79" priority="8" operator="lessThan">
      <formula>0.85</formula>
    </cfRule>
  </conditionalFormatting>
  <conditionalFormatting sqref="O31:P31 O32:O34">
    <cfRule type="cellIs" dxfId="78" priority="7" operator="lessThan">
      <formula>0.85</formula>
    </cfRule>
  </conditionalFormatting>
  <conditionalFormatting sqref="O38:P38 O39:O41">
    <cfRule type="cellIs" dxfId="77" priority="5" operator="lessThan">
      <formula>0.85</formula>
    </cfRule>
  </conditionalFormatting>
  <conditionalFormatting sqref="O45:P45 O46:O48">
    <cfRule type="cellIs" dxfId="76" priority="4" operator="lessThan">
      <formula>0.85</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4FF1D603-90AF-40A5-91EC-6788C3C695AB}">
          <x14:formula1>
            <xm:f>n!$A$2:$A$6</xm:f>
          </x14:formula1>
          <xm:sqref>P31 P24 P38 P45</xm:sqref>
        </x14:dataValidation>
        <x14:dataValidation type="list" allowBlank="1" showInputMessage="1" showErrorMessage="1" xr:uid="{170DAD14-DAD8-4C05-9881-7E04C6F15FCE}">
          <x14:formula1>
            <xm:f>n!$B$2:$B$4</xm:f>
          </x14:formula1>
          <xm:sqref>C11:C304</xm:sqref>
        </x14:dataValidation>
        <x14:dataValidation type="list" allowBlank="1" showInputMessage="1" showErrorMessage="1" xr:uid="{AC3AE95B-7F03-4D10-98A5-267E833870C5}">
          <x14:formula1>
            <xm:f>n!$A$1:$A$6</xm:f>
          </x14:formula1>
          <xm:sqref>D11:E304</xm:sqref>
        </x14:dataValidation>
        <x14:dataValidation type="list" allowBlank="1" showInputMessage="1" showErrorMessage="1" xr:uid="{84E608A7-846D-4C70-A4A0-68CABBD22552}">
          <x14:formula1>
            <xm:f>n!$A$8:$A$10</xm:f>
          </x14:formula1>
          <xm:sqref>F11:F304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0678D-FF56-4ACA-85CC-7EBA6D0AE48E}">
  <dimension ref="A1:Q304"/>
  <sheetViews>
    <sheetView topLeftCell="F18" zoomScale="80" zoomScaleNormal="80" workbookViewId="0">
      <selection activeCell="O38" sqref="O38:O41"/>
    </sheetView>
  </sheetViews>
  <sheetFormatPr baseColWidth="10" defaultRowHeight="14.4"/>
  <cols>
    <col min="2" max="3" width="13.21875" customWidth="1"/>
    <col min="4" max="4" width="14.88671875" customWidth="1"/>
    <col min="5" max="5" width="14.33203125" customWidth="1"/>
    <col min="7" max="7" width="14.21875" customWidth="1"/>
    <col min="9" max="10" width="14.5546875" customWidth="1"/>
    <col min="11" max="11" width="30.21875" customWidth="1"/>
    <col min="12" max="12" width="30.44140625" customWidth="1"/>
    <col min="14" max="14" width="14.44140625" customWidth="1"/>
    <col min="15" max="15" width="16.77734375" customWidth="1"/>
    <col min="16" max="16" width="15.21875" customWidth="1"/>
    <col min="17" max="17" width="58.5546875" customWidth="1"/>
  </cols>
  <sheetData>
    <row r="1" spans="1:17" ht="38.4" customHeight="1">
      <c r="A1" s="201"/>
      <c r="B1" s="201"/>
      <c r="C1" s="201"/>
      <c r="D1" s="201"/>
      <c r="E1" s="201"/>
      <c r="F1" s="201"/>
      <c r="G1" s="201"/>
      <c r="H1" s="201"/>
      <c r="I1" s="201"/>
      <c r="J1" s="201"/>
      <c r="K1" s="246" t="s">
        <v>1228</v>
      </c>
      <c r="L1" s="246"/>
    </row>
    <row r="2" spans="1:17" ht="26.4" customHeight="1">
      <c r="A2" s="210" t="s">
        <v>1227</v>
      </c>
      <c r="B2" s="210"/>
      <c r="C2" s="210"/>
      <c r="D2" s="210"/>
      <c r="E2" s="210"/>
      <c r="F2" s="210"/>
      <c r="G2" s="210"/>
      <c r="H2" s="210"/>
      <c r="I2" s="210"/>
      <c r="J2" s="210"/>
      <c r="K2" s="210"/>
      <c r="L2" s="210"/>
    </row>
    <row r="3" spans="1:17" ht="26.4" customHeight="1">
      <c r="A3" s="221" t="s">
        <v>1210</v>
      </c>
      <c r="B3" s="222"/>
      <c r="C3" s="222"/>
      <c r="D3" s="222"/>
      <c r="E3" s="222"/>
      <c r="F3" s="222"/>
      <c r="G3" s="221" t="s">
        <v>1209</v>
      </c>
      <c r="H3" s="222"/>
      <c r="I3" s="222"/>
      <c r="J3" s="222"/>
      <c r="K3" s="247" t="s">
        <v>1230</v>
      </c>
      <c r="L3" s="247"/>
      <c r="N3" s="67"/>
    </row>
    <row r="4" spans="1:17" ht="63" customHeight="1">
      <c r="A4" s="221" t="s">
        <v>1224</v>
      </c>
      <c r="B4" s="222"/>
      <c r="C4" s="222"/>
      <c r="D4" s="222"/>
      <c r="E4" s="222"/>
      <c r="F4" s="222"/>
      <c r="G4" s="221" t="s">
        <v>1225</v>
      </c>
      <c r="H4" s="222"/>
      <c r="I4" s="222"/>
      <c r="J4" s="222"/>
      <c r="K4" s="221" t="s">
        <v>1226</v>
      </c>
      <c r="L4" s="221"/>
    </row>
    <row r="5" spans="1:17" ht="14.4" customHeight="1"/>
    <row r="6" spans="1:17" hidden="1"/>
    <row r="7" spans="1:17" hidden="1"/>
    <row r="8" spans="1:17" hidden="1"/>
    <row r="9" spans="1:17" ht="24.6" customHeight="1" thickBot="1"/>
    <row r="10" spans="1:17" ht="36.6" customHeight="1" thickTop="1" thickBot="1">
      <c r="A10" s="139" t="s">
        <v>1190</v>
      </c>
      <c r="B10" s="140" t="s">
        <v>1258</v>
      </c>
      <c r="C10" s="141" t="s">
        <v>1257</v>
      </c>
      <c r="D10" s="141" t="s">
        <v>1250</v>
      </c>
      <c r="E10" s="141" t="s">
        <v>1285</v>
      </c>
      <c r="F10" s="141" t="s">
        <v>1246</v>
      </c>
      <c r="G10" s="142" t="s">
        <v>1259</v>
      </c>
      <c r="H10" s="143" t="s">
        <v>1248</v>
      </c>
      <c r="I10" s="143" t="s">
        <v>1249</v>
      </c>
      <c r="J10" s="143" t="s">
        <v>1254</v>
      </c>
      <c r="K10" s="144" t="s">
        <v>1247</v>
      </c>
      <c r="L10" s="145" t="s">
        <v>1255</v>
      </c>
    </row>
    <row r="11" spans="1:17" ht="14.4" customHeight="1">
      <c r="A11" s="252"/>
      <c r="B11" s="251">
        <v>45870</v>
      </c>
      <c r="C11" s="243" t="s">
        <v>1198</v>
      </c>
      <c r="D11" s="110" t="s">
        <v>1194</v>
      </c>
      <c r="E11" s="156"/>
      <c r="F11" s="111" t="s">
        <v>1251</v>
      </c>
      <c r="G11" s="107"/>
      <c r="H11" s="108">
        <v>0.33333333333333331</v>
      </c>
      <c r="I11" s="109">
        <f>1-(G11/H11)</f>
        <v>1</v>
      </c>
      <c r="J11" s="109">
        <v>0.9</v>
      </c>
      <c r="K11" s="82"/>
      <c r="L11" s="82"/>
    </row>
    <row r="12" spans="1:17" ht="14.4" customHeight="1">
      <c r="A12" s="253"/>
      <c r="B12" s="244"/>
      <c r="C12" s="244"/>
      <c r="D12" s="110" t="s">
        <v>1194</v>
      </c>
      <c r="E12" s="156"/>
      <c r="F12" s="111" t="s">
        <v>1252</v>
      </c>
      <c r="G12" s="107"/>
      <c r="H12" s="108">
        <v>0.33333333333333331</v>
      </c>
      <c r="I12" s="109">
        <f>1-(G12/H12)</f>
        <v>1</v>
      </c>
      <c r="J12" s="109">
        <v>0.9</v>
      </c>
      <c r="K12" s="82"/>
      <c r="L12" s="82"/>
    </row>
    <row r="13" spans="1:17" ht="14.4" customHeight="1">
      <c r="A13" s="253"/>
      <c r="B13" s="244"/>
      <c r="C13" s="245"/>
      <c r="D13" s="110" t="s">
        <v>1194</v>
      </c>
      <c r="E13" s="157"/>
      <c r="F13" s="114" t="s">
        <v>1253</v>
      </c>
      <c r="G13" s="107">
        <v>0.14583333333333334</v>
      </c>
      <c r="H13" s="108">
        <v>0.33333333333333331</v>
      </c>
      <c r="I13" s="109">
        <f t="shared" ref="I13:I37" si="0">1-(G13/H13)</f>
        <v>0.5625</v>
      </c>
      <c r="J13" s="109">
        <v>0.9</v>
      </c>
      <c r="K13" s="82" t="s">
        <v>1514</v>
      </c>
      <c r="L13" s="82"/>
    </row>
    <row r="14" spans="1:17" ht="14.4" customHeight="1">
      <c r="A14" s="253"/>
      <c r="B14" s="244"/>
      <c r="C14" s="248" t="s">
        <v>1196</v>
      </c>
      <c r="D14" s="132" t="s">
        <v>1193</v>
      </c>
      <c r="E14" s="158"/>
      <c r="F14" s="125" t="s">
        <v>1251</v>
      </c>
      <c r="G14" s="126"/>
      <c r="H14" s="127">
        <v>0.33333333333333298</v>
      </c>
      <c r="I14" s="134">
        <f t="shared" si="0"/>
        <v>1</v>
      </c>
      <c r="J14" s="134">
        <v>0.9</v>
      </c>
      <c r="K14" s="135"/>
      <c r="L14" s="136"/>
    </row>
    <row r="15" spans="1:17" ht="14.4" customHeight="1">
      <c r="A15" s="253"/>
      <c r="B15" s="244"/>
      <c r="C15" s="249"/>
      <c r="D15" s="132" t="s">
        <v>1193</v>
      </c>
      <c r="E15" s="158"/>
      <c r="F15" s="125" t="s">
        <v>1252</v>
      </c>
      <c r="G15" s="126"/>
      <c r="H15" s="127">
        <v>0.33333333333333298</v>
      </c>
      <c r="I15" s="134">
        <f t="shared" si="0"/>
        <v>1</v>
      </c>
      <c r="J15" s="134">
        <v>0.9</v>
      </c>
      <c r="K15" s="135"/>
      <c r="L15" s="136"/>
      <c r="N15" s="255" t="s">
        <v>1287</v>
      </c>
      <c r="O15" s="255" t="s">
        <v>1288</v>
      </c>
      <c r="P15" s="255" t="s">
        <v>1289</v>
      </c>
      <c r="Q15" s="255" t="s">
        <v>1290</v>
      </c>
    </row>
    <row r="16" spans="1:17" ht="14.4" customHeight="1">
      <c r="A16" s="253"/>
      <c r="B16" s="244"/>
      <c r="C16" s="250"/>
      <c r="D16" s="132" t="s">
        <v>1193</v>
      </c>
      <c r="E16" s="133"/>
      <c r="F16" s="128" t="s">
        <v>1253</v>
      </c>
      <c r="G16" s="126"/>
      <c r="H16" s="127">
        <v>0.33333333333333298</v>
      </c>
      <c r="I16" s="134">
        <f t="shared" si="0"/>
        <v>1</v>
      </c>
      <c r="J16" s="134">
        <v>0.9</v>
      </c>
      <c r="K16" s="133"/>
      <c r="L16" s="136"/>
      <c r="N16" s="255"/>
      <c r="O16" s="255"/>
      <c r="P16" s="255"/>
      <c r="Q16" s="255"/>
    </row>
    <row r="17" spans="1:17" ht="14.4" customHeight="1">
      <c r="A17" s="253"/>
      <c r="B17" s="244"/>
      <c r="C17" s="243" t="s">
        <v>1197</v>
      </c>
      <c r="D17" s="78" t="s">
        <v>1191</v>
      </c>
      <c r="E17" s="159"/>
      <c r="F17" s="111" t="s">
        <v>1251</v>
      </c>
      <c r="G17" s="107"/>
      <c r="H17" s="108">
        <v>0.33333333333333298</v>
      </c>
      <c r="I17" s="109">
        <f t="shared" si="0"/>
        <v>1</v>
      </c>
      <c r="J17" s="109">
        <v>0.9</v>
      </c>
      <c r="K17" s="82"/>
      <c r="L17" s="112"/>
      <c r="N17" s="161" t="s">
        <v>1251</v>
      </c>
      <c r="O17" s="162">
        <f>(I38+I104+I170+I236+I302)/5</f>
        <v>0.95922619047619051</v>
      </c>
      <c r="P17" s="254">
        <f>(O17+O18+O19)/3</f>
        <v>0.94973544973544977</v>
      </c>
      <c r="Q17" s="256" t="s">
        <v>1522</v>
      </c>
    </row>
    <row r="18" spans="1:17" ht="14.4" customHeight="1">
      <c r="A18" s="253"/>
      <c r="B18" s="244"/>
      <c r="C18" s="244"/>
      <c r="D18" s="78" t="s">
        <v>1191</v>
      </c>
      <c r="E18" s="159"/>
      <c r="F18" s="111" t="s">
        <v>1252</v>
      </c>
      <c r="G18" s="107"/>
      <c r="H18" s="108">
        <v>0.33333333333333298</v>
      </c>
      <c r="I18" s="109">
        <f t="shared" si="0"/>
        <v>1</v>
      </c>
      <c r="J18" s="109">
        <v>0.9</v>
      </c>
      <c r="K18" s="82"/>
      <c r="L18" s="82"/>
      <c r="N18" s="161" t="s">
        <v>1252</v>
      </c>
      <c r="O18" s="162">
        <f>(I39+I105+I171+I237+I303)/5</f>
        <v>0.95208333333333339</v>
      </c>
      <c r="P18" s="254"/>
      <c r="Q18" s="257"/>
    </row>
    <row r="19" spans="1:17" ht="15" customHeight="1" thickBot="1">
      <c r="A19" s="253"/>
      <c r="B19" s="245"/>
      <c r="C19" s="245"/>
      <c r="D19" s="78" t="s">
        <v>1191</v>
      </c>
      <c r="E19" s="113"/>
      <c r="F19" s="114" t="s">
        <v>1253</v>
      </c>
      <c r="G19" s="107"/>
      <c r="H19" s="108">
        <v>0.33333333333333298</v>
      </c>
      <c r="I19" s="109">
        <f t="shared" si="0"/>
        <v>1</v>
      </c>
      <c r="J19" s="109">
        <v>0.9</v>
      </c>
      <c r="K19" s="82"/>
      <c r="L19" s="82"/>
      <c r="N19" s="161" t="s">
        <v>1286</v>
      </c>
      <c r="O19" s="162">
        <f>(I40+I106+I172+I238+I304)/5</f>
        <v>0.93789682539682528</v>
      </c>
      <c r="P19" s="254"/>
      <c r="Q19" s="257"/>
    </row>
    <row r="20" spans="1:17" ht="14.4" customHeight="1">
      <c r="A20" s="253"/>
      <c r="B20" s="251">
        <v>45871</v>
      </c>
      <c r="C20" s="248" t="s">
        <v>1198</v>
      </c>
      <c r="D20" s="132" t="s">
        <v>1194</v>
      </c>
      <c r="E20" s="158"/>
      <c r="F20" s="125" t="s">
        <v>1251</v>
      </c>
      <c r="G20" s="126"/>
      <c r="H20" s="127">
        <v>0.33333333333333298</v>
      </c>
      <c r="I20" s="134">
        <f t="shared" si="0"/>
        <v>1</v>
      </c>
      <c r="J20" s="134">
        <v>0.9</v>
      </c>
      <c r="K20" s="135"/>
      <c r="L20" s="137"/>
    </row>
    <row r="21" spans="1:17" ht="14.4" customHeight="1">
      <c r="A21" s="253"/>
      <c r="B21" s="244"/>
      <c r="C21" s="249"/>
      <c r="D21" s="132" t="s">
        <v>1194</v>
      </c>
      <c r="E21" s="158"/>
      <c r="F21" s="125" t="s">
        <v>1252</v>
      </c>
      <c r="G21" s="126"/>
      <c r="H21" s="127">
        <v>0.33333333333333298</v>
      </c>
      <c r="I21" s="134">
        <f t="shared" si="0"/>
        <v>1</v>
      </c>
      <c r="J21" s="134">
        <v>0.9</v>
      </c>
      <c r="K21" s="135"/>
      <c r="L21" s="136"/>
    </row>
    <row r="22" spans="1:17" ht="14.4" customHeight="1">
      <c r="A22" s="253"/>
      <c r="B22" s="244"/>
      <c r="C22" s="250"/>
      <c r="D22" s="132" t="s">
        <v>1194</v>
      </c>
      <c r="E22" s="133"/>
      <c r="F22" s="128" t="s">
        <v>1253</v>
      </c>
      <c r="G22" s="126"/>
      <c r="H22" s="127">
        <v>0.33333333333333298</v>
      </c>
      <c r="I22" s="134">
        <f t="shared" si="0"/>
        <v>1</v>
      </c>
      <c r="J22" s="134">
        <v>0.9</v>
      </c>
      <c r="K22" s="133"/>
      <c r="L22" s="136"/>
      <c r="N22" s="255" t="s">
        <v>1287</v>
      </c>
      <c r="O22" s="255" t="s">
        <v>1288</v>
      </c>
      <c r="P22" s="255" t="s">
        <v>1292</v>
      </c>
      <c r="Q22" s="255" t="s">
        <v>1290</v>
      </c>
    </row>
    <row r="23" spans="1:17" ht="14.4" customHeight="1">
      <c r="A23" s="253"/>
      <c r="B23" s="244"/>
      <c r="C23" s="243" t="s">
        <v>1196</v>
      </c>
      <c r="D23" s="78" t="s">
        <v>1193</v>
      </c>
      <c r="E23" s="159"/>
      <c r="F23" s="111" t="s">
        <v>1251</v>
      </c>
      <c r="G23" s="107"/>
      <c r="H23" s="108">
        <v>0.33333333333333298</v>
      </c>
      <c r="I23" s="109">
        <f t="shared" si="0"/>
        <v>1</v>
      </c>
      <c r="J23" s="109">
        <v>0.9</v>
      </c>
      <c r="K23" s="82"/>
      <c r="L23" s="112"/>
      <c r="N23" s="255"/>
      <c r="O23" s="255"/>
      <c r="P23" s="255"/>
      <c r="Q23" s="255"/>
    </row>
    <row r="24" spans="1:17" ht="14.4" customHeight="1">
      <c r="A24" s="253"/>
      <c r="B24" s="244"/>
      <c r="C24" s="244"/>
      <c r="D24" s="78" t="s">
        <v>1193</v>
      </c>
      <c r="E24" s="159"/>
      <c r="F24" s="111" t="s">
        <v>1252</v>
      </c>
      <c r="G24" s="107"/>
      <c r="H24" s="108">
        <v>0.33333333333333298</v>
      </c>
      <c r="I24" s="109">
        <f t="shared" si="0"/>
        <v>1</v>
      </c>
      <c r="J24" s="109">
        <v>0.9</v>
      </c>
      <c r="K24" s="82"/>
      <c r="L24" s="82"/>
      <c r="N24" s="161" t="s">
        <v>1251</v>
      </c>
      <c r="O24" s="162">
        <f>(AVERAGEIFS(I11:I37,D11:D37,P24,F11:F37,N24)+AVERAGEIFS(I41:I103,D41:D103,P24,F41:F103,N24)+AVERAGEIFS(I107:I169,D107:D169,P24,F107:F169,N24)+AVERAGEIFS(I173:I235,D173:D235,P24,F173:F235,N24)+AVERAGEIFS(I239:I301,D239:D301,P24,F239:F301,N24))/5</f>
        <v>0.97041666666666659</v>
      </c>
      <c r="P24" s="260" t="s">
        <v>1191</v>
      </c>
      <c r="Q24" s="224"/>
    </row>
    <row r="25" spans="1:17" ht="14.4" customHeight="1">
      <c r="A25" s="253"/>
      <c r="B25" s="244"/>
      <c r="C25" s="245"/>
      <c r="D25" s="78" t="s">
        <v>1193</v>
      </c>
      <c r="E25" s="113"/>
      <c r="F25" s="114" t="s">
        <v>1253</v>
      </c>
      <c r="G25" s="107"/>
      <c r="H25" s="108">
        <v>0.33333333333333298</v>
      </c>
      <c r="I25" s="109">
        <f t="shared" si="0"/>
        <v>1</v>
      </c>
      <c r="J25" s="109">
        <v>0.9</v>
      </c>
      <c r="K25" s="82"/>
      <c r="L25" s="82"/>
      <c r="N25" s="161" t="s">
        <v>1252</v>
      </c>
      <c r="O25" s="162">
        <f>(AVERAGEIFS(I11:I37,D11:D37,P24,F11:F37,N25)+AVERAGEIFS(I41:I103,D41:D103,P24,F41:F103,N25)+AVERAGEIFS(I107:I169,D107:D169,P24,F107:F169,N25)+AVERAGEIFS(I173:I235,D173:D235,P24,F173:F235,N25)+AVERAGEIFS(I239:I301,D239:D301,P24,F239:F301,N25))/5</f>
        <v>0.95458333333333345</v>
      </c>
      <c r="P25" s="261"/>
      <c r="Q25" s="227"/>
    </row>
    <row r="26" spans="1:17" ht="14.4" customHeight="1">
      <c r="A26" s="253"/>
      <c r="B26" s="244"/>
      <c r="C26" s="248" t="s">
        <v>1197</v>
      </c>
      <c r="D26" s="132" t="s">
        <v>1191</v>
      </c>
      <c r="E26" s="158"/>
      <c r="F26" s="125" t="s">
        <v>1251</v>
      </c>
      <c r="G26" s="126"/>
      <c r="H26" s="127">
        <v>0.33333333333333298</v>
      </c>
      <c r="I26" s="134">
        <f t="shared" si="0"/>
        <v>1</v>
      </c>
      <c r="J26" s="134">
        <v>0.9</v>
      </c>
      <c r="K26" s="135"/>
      <c r="L26" s="137"/>
      <c r="N26" s="161" t="s">
        <v>1253</v>
      </c>
      <c r="O26" s="162">
        <f>(AVERAGEIFS(I11:I37,D11:D37,P24,F11:F37,N26)+AVERAGEIFS(I41:I103,D41:D103,P24,F41:F103,N26)+AVERAGEIFS(I107:I169,D107:D169,P24,F107:F169,N26)+AVERAGEIFS(I173:I235,D173:D235,P24,F173:F235,N26)+AVERAGEIFS(I239:I301,D239:D301,P24,F239:F301,N26))/5</f>
        <v>0.9441666666666666</v>
      </c>
      <c r="P26" s="261"/>
      <c r="Q26" s="227"/>
    </row>
    <row r="27" spans="1:17" ht="14.4" customHeight="1">
      <c r="A27" s="253"/>
      <c r="B27" s="244"/>
      <c r="C27" s="249"/>
      <c r="D27" s="132" t="s">
        <v>1191</v>
      </c>
      <c r="E27" s="158"/>
      <c r="F27" s="129" t="s">
        <v>1252</v>
      </c>
      <c r="G27" s="126"/>
      <c r="H27" s="127">
        <v>0.33333333333333298</v>
      </c>
      <c r="I27" s="134">
        <f t="shared" si="0"/>
        <v>1</v>
      </c>
      <c r="J27" s="134">
        <v>0.9</v>
      </c>
      <c r="K27" s="135"/>
      <c r="L27" s="136"/>
      <c r="N27" s="161" t="s">
        <v>1293</v>
      </c>
      <c r="O27" s="162">
        <f>(O24+O25+O26)/3</f>
        <v>0.95638888888888884</v>
      </c>
      <c r="P27" s="261"/>
      <c r="Q27" s="227"/>
    </row>
    <row r="28" spans="1:17" ht="14.4" customHeight="1" thickBot="1">
      <c r="A28" s="253"/>
      <c r="B28" s="245"/>
      <c r="C28" s="250"/>
      <c r="D28" s="132" t="s">
        <v>1191</v>
      </c>
      <c r="E28" s="133"/>
      <c r="F28" s="128" t="s">
        <v>1253</v>
      </c>
      <c r="G28" s="126"/>
      <c r="H28" s="131">
        <v>0.33333333333333298</v>
      </c>
      <c r="I28" s="138">
        <f t="shared" si="0"/>
        <v>1</v>
      </c>
      <c r="J28" s="134">
        <v>0.9</v>
      </c>
      <c r="K28" s="133"/>
      <c r="L28" s="136"/>
    </row>
    <row r="29" spans="1:17" ht="15" customHeight="1">
      <c r="A29" s="253"/>
      <c r="B29" s="251">
        <v>45872</v>
      </c>
      <c r="C29" s="243" t="s">
        <v>1198</v>
      </c>
      <c r="D29" s="78" t="s">
        <v>1192</v>
      </c>
      <c r="E29" s="159"/>
      <c r="F29" s="111" t="s">
        <v>1251</v>
      </c>
      <c r="G29" s="107">
        <v>8.3333333333333329E-2</v>
      </c>
      <c r="H29" s="108">
        <v>0.33333333333333298</v>
      </c>
      <c r="I29" s="109">
        <f t="shared" si="0"/>
        <v>0.74999999999999978</v>
      </c>
      <c r="J29" s="109">
        <v>0.9</v>
      </c>
      <c r="K29" s="82" t="s">
        <v>1515</v>
      </c>
      <c r="L29" s="112"/>
      <c r="N29" s="255" t="s">
        <v>1287</v>
      </c>
      <c r="O29" s="255" t="s">
        <v>1288</v>
      </c>
      <c r="P29" s="255" t="s">
        <v>1292</v>
      </c>
      <c r="Q29" s="255" t="s">
        <v>1290</v>
      </c>
    </row>
    <row r="30" spans="1:17" ht="15" customHeight="1">
      <c r="A30" s="253"/>
      <c r="B30" s="244"/>
      <c r="C30" s="244"/>
      <c r="D30" s="78" t="s">
        <v>1192</v>
      </c>
      <c r="E30" s="159"/>
      <c r="F30" s="106" t="s">
        <v>1252</v>
      </c>
      <c r="G30" s="107">
        <v>8.3333333333333329E-2</v>
      </c>
      <c r="H30" s="108">
        <v>0.33333333333333298</v>
      </c>
      <c r="I30" s="109">
        <f t="shared" si="0"/>
        <v>0.74999999999999978</v>
      </c>
      <c r="J30" s="109">
        <v>0.9</v>
      </c>
      <c r="K30" s="82" t="s">
        <v>1515</v>
      </c>
      <c r="L30" s="82"/>
      <c r="N30" s="255"/>
      <c r="O30" s="255"/>
      <c r="P30" s="255"/>
      <c r="Q30" s="255"/>
    </row>
    <row r="31" spans="1:17" ht="15" customHeight="1">
      <c r="A31" s="253"/>
      <c r="B31" s="244"/>
      <c r="C31" s="245"/>
      <c r="D31" s="78" t="s">
        <v>1192</v>
      </c>
      <c r="E31" s="113"/>
      <c r="F31" s="114" t="s">
        <v>1253</v>
      </c>
      <c r="G31" s="107">
        <v>8.3333333333333329E-2</v>
      </c>
      <c r="H31" s="108">
        <v>0.33333333333333298</v>
      </c>
      <c r="I31" s="109">
        <f t="shared" si="0"/>
        <v>0.74999999999999978</v>
      </c>
      <c r="J31" s="109">
        <v>0.9</v>
      </c>
      <c r="K31" s="82" t="s">
        <v>1515</v>
      </c>
      <c r="L31" s="82"/>
      <c r="N31" s="161" t="s">
        <v>1251</v>
      </c>
      <c r="O31" s="162">
        <f>(AVERAGEIFS(I11:I37,D11:D37,P31,F11:F37,N31)+AVERAGEIFS(I41:I103,D41:D103,P31,F41:F103,N31)+AVERAGEIFS(I107:I169,D107:D169,P31,F107:F169,N31)+AVERAGEIFS(I173:I235,D173:D235,P31,F173:F235,N31)+AVERAGEIFS(I239:I301,D239:D301,P31,F239:F301,N31))/5</f>
        <v>0.9754166666666666</v>
      </c>
      <c r="P31" s="254" t="s">
        <v>1194</v>
      </c>
      <c r="Q31" s="224"/>
    </row>
    <row r="32" spans="1:17" ht="15" customHeight="1">
      <c r="A32" s="253"/>
      <c r="B32" s="244"/>
      <c r="C32" s="248" t="s">
        <v>1196</v>
      </c>
      <c r="D32" s="132" t="s">
        <v>1194</v>
      </c>
      <c r="E32" s="158"/>
      <c r="F32" s="125" t="s">
        <v>1251</v>
      </c>
      <c r="G32" s="126">
        <v>4.1666666666666664E-2</v>
      </c>
      <c r="H32" s="127">
        <v>0.33333333333333298</v>
      </c>
      <c r="I32" s="134">
        <f t="shared" si="0"/>
        <v>0.87499999999999989</v>
      </c>
      <c r="J32" s="134">
        <v>0.9</v>
      </c>
      <c r="K32" s="135" t="s">
        <v>1326</v>
      </c>
      <c r="L32" s="137"/>
      <c r="N32" s="161" t="s">
        <v>1252</v>
      </c>
      <c r="O32" s="162">
        <f>(AVERAGEIFS(I11:I37,D11:D37,P31,F11:F37,N32)+AVERAGEIFS(I41:I103,D41:D103,P31,F41:F103,N32)+AVERAGEIFS(I107:I169,D107:D169,P31,F107:F169,N32)+AVERAGEIFS(I173:I235,D173:D235,P31,F173:F235,N32)+AVERAGEIFS(I239:I301,D239:D301,P31,F239:F301,N32))/5</f>
        <v>0.98208333333333331</v>
      </c>
      <c r="P32" s="254"/>
      <c r="Q32" s="227"/>
    </row>
    <row r="33" spans="1:17" ht="15" customHeight="1">
      <c r="A33" s="253"/>
      <c r="B33" s="244"/>
      <c r="C33" s="249"/>
      <c r="D33" s="132" t="s">
        <v>1194</v>
      </c>
      <c r="E33" s="158"/>
      <c r="F33" s="129" t="s">
        <v>1252</v>
      </c>
      <c r="G33" s="126"/>
      <c r="H33" s="127">
        <v>0.33333333333333298</v>
      </c>
      <c r="I33" s="134">
        <f t="shared" si="0"/>
        <v>1</v>
      </c>
      <c r="J33" s="134">
        <v>0.9</v>
      </c>
      <c r="K33" s="135"/>
      <c r="L33" s="136"/>
      <c r="N33" s="161" t="s">
        <v>1253</v>
      </c>
      <c r="O33" s="162">
        <f>(AVERAGEIFS(I11:I37,D11:D37,P31,F11:F37,N33)+AVERAGEIFS(I41:I103,D41:D103,P31,F41:F103,N33)+AVERAGEIFS(I107:I169,D107:D169,P31,F107:F169,N33)+AVERAGEIFS(I173:I235,D173:D235,P31,F173:F235,N33)+AVERAGEIFS(I239:I301,D239:D301,P31,F239:F301,N33))/5</f>
        <v>0.94333333333333336</v>
      </c>
      <c r="P33" s="254"/>
      <c r="Q33" s="227"/>
    </row>
    <row r="34" spans="1:17" ht="15" customHeight="1">
      <c r="A34" s="253"/>
      <c r="B34" s="244"/>
      <c r="C34" s="250"/>
      <c r="D34" s="132" t="s">
        <v>1194</v>
      </c>
      <c r="E34" s="133"/>
      <c r="F34" s="128" t="s">
        <v>1253</v>
      </c>
      <c r="G34" s="126"/>
      <c r="H34" s="127">
        <v>0.33333333333333298</v>
      </c>
      <c r="I34" s="134">
        <f t="shared" si="0"/>
        <v>1</v>
      </c>
      <c r="J34" s="134">
        <v>0.9</v>
      </c>
      <c r="K34" s="133"/>
      <c r="L34" s="136"/>
      <c r="N34" s="161" t="s">
        <v>1293</v>
      </c>
      <c r="O34" s="162">
        <f>(O31+O32+O33)/3</f>
        <v>0.9669444444444445</v>
      </c>
      <c r="P34" s="254"/>
      <c r="Q34" s="227"/>
    </row>
    <row r="35" spans="1:17" ht="15" customHeight="1">
      <c r="A35" s="253"/>
      <c r="B35" s="244"/>
      <c r="C35" s="243" t="s">
        <v>1197</v>
      </c>
      <c r="D35" s="78" t="s">
        <v>1193</v>
      </c>
      <c r="E35" s="159"/>
      <c r="F35" s="111" t="s">
        <v>1251</v>
      </c>
      <c r="G35" s="107"/>
      <c r="H35" s="108">
        <v>0.33333333333333298</v>
      </c>
      <c r="I35" s="109">
        <f t="shared" si="0"/>
        <v>1</v>
      </c>
      <c r="J35" s="109">
        <v>0.9</v>
      </c>
      <c r="K35" s="82"/>
      <c r="L35" s="112"/>
    </row>
    <row r="36" spans="1:17" ht="15" customHeight="1">
      <c r="A36" s="253"/>
      <c r="B36" s="244"/>
      <c r="C36" s="244"/>
      <c r="D36" s="78" t="s">
        <v>1193</v>
      </c>
      <c r="E36" s="159"/>
      <c r="F36" s="106" t="s">
        <v>1252</v>
      </c>
      <c r="G36" s="107"/>
      <c r="H36" s="108">
        <v>0.33333333333333298</v>
      </c>
      <c r="I36" s="109">
        <f t="shared" si="0"/>
        <v>1</v>
      </c>
      <c r="J36" s="109">
        <v>0.9</v>
      </c>
      <c r="K36" s="82"/>
      <c r="L36" s="82"/>
      <c r="N36" s="255" t="s">
        <v>1287</v>
      </c>
      <c r="O36" s="255" t="s">
        <v>1288</v>
      </c>
      <c r="P36" s="255" t="s">
        <v>1292</v>
      </c>
      <c r="Q36" s="255" t="s">
        <v>1290</v>
      </c>
    </row>
    <row r="37" spans="1:17" ht="15.6" customHeight="1">
      <c r="A37" s="253"/>
      <c r="B37" s="245"/>
      <c r="C37" s="245"/>
      <c r="D37" s="78" t="s">
        <v>1193</v>
      </c>
      <c r="E37" s="113"/>
      <c r="F37" s="114" t="s">
        <v>1253</v>
      </c>
      <c r="G37" s="107"/>
      <c r="H37" s="108">
        <v>0.33333333333333298</v>
      </c>
      <c r="I37" s="109">
        <f t="shared" si="0"/>
        <v>1</v>
      </c>
      <c r="J37" s="109">
        <v>0.9</v>
      </c>
      <c r="K37" s="82"/>
      <c r="L37" s="82"/>
      <c r="N37" s="255"/>
      <c r="O37" s="255"/>
      <c r="P37" s="255"/>
      <c r="Q37" s="255"/>
    </row>
    <row r="38" spans="1:17" ht="15.6" customHeight="1">
      <c r="A38" s="253"/>
      <c r="B38" s="117"/>
      <c r="C38" s="117"/>
      <c r="D38" s="118"/>
      <c r="E38" s="118"/>
      <c r="F38" s="119" t="s">
        <v>1251</v>
      </c>
      <c r="G38" s="124"/>
      <c r="H38" s="124"/>
      <c r="I38" s="120">
        <f>AVERAGEIF(F11:F37,F38,I11:I37)</f>
        <v>0.95833333333333337</v>
      </c>
      <c r="J38" s="121">
        <v>0.9</v>
      </c>
      <c r="K38" s="118"/>
      <c r="L38" s="116"/>
      <c r="N38" s="161" t="s">
        <v>1251</v>
      </c>
      <c r="O38" s="162">
        <f>(AVERAGEIFS(I18:I44,D18:D44,P38,F18:F44,N38)+AVERAGEIFS(I48:I110,D48:D110,P38,F48:F110,N38)+AVERAGEIFS(I114:I176,D114:D176,P38,F114:F176,N38)+AVERAGEIFS(I180:I242,D180:D242,P38,F180:F242,N38)+AVERAGEIFS(I246:I308,D246:D308,P38,F246:F308,N38))/5</f>
        <v>0.89479166666666665</v>
      </c>
      <c r="P38" s="254" t="s">
        <v>1192</v>
      </c>
      <c r="Q38" s="224"/>
    </row>
    <row r="39" spans="1:17" ht="15.6" customHeight="1">
      <c r="A39" s="253"/>
      <c r="B39" s="117"/>
      <c r="C39" s="117"/>
      <c r="D39" s="118"/>
      <c r="E39" s="118"/>
      <c r="F39" s="119" t="s">
        <v>1252</v>
      </c>
      <c r="G39" s="124"/>
      <c r="H39" s="124"/>
      <c r="I39" s="120">
        <f>AVERAGEIF(F11:F37,F39,I11:I37)</f>
        <v>0.97222222222222221</v>
      </c>
      <c r="J39" s="121">
        <v>0.9</v>
      </c>
      <c r="K39" s="118"/>
      <c r="L39" s="116"/>
      <c r="N39" s="161" t="s">
        <v>1252</v>
      </c>
      <c r="O39" s="162">
        <f>(AVERAGEIFS(I18:I44,D18:D44,P38,F18:F44,N39)+AVERAGEIFS(I48:I110,D48:D110,P38,F48:F110,N39)+AVERAGEIFS(I114:I176,D114:D176,P38,F114:F176,N39)+AVERAGEIFS(I180:I242,D180:D242,P38,F180:F242,N39)+AVERAGEIFS(I246:I308,D246:D308,P38,F246:F308,N39))/5</f>
        <v>0.87312499999999993</v>
      </c>
      <c r="P39" s="254"/>
      <c r="Q39" s="227"/>
    </row>
    <row r="40" spans="1:17" ht="15.6" customHeight="1" thickBot="1">
      <c r="A40" s="253"/>
      <c r="B40" s="117"/>
      <c r="C40" s="117"/>
      <c r="D40" s="118"/>
      <c r="E40" s="118"/>
      <c r="F40" s="119" t="s">
        <v>1253</v>
      </c>
      <c r="G40" s="124"/>
      <c r="H40" s="124"/>
      <c r="I40" s="120">
        <f>AVERAGEIF(F11:F37,F40,I11:I37)</f>
        <v>0.92361111111111116</v>
      </c>
      <c r="J40" s="121">
        <v>0.9</v>
      </c>
      <c r="K40" s="118"/>
      <c r="L40" s="116"/>
      <c r="N40" s="161" t="s">
        <v>1253</v>
      </c>
      <c r="O40" s="162">
        <f>(AVERAGEIFS(I18:I44,D18:D44,P38,F18:F44,N40)+AVERAGEIFS(I48:I110,D48:D110,P38,F48:F110,N40)+AVERAGEIFS(I114:I176,D114:D176,P38,F114:F176,N40)+AVERAGEIFS(I180:I242,D180:D242,P38,F180:F242,N40)+AVERAGEIFS(I246:I308,D246:D308,P38,F246:F308,N40))/5</f>
        <v>0.89131944444444433</v>
      </c>
      <c r="P40" s="254"/>
      <c r="Q40" s="227"/>
    </row>
    <row r="41" spans="1:17" ht="14.4" customHeight="1">
      <c r="A41" s="252"/>
      <c r="B41" s="251">
        <v>45873</v>
      </c>
      <c r="C41" s="243" t="s">
        <v>1198</v>
      </c>
      <c r="D41" s="110" t="s">
        <v>1201</v>
      </c>
      <c r="E41" s="156"/>
      <c r="F41" s="111" t="s">
        <v>1251</v>
      </c>
      <c r="G41" s="107"/>
      <c r="H41" s="108">
        <v>0.33333333333333331</v>
      </c>
      <c r="I41" s="109">
        <f>1-(G41/H41)</f>
        <v>1</v>
      </c>
      <c r="J41" s="109">
        <v>0.9</v>
      </c>
      <c r="K41" s="82"/>
      <c r="L41" s="82"/>
      <c r="N41" s="161" t="s">
        <v>1293</v>
      </c>
      <c r="O41" s="162">
        <f>(O38+O39+O40)/3</f>
        <v>0.88641203703703697</v>
      </c>
      <c r="P41" s="254"/>
      <c r="Q41" s="227"/>
    </row>
    <row r="42" spans="1:17" ht="14.4" customHeight="1">
      <c r="A42" s="253"/>
      <c r="B42" s="244"/>
      <c r="C42" s="244"/>
      <c r="D42" s="110" t="s">
        <v>1201</v>
      </c>
      <c r="E42" s="156"/>
      <c r="F42" s="111" t="s">
        <v>1252</v>
      </c>
      <c r="G42" s="107"/>
      <c r="H42" s="108">
        <v>0.33333333333333331</v>
      </c>
      <c r="I42" s="109">
        <f>1-(G42/H42)</f>
        <v>1</v>
      </c>
      <c r="J42" s="109">
        <v>0.9</v>
      </c>
      <c r="K42" s="82"/>
      <c r="L42" s="82"/>
    </row>
    <row r="43" spans="1:17" ht="14.4" customHeight="1">
      <c r="A43" s="253"/>
      <c r="B43" s="244"/>
      <c r="C43" s="245"/>
      <c r="D43" s="110" t="s">
        <v>1201</v>
      </c>
      <c r="E43" s="157"/>
      <c r="F43" s="114" t="s">
        <v>1253</v>
      </c>
      <c r="G43" s="107"/>
      <c r="H43" s="108">
        <v>0.33333333333333298</v>
      </c>
      <c r="I43" s="109">
        <f t="shared" ref="I43:I85" si="1">1-(G43/H43)</f>
        <v>1</v>
      </c>
      <c r="J43" s="109">
        <v>0.9</v>
      </c>
      <c r="K43" s="82"/>
      <c r="L43" s="82"/>
    </row>
    <row r="44" spans="1:17" ht="14.4" customHeight="1">
      <c r="A44" s="253"/>
      <c r="B44" s="244"/>
      <c r="C44" s="248" t="s">
        <v>1196</v>
      </c>
      <c r="D44" s="132" t="s">
        <v>1194</v>
      </c>
      <c r="E44" s="158"/>
      <c r="F44" s="125" t="s">
        <v>1251</v>
      </c>
      <c r="G44" s="126"/>
      <c r="H44" s="127">
        <v>0.33333333333333298</v>
      </c>
      <c r="I44" s="109">
        <f t="shared" si="1"/>
        <v>1</v>
      </c>
      <c r="J44" s="134">
        <v>0.9</v>
      </c>
      <c r="K44" s="135"/>
      <c r="L44" s="136"/>
    </row>
    <row r="45" spans="1:17" ht="14.4" customHeight="1">
      <c r="A45" s="253"/>
      <c r="B45" s="244"/>
      <c r="C45" s="249"/>
      <c r="D45" s="132" t="s">
        <v>1194</v>
      </c>
      <c r="E45" s="158"/>
      <c r="F45" s="125" t="s">
        <v>1252</v>
      </c>
      <c r="G45" s="126"/>
      <c r="H45" s="127">
        <v>0.33333333333333298</v>
      </c>
      <c r="I45" s="109">
        <f t="shared" si="1"/>
        <v>1</v>
      </c>
      <c r="J45" s="134">
        <v>0.9</v>
      </c>
      <c r="K45" s="135"/>
      <c r="L45" s="136"/>
    </row>
    <row r="46" spans="1:17" ht="14.4" customHeight="1">
      <c r="A46" s="253"/>
      <c r="B46" s="244"/>
      <c r="C46" s="250"/>
      <c r="D46" s="132" t="s">
        <v>1194</v>
      </c>
      <c r="E46" s="133"/>
      <c r="F46" s="128" t="s">
        <v>1253</v>
      </c>
      <c r="G46" s="126">
        <v>0.10416666666666667</v>
      </c>
      <c r="H46" s="127">
        <v>0.33333333333333298</v>
      </c>
      <c r="I46" s="109">
        <f t="shared" si="1"/>
        <v>0.68749999999999967</v>
      </c>
      <c r="J46" s="134">
        <v>0.9</v>
      </c>
      <c r="K46" s="135" t="s">
        <v>1412</v>
      </c>
      <c r="L46" s="136"/>
    </row>
    <row r="47" spans="1:17" ht="14.4" customHeight="1">
      <c r="A47" s="253"/>
      <c r="B47" s="244"/>
      <c r="C47" s="243" t="s">
        <v>1197</v>
      </c>
      <c r="D47" s="78" t="s">
        <v>1193</v>
      </c>
      <c r="E47" s="159"/>
      <c r="F47" s="111" t="s">
        <v>1251</v>
      </c>
      <c r="G47" s="107"/>
      <c r="H47" s="108">
        <v>0.33333333333333298</v>
      </c>
      <c r="I47" s="109">
        <f t="shared" si="1"/>
        <v>1</v>
      </c>
      <c r="J47" s="109">
        <v>0.9</v>
      </c>
      <c r="K47" s="82"/>
      <c r="L47" s="82"/>
    </row>
    <row r="48" spans="1:17" ht="14.4" customHeight="1">
      <c r="A48" s="253"/>
      <c r="B48" s="244"/>
      <c r="C48" s="244"/>
      <c r="D48" s="78" t="s">
        <v>1193</v>
      </c>
      <c r="E48" s="159"/>
      <c r="F48" s="111" t="s">
        <v>1252</v>
      </c>
      <c r="G48" s="107"/>
      <c r="H48" s="108">
        <v>0.33333333333333298</v>
      </c>
      <c r="I48" s="109">
        <f t="shared" si="1"/>
        <v>1</v>
      </c>
      <c r="J48" s="109">
        <v>0.9</v>
      </c>
      <c r="K48" s="82"/>
      <c r="L48" s="82"/>
    </row>
    <row r="49" spans="1:12" ht="15" customHeight="1" thickBot="1">
      <c r="A49" s="253"/>
      <c r="B49" s="245"/>
      <c r="C49" s="245"/>
      <c r="D49" s="78" t="s">
        <v>1193</v>
      </c>
      <c r="E49" s="113"/>
      <c r="F49" s="114" t="s">
        <v>1253</v>
      </c>
      <c r="G49" s="108">
        <v>4.8611111111111112E-2</v>
      </c>
      <c r="H49" s="108">
        <v>0.33333333333333298</v>
      </c>
      <c r="I49" s="109">
        <f t="shared" si="1"/>
        <v>0.85416666666666652</v>
      </c>
      <c r="J49" s="109">
        <v>0.9</v>
      </c>
      <c r="K49" s="82" t="s">
        <v>1514</v>
      </c>
      <c r="L49" s="82"/>
    </row>
    <row r="50" spans="1:12" ht="14.4" customHeight="1">
      <c r="A50" s="253"/>
      <c r="B50" s="251">
        <v>45874</v>
      </c>
      <c r="C50" s="248" t="s">
        <v>1198</v>
      </c>
      <c r="D50" s="132" t="s">
        <v>1191</v>
      </c>
      <c r="E50" s="158"/>
      <c r="F50" s="125" t="s">
        <v>1251</v>
      </c>
      <c r="G50" s="126"/>
      <c r="H50" s="127">
        <v>0.33333333333333298</v>
      </c>
      <c r="I50" s="109">
        <f t="shared" si="1"/>
        <v>1</v>
      </c>
      <c r="J50" s="134">
        <v>0.9</v>
      </c>
      <c r="K50" s="135"/>
      <c r="L50" s="137"/>
    </row>
    <row r="51" spans="1:12" ht="14.4" customHeight="1">
      <c r="A51" s="253"/>
      <c r="B51" s="244"/>
      <c r="C51" s="249"/>
      <c r="D51" s="132" t="s">
        <v>1191</v>
      </c>
      <c r="E51" s="158"/>
      <c r="F51" s="125" t="s">
        <v>1252</v>
      </c>
      <c r="G51" s="126">
        <v>1.7361111111111112E-2</v>
      </c>
      <c r="H51" s="127">
        <v>0.33333333333333298</v>
      </c>
      <c r="I51" s="109">
        <f t="shared" si="1"/>
        <v>0.94791666666666663</v>
      </c>
      <c r="J51" s="134">
        <v>0.9</v>
      </c>
      <c r="K51" s="135"/>
      <c r="L51" s="136"/>
    </row>
    <row r="52" spans="1:12" ht="14.4" customHeight="1">
      <c r="A52" s="253"/>
      <c r="B52" s="244"/>
      <c r="C52" s="250"/>
      <c r="D52" s="132" t="s">
        <v>1191</v>
      </c>
      <c r="E52" s="133"/>
      <c r="F52" s="128" t="s">
        <v>1253</v>
      </c>
      <c r="G52" s="127">
        <v>0.16666666666666666</v>
      </c>
      <c r="H52" s="127">
        <v>0.33333333333333298</v>
      </c>
      <c r="I52" s="109">
        <f t="shared" si="1"/>
        <v>0.49999999999999944</v>
      </c>
      <c r="J52" s="134">
        <v>0.9</v>
      </c>
      <c r="K52" s="133"/>
      <c r="L52" s="136"/>
    </row>
    <row r="53" spans="1:12" ht="14.4" customHeight="1">
      <c r="A53" s="253"/>
      <c r="B53" s="244"/>
      <c r="C53" s="243" t="s">
        <v>1196</v>
      </c>
      <c r="D53" s="78" t="s">
        <v>1192</v>
      </c>
      <c r="E53" s="159"/>
      <c r="F53" s="111" t="s">
        <v>1251</v>
      </c>
      <c r="G53" s="107"/>
      <c r="H53" s="108">
        <v>0.33333333333333298</v>
      </c>
      <c r="I53" s="109">
        <f t="shared" si="1"/>
        <v>1</v>
      </c>
      <c r="J53" s="109">
        <v>0.9</v>
      </c>
      <c r="K53" s="112"/>
      <c r="L53" s="112"/>
    </row>
    <row r="54" spans="1:12" ht="14.4" customHeight="1">
      <c r="A54" s="253"/>
      <c r="B54" s="244"/>
      <c r="C54" s="244"/>
      <c r="D54" s="78" t="s">
        <v>1192</v>
      </c>
      <c r="E54" s="159"/>
      <c r="F54" s="111" t="s">
        <v>1252</v>
      </c>
      <c r="G54" s="107">
        <v>8.3333333333333329E-2</v>
      </c>
      <c r="H54" s="108">
        <v>0.33333333333333298</v>
      </c>
      <c r="I54" s="109">
        <f t="shared" si="1"/>
        <v>0.74999999999999978</v>
      </c>
      <c r="J54" s="109">
        <v>0.9</v>
      </c>
      <c r="K54" s="82" t="s">
        <v>1307</v>
      </c>
      <c r="L54" s="82"/>
    </row>
    <row r="55" spans="1:12" ht="14.4" customHeight="1">
      <c r="A55" s="253"/>
      <c r="B55" s="244"/>
      <c r="C55" s="245"/>
      <c r="D55" s="78" t="s">
        <v>1192</v>
      </c>
      <c r="E55" s="113"/>
      <c r="F55" s="114" t="s">
        <v>1253</v>
      </c>
      <c r="G55" s="107"/>
      <c r="H55" s="108">
        <v>0.33333333333333331</v>
      </c>
      <c r="I55" s="109">
        <f t="shared" si="1"/>
        <v>1</v>
      </c>
      <c r="J55" s="109">
        <v>0.9</v>
      </c>
      <c r="K55" s="82"/>
      <c r="L55" s="82"/>
    </row>
    <row r="56" spans="1:12" ht="14.4" customHeight="1">
      <c r="A56" s="253"/>
      <c r="B56" s="244"/>
      <c r="C56" s="248" t="s">
        <v>1197</v>
      </c>
      <c r="D56" s="132" t="s">
        <v>1194</v>
      </c>
      <c r="E56" s="158"/>
      <c r="F56" s="125" t="s">
        <v>1251</v>
      </c>
      <c r="G56" s="126"/>
      <c r="H56" s="127">
        <v>0.33333333333333298</v>
      </c>
      <c r="I56" s="109">
        <f t="shared" si="1"/>
        <v>1</v>
      </c>
      <c r="J56" s="134">
        <v>0.9</v>
      </c>
      <c r="K56" s="146"/>
      <c r="L56" s="136"/>
    </row>
    <row r="57" spans="1:12" ht="14.4" customHeight="1">
      <c r="A57" s="253"/>
      <c r="B57" s="244"/>
      <c r="C57" s="249"/>
      <c r="D57" s="132" t="s">
        <v>1194</v>
      </c>
      <c r="E57" s="158"/>
      <c r="F57" s="129" t="s">
        <v>1252</v>
      </c>
      <c r="G57" s="126"/>
      <c r="H57" s="127">
        <v>0.33333333333333298</v>
      </c>
      <c r="I57" s="109">
        <f t="shared" si="1"/>
        <v>1</v>
      </c>
      <c r="J57" s="134">
        <v>0.9</v>
      </c>
      <c r="K57" s="136"/>
      <c r="L57" s="136"/>
    </row>
    <row r="58" spans="1:12" ht="15" customHeight="1" thickBot="1">
      <c r="A58" s="253"/>
      <c r="B58" s="245"/>
      <c r="C58" s="250"/>
      <c r="D58" s="132" t="s">
        <v>1194</v>
      </c>
      <c r="E58" s="133"/>
      <c r="F58" s="128" t="s">
        <v>1253</v>
      </c>
      <c r="G58" s="126"/>
      <c r="H58" s="131">
        <v>0.33333333333333298</v>
      </c>
      <c r="I58" s="115">
        <f t="shared" si="1"/>
        <v>1</v>
      </c>
      <c r="J58" s="134">
        <v>0.9</v>
      </c>
      <c r="K58" s="136"/>
      <c r="L58" s="136"/>
    </row>
    <row r="59" spans="1:12" ht="14.4" customHeight="1">
      <c r="A59" s="253"/>
      <c r="B59" s="251">
        <v>45875</v>
      </c>
      <c r="C59" s="243" t="s">
        <v>1198</v>
      </c>
      <c r="D59" s="78" t="s">
        <v>1191</v>
      </c>
      <c r="E59" s="159"/>
      <c r="F59" s="111" t="s">
        <v>1251</v>
      </c>
      <c r="G59" s="107"/>
      <c r="H59" s="108">
        <v>0.33333333333333298</v>
      </c>
      <c r="I59" s="109">
        <f t="shared" si="1"/>
        <v>1</v>
      </c>
      <c r="J59" s="109">
        <v>0.9</v>
      </c>
      <c r="K59" s="82"/>
      <c r="L59" s="112"/>
    </row>
    <row r="60" spans="1:12" ht="14.4" customHeight="1">
      <c r="A60" s="253"/>
      <c r="B60" s="244"/>
      <c r="C60" s="244"/>
      <c r="D60" s="78" t="s">
        <v>1191</v>
      </c>
      <c r="E60" s="159"/>
      <c r="F60" s="106" t="s">
        <v>1252</v>
      </c>
      <c r="G60" s="107"/>
      <c r="H60" s="108">
        <v>0.33333333333333298</v>
      </c>
      <c r="I60" s="109">
        <f t="shared" si="1"/>
        <v>1</v>
      </c>
      <c r="J60" s="109">
        <v>0.9</v>
      </c>
      <c r="K60" s="82"/>
      <c r="L60" s="82"/>
    </row>
    <row r="61" spans="1:12" ht="14.4" customHeight="1">
      <c r="A61" s="253"/>
      <c r="B61" s="244"/>
      <c r="C61" s="245"/>
      <c r="D61" s="78" t="s">
        <v>1191</v>
      </c>
      <c r="E61" s="113"/>
      <c r="F61" s="114" t="s">
        <v>1253</v>
      </c>
      <c r="G61" s="107"/>
      <c r="H61" s="108">
        <v>0.33333333333333298</v>
      </c>
      <c r="I61" s="109">
        <f t="shared" si="1"/>
        <v>1</v>
      </c>
      <c r="J61" s="109">
        <v>0.9</v>
      </c>
      <c r="K61" s="82"/>
      <c r="L61" s="82"/>
    </row>
    <row r="62" spans="1:12" ht="14.4" customHeight="1">
      <c r="A62" s="253"/>
      <c r="B62" s="244"/>
      <c r="C62" s="248" t="s">
        <v>1196</v>
      </c>
      <c r="D62" s="132" t="s">
        <v>1192</v>
      </c>
      <c r="E62" s="158"/>
      <c r="F62" s="125" t="s">
        <v>1251</v>
      </c>
      <c r="G62" s="126">
        <v>0.22916666666666666</v>
      </c>
      <c r="H62" s="127">
        <v>0.33333333333333298</v>
      </c>
      <c r="I62" s="109">
        <f t="shared" si="1"/>
        <v>0.31249999999999933</v>
      </c>
      <c r="J62" s="134">
        <v>0.9</v>
      </c>
      <c r="K62" s="135" t="s">
        <v>1516</v>
      </c>
      <c r="L62" s="136"/>
    </row>
    <row r="63" spans="1:12" ht="14.4" customHeight="1">
      <c r="A63" s="253"/>
      <c r="B63" s="244"/>
      <c r="C63" s="249"/>
      <c r="D63" s="132" t="s">
        <v>1192</v>
      </c>
      <c r="E63" s="158"/>
      <c r="F63" s="129" t="s">
        <v>1252</v>
      </c>
      <c r="G63" s="126">
        <v>0.22916666666666666</v>
      </c>
      <c r="H63" s="127">
        <v>0.33333333333333298</v>
      </c>
      <c r="I63" s="109">
        <f t="shared" si="1"/>
        <v>0.31249999999999933</v>
      </c>
      <c r="J63" s="134">
        <v>0.9</v>
      </c>
      <c r="K63" s="135" t="s">
        <v>1516</v>
      </c>
      <c r="L63" s="136"/>
    </row>
    <row r="64" spans="1:12" ht="14.4" customHeight="1">
      <c r="A64" s="253"/>
      <c r="B64" s="244"/>
      <c r="C64" s="250"/>
      <c r="D64" s="132" t="s">
        <v>1192</v>
      </c>
      <c r="E64" s="133"/>
      <c r="F64" s="128" t="s">
        <v>1253</v>
      </c>
      <c r="G64" s="126">
        <v>0.22916666666666666</v>
      </c>
      <c r="H64" s="127">
        <v>0.33333333333333298</v>
      </c>
      <c r="I64" s="109">
        <f t="shared" si="1"/>
        <v>0.31249999999999933</v>
      </c>
      <c r="J64" s="134">
        <v>0.9</v>
      </c>
      <c r="K64" s="135" t="s">
        <v>1516</v>
      </c>
      <c r="L64" s="136"/>
    </row>
    <row r="65" spans="1:12" ht="14.4" customHeight="1">
      <c r="A65" s="253"/>
      <c r="B65" s="244"/>
      <c r="C65" s="243" t="s">
        <v>1197</v>
      </c>
      <c r="D65" s="78" t="s">
        <v>1194</v>
      </c>
      <c r="E65" s="159"/>
      <c r="F65" s="111" t="s">
        <v>1251</v>
      </c>
      <c r="G65" s="107"/>
      <c r="H65" s="108">
        <v>0.33333333333333331</v>
      </c>
      <c r="I65" s="109">
        <f t="shared" si="1"/>
        <v>1</v>
      </c>
      <c r="J65" s="109">
        <v>0.9</v>
      </c>
      <c r="K65" s="82"/>
      <c r="L65" s="82"/>
    </row>
    <row r="66" spans="1:12" ht="14.4" customHeight="1">
      <c r="A66" s="253"/>
      <c r="B66" s="244"/>
      <c r="C66" s="244"/>
      <c r="D66" s="78" t="s">
        <v>1194</v>
      </c>
      <c r="E66" s="159"/>
      <c r="F66" s="106" t="s">
        <v>1252</v>
      </c>
      <c r="G66" s="107"/>
      <c r="H66" s="108">
        <v>0.33333333333333298</v>
      </c>
      <c r="I66" s="109">
        <f t="shared" si="1"/>
        <v>1</v>
      </c>
      <c r="J66" s="109">
        <v>0.9</v>
      </c>
      <c r="K66" s="82"/>
      <c r="L66" s="82"/>
    </row>
    <row r="67" spans="1:12" ht="15" customHeight="1" thickBot="1">
      <c r="A67" s="253"/>
      <c r="B67" s="245"/>
      <c r="C67" s="245"/>
      <c r="D67" s="78" t="s">
        <v>1194</v>
      </c>
      <c r="E67" s="113"/>
      <c r="F67" s="114" t="s">
        <v>1253</v>
      </c>
      <c r="G67" s="107"/>
      <c r="H67" s="108">
        <v>0.33333333333333298</v>
      </c>
      <c r="I67" s="109">
        <f t="shared" si="1"/>
        <v>1</v>
      </c>
      <c r="J67" s="109">
        <v>0.9</v>
      </c>
      <c r="K67" s="82"/>
      <c r="L67" s="82"/>
    </row>
    <row r="68" spans="1:12" ht="14.4" customHeight="1">
      <c r="A68" s="253"/>
      <c r="B68" s="251">
        <v>45876</v>
      </c>
      <c r="C68" s="248" t="s">
        <v>1198</v>
      </c>
      <c r="D68" s="132" t="s">
        <v>1193</v>
      </c>
      <c r="E68" s="158"/>
      <c r="F68" s="125" t="s">
        <v>1251</v>
      </c>
      <c r="G68" s="126">
        <v>4.1666666666666664E-2</v>
      </c>
      <c r="H68" s="127">
        <v>0.33333333333333298</v>
      </c>
      <c r="I68" s="109">
        <f>1-(G68/H68)</f>
        <v>0.87499999999999989</v>
      </c>
      <c r="J68" s="134">
        <v>0.9</v>
      </c>
      <c r="K68" s="135"/>
      <c r="L68" s="137"/>
    </row>
    <row r="69" spans="1:12" ht="14.4" customHeight="1">
      <c r="A69" s="253"/>
      <c r="B69" s="244"/>
      <c r="C69" s="249"/>
      <c r="D69" s="132" t="s">
        <v>1193</v>
      </c>
      <c r="E69" s="158"/>
      <c r="F69" s="129" t="s">
        <v>1252</v>
      </c>
      <c r="G69" s="126"/>
      <c r="H69" s="127">
        <v>0.33333333333333298</v>
      </c>
      <c r="I69" s="109">
        <f>1-(G69/H69)</f>
        <v>1</v>
      </c>
      <c r="J69" s="134">
        <v>0.9</v>
      </c>
      <c r="K69" s="135"/>
      <c r="L69" s="136"/>
    </row>
    <row r="70" spans="1:12" ht="14.4" customHeight="1">
      <c r="A70" s="253"/>
      <c r="B70" s="244"/>
      <c r="C70" s="250"/>
      <c r="D70" s="132" t="s">
        <v>1193</v>
      </c>
      <c r="E70" s="133"/>
      <c r="F70" s="128" t="s">
        <v>1253</v>
      </c>
      <c r="G70" s="126"/>
      <c r="H70" s="127">
        <v>0.33333333333333298</v>
      </c>
      <c r="I70" s="109">
        <f t="shared" si="1"/>
        <v>1</v>
      </c>
      <c r="J70" s="134">
        <v>0.9</v>
      </c>
      <c r="K70" s="133"/>
      <c r="L70" s="136"/>
    </row>
    <row r="71" spans="1:12" ht="14.4" customHeight="1">
      <c r="A71" s="253"/>
      <c r="B71" s="244"/>
      <c r="C71" s="243" t="s">
        <v>1196</v>
      </c>
      <c r="D71" s="78" t="s">
        <v>1191</v>
      </c>
      <c r="E71" s="159"/>
      <c r="F71" s="111" t="s">
        <v>1251</v>
      </c>
      <c r="G71" s="107"/>
      <c r="H71" s="108">
        <v>0.33333333333333298</v>
      </c>
      <c r="I71" s="109">
        <f t="shared" si="1"/>
        <v>1</v>
      </c>
      <c r="J71" s="109">
        <v>0.9</v>
      </c>
      <c r="K71" s="82"/>
      <c r="L71" s="112"/>
    </row>
    <row r="72" spans="1:12" ht="14.4" customHeight="1">
      <c r="A72" s="253"/>
      <c r="B72" s="244"/>
      <c r="C72" s="244"/>
      <c r="D72" s="78" t="s">
        <v>1191</v>
      </c>
      <c r="E72" s="159"/>
      <c r="F72" s="106" t="s">
        <v>1252</v>
      </c>
      <c r="G72" s="107">
        <v>4.1666666666666664E-2</v>
      </c>
      <c r="H72" s="108">
        <v>0.33333333333333298</v>
      </c>
      <c r="I72" s="109">
        <f t="shared" si="1"/>
        <v>0.87499999999999989</v>
      </c>
      <c r="J72" s="109">
        <v>0.9</v>
      </c>
      <c r="K72" s="82" t="s">
        <v>1307</v>
      </c>
      <c r="L72" s="82"/>
    </row>
    <row r="73" spans="1:12" ht="14.4" customHeight="1">
      <c r="A73" s="253"/>
      <c r="B73" s="244"/>
      <c r="C73" s="245"/>
      <c r="D73" s="78" t="s">
        <v>1191</v>
      </c>
      <c r="E73" s="113"/>
      <c r="F73" s="114" t="s">
        <v>1253</v>
      </c>
      <c r="G73" s="107"/>
      <c r="H73" s="108">
        <v>0.33333333333333298</v>
      </c>
      <c r="I73" s="109">
        <f t="shared" si="1"/>
        <v>1</v>
      </c>
      <c r="J73" s="109">
        <v>0.9</v>
      </c>
      <c r="K73" s="82"/>
      <c r="L73" s="82"/>
    </row>
    <row r="74" spans="1:12" ht="14.4" customHeight="1">
      <c r="A74" s="253"/>
      <c r="B74" s="244"/>
      <c r="C74" s="248" t="s">
        <v>1197</v>
      </c>
      <c r="D74" s="132" t="s">
        <v>1192</v>
      </c>
      <c r="E74" s="158"/>
      <c r="F74" s="125" t="s">
        <v>1251</v>
      </c>
      <c r="G74" s="126">
        <v>8.3333333333333329E-2</v>
      </c>
      <c r="H74" s="127">
        <v>0.33333333333333298</v>
      </c>
      <c r="I74" s="109">
        <f t="shared" si="1"/>
        <v>0.74999999999999978</v>
      </c>
      <c r="J74" s="134">
        <v>0.9</v>
      </c>
      <c r="K74" s="135" t="s">
        <v>1517</v>
      </c>
      <c r="L74" s="136"/>
    </row>
    <row r="75" spans="1:12" ht="14.4" customHeight="1">
      <c r="A75" s="253"/>
      <c r="B75" s="244"/>
      <c r="C75" s="249"/>
      <c r="D75" s="132" t="s">
        <v>1192</v>
      </c>
      <c r="E75" s="158"/>
      <c r="F75" s="129" t="s">
        <v>1252</v>
      </c>
      <c r="G75" s="126">
        <v>8.3333333333333329E-2</v>
      </c>
      <c r="H75" s="127">
        <v>0.33333333333333298</v>
      </c>
      <c r="I75" s="109">
        <f t="shared" si="1"/>
        <v>0.74999999999999978</v>
      </c>
      <c r="J75" s="134">
        <v>0.9</v>
      </c>
      <c r="K75" s="135" t="s">
        <v>1517</v>
      </c>
      <c r="L75" s="136"/>
    </row>
    <row r="76" spans="1:12" ht="15" customHeight="1" thickBot="1">
      <c r="A76" s="253"/>
      <c r="B76" s="245"/>
      <c r="C76" s="250"/>
      <c r="D76" s="132" t="s">
        <v>1192</v>
      </c>
      <c r="E76" s="133"/>
      <c r="F76" s="128" t="s">
        <v>1253</v>
      </c>
      <c r="G76" s="126">
        <v>8.3333333333333329E-2</v>
      </c>
      <c r="H76" s="127">
        <v>0.33333333333333298</v>
      </c>
      <c r="I76" s="109">
        <f t="shared" si="1"/>
        <v>0.74999999999999978</v>
      </c>
      <c r="J76" s="134">
        <v>0.9</v>
      </c>
      <c r="K76" s="135" t="s">
        <v>1517</v>
      </c>
      <c r="L76" s="136"/>
    </row>
    <row r="77" spans="1:12" ht="14.4" customHeight="1">
      <c r="A77" s="253"/>
      <c r="B77" s="251">
        <v>45877</v>
      </c>
      <c r="C77" s="243" t="s">
        <v>1198</v>
      </c>
      <c r="D77" s="78" t="s">
        <v>1193</v>
      </c>
      <c r="E77" s="159"/>
      <c r="F77" s="111" t="s">
        <v>1251</v>
      </c>
      <c r="G77" s="107"/>
      <c r="H77" s="108">
        <v>0.33333333333333298</v>
      </c>
      <c r="I77" s="109">
        <f t="shared" si="1"/>
        <v>1</v>
      </c>
      <c r="J77" s="109">
        <v>0.9</v>
      </c>
      <c r="K77" s="82"/>
      <c r="L77" s="112"/>
    </row>
    <row r="78" spans="1:12" ht="14.4" customHeight="1">
      <c r="A78" s="253"/>
      <c r="B78" s="244"/>
      <c r="C78" s="244"/>
      <c r="D78" s="78" t="s">
        <v>1193</v>
      </c>
      <c r="E78" s="159"/>
      <c r="F78" s="106" t="s">
        <v>1252</v>
      </c>
      <c r="G78" s="107"/>
      <c r="H78" s="108">
        <v>0.33333333333333298</v>
      </c>
      <c r="I78" s="109">
        <f t="shared" si="1"/>
        <v>1</v>
      </c>
      <c r="J78" s="109">
        <v>0.9</v>
      </c>
      <c r="K78" s="82"/>
      <c r="L78" s="82"/>
    </row>
    <row r="79" spans="1:12" ht="14.4" customHeight="1">
      <c r="A79" s="253"/>
      <c r="B79" s="244"/>
      <c r="C79" s="245"/>
      <c r="D79" s="78" t="s">
        <v>1193</v>
      </c>
      <c r="E79" s="113"/>
      <c r="F79" s="114" t="s">
        <v>1253</v>
      </c>
      <c r="G79" s="107"/>
      <c r="H79" s="108">
        <v>0.33333333333333298</v>
      </c>
      <c r="I79" s="109">
        <f t="shared" si="1"/>
        <v>1</v>
      </c>
      <c r="J79" s="109">
        <v>0.9</v>
      </c>
      <c r="K79" s="82"/>
      <c r="L79" s="82"/>
    </row>
    <row r="80" spans="1:12" ht="14.4" customHeight="1">
      <c r="A80" s="253"/>
      <c r="B80" s="244"/>
      <c r="C80" s="248" t="s">
        <v>1196</v>
      </c>
      <c r="D80" s="132" t="s">
        <v>1191</v>
      </c>
      <c r="E80" s="158"/>
      <c r="F80" s="125" t="s">
        <v>1251</v>
      </c>
      <c r="G80" s="126"/>
      <c r="H80" s="127">
        <v>0.33333333333333298</v>
      </c>
      <c r="I80" s="109">
        <f t="shared" si="1"/>
        <v>1</v>
      </c>
      <c r="J80" s="134">
        <v>0.9</v>
      </c>
      <c r="K80" s="137"/>
      <c r="L80" s="137"/>
    </row>
    <row r="81" spans="1:12" ht="14.4" customHeight="1">
      <c r="A81" s="253"/>
      <c r="B81" s="244"/>
      <c r="C81" s="249"/>
      <c r="D81" s="132" t="s">
        <v>1191</v>
      </c>
      <c r="E81" s="158"/>
      <c r="F81" s="129" t="s">
        <v>1252</v>
      </c>
      <c r="G81" s="126">
        <v>4.1666666666666664E-2</v>
      </c>
      <c r="H81" s="127">
        <v>0.33333333333333298</v>
      </c>
      <c r="I81" s="109">
        <f t="shared" si="1"/>
        <v>0.87499999999999989</v>
      </c>
      <c r="J81" s="134">
        <v>0.9</v>
      </c>
      <c r="K81" s="135" t="s">
        <v>1307</v>
      </c>
      <c r="L81" s="136"/>
    </row>
    <row r="82" spans="1:12" ht="14.4" customHeight="1">
      <c r="A82" s="253"/>
      <c r="B82" s="244"/>
      <c r="C82" s="250"/>
      <c r="D82" s="132" t="s">
        <v>1191</v>
      </c>
      <c r="E82" s="133"/>
      <c r="F82" s="128" t="s">
        <v>1253</v>
      </c>
      <c r="G82" s="126"/>
      <c r="H82" s="127">
        <v>0.33333333333333298</v>
      </c>
      <c r="I82" s="109">
        <f t="shared" si="1"/>
        <v>1</v>
      </c>
      <c r="J82" s="134">
        <v>0.9</v>
      </c>
      <c r="K82" s="133"/>
      <c r="L82" s="136"/>
    </row>
    <row r="83" spans="1:12" ht="14.4" customHeight="1">
      <c r="A83" s="253"/>
      <c r="B83" s="244"/>
      <c r="C83" s="243" t="s">
        <v>1197</v>
      </c>
      <c r="D83" s="78" t="s">
        <v>1192</v>
      </c>
      <c r="E83" s="159"/>
      <c r="F83" s="111" t="s">
        <v>1251</v>
      </c>
      <c r="G83" s="107"/>
      <c r="H83" s="108">
        <v>0.33333333333333298</v>
      </c>
      <c r="I83" s="109">
        <f t="shared" si="1"/>
        <v>1</v>
      </c>
      <c r="J83" s="109">
        <v>0.9</v>
      </c>
      <c r="K83" s="82"/>
      <c r="L83" s="82"/>
    </row>
    <row r="84" spans="1:12" ht="14.4" customHeight="1">
      <c r="A84" s="253"/>
      <c r="B84" s="244"/>
      <c r="C84" s="244"/>
      <c r="D84" s="78" t="s">
        <v>1192</v>
      </c>
      <c r="E84" s="159"/>
      <c r="F84" s="106" t="s">
        <v>1252</v>
      </c>
      <c r="G84" s="107"/>
      <c r="H84" s="108">
        <v>0.33333333333333298</v>
      </c>
      <c r="I84" s="109">
        <f t="shared" si="1"/>
        <v>1</v>
      </c>
      <c r="J84" s="109">
        <v>0.9</v>
      </c>
      <c r="K84" s="82"/>
      <c r="L84" s="82"/>
    </row>
    <row r="85" spans="1:12" ht="14.4" customHeight="1" thickBot="1">
      <c r="A85" s="253"/>
      <c r="B85" s="245"/>
      <c r="C85" s="245"/>
      <c r="D85" s="78" t="s">
        <v>1192</v>
      </c>
      <c r="E85" s="113"/>
      <c r="F85" s="114" t="s">
        <v>1253</v>
      </c>
      <c r="G85" s="122"/>
      <c r="H85" s="123">
        <v>0.33333333333333298</v>
      </c>
      <c r="I85" s="109">
        <f t="shared" si="1"/>
        <v>1</v>
      </c>
      <c r="J85" s="109">
        <v>0.9</v>
      </c>
      <c r="K85" s="82"/>
      <c r="L85" s="82"/>
    </row>
    <row r="86" spans="1:12" ht="14.4" customHeight="1">
      <c r="A86" s="253"/>
      <c r="B86" s="251">
        <v>45878</v>
      </c>
      <c r="C86" s="248" t="s">
        <v>1198</v>
      </c>
      <c r="D86" s="132" t="s">
        <v>1194</v>
      </c>
      <c r="E86" s="158"/>
      <c r="F86" s="125" t="s">
        <v>1251</v>
      </c>
      <c r="G86" s="126"/>
      <c r="H86" s="127">
        <v>0.33333333333333298</v>
      </c>
      <c r="I86" s="109">
        <f>1-(G86/H86)</f>
        <v>1</v>
      </c>
      <c r="J86" s="134">
        <v>0.9</v>
      </c>
      <c r="K86" s="135"/>
      <c r="L86" s="137"/>
    </row>
    <row r="87" spans="1:12" ht="14.4" customHeight="1">
      <c r="A87" s="253"/>
      <c r="B87" s="244"/>
      <c r="C87" s="249"/>
      <c r="D87" s="132" t="s">
        <v>1194</v>
      </c>
      <c r="E87" s="158"/>
      <c r="F87" s="129" t="s">
        <v>1252</v>
      </c>
      <c r="G87" s="126"/>
      <c r="H87" s="127">
        <v>0.33333333333333298</v>
      </c>
      <c r="I87" s="109">
        <f>1-(G87/H87)</f>
        <v>1</v>
      </c>
      <c r="J87" s="134">
        <v>0.9</v>
      </c>
      <c r="K87" s="135"/>
      <c r="L87" s="136"/>
    </row>
    <row r="88" spans="1:12" ht="14.4" customHeight="1">
      <c r="A88" s="253"/>
      <c r="B88" s="244"/>
      <c r="C88" s="250"/>
      <c r="D88" s="132" t="s">
        <v>1194</v>
      </c>
      <c r="E88" s="133"/>
      <c r="F88" s="128" t="s">
        <v>1253</v>
      </c>
      <c r="G88" s="126">
        <v>0.125</v>
      </c>
      <c r="H88" s="127">
        <v>0.33333333333333298</v>
      </c>
      <c r="I88" s="109">
        <f t="shared" ref="I88:I103" si="2">1-(G88/H88)</f>
        <v>0.62499999999999956</v>
      </c>
      <c r="J88" s="134">
        <v>0.9</v>
      </c>
      <c r="K88" s="133" t="s">
        <v>1307</v>
      </c>
      <c r="L88" s="136"/>
    </row>
    <row r="89" spans="1:12" ht="14.4" customHeight="1">
      <c r="A89" s="253"/>
      <c r="B89" s="244"/>
      <c r="C89" s="243" t="s">
        <v>1196</v>
      </c>
      <c r="D89" s="78" t="s">
        <v>1193</v>
      </c>
      <c r="E89" s="159"/>
      <c r="F89" s="111" t="s">
        <v>1251</v>
      </c>
      <c r="G89" s="107">
        <v>0.29166666666666669</v>
      </c>
      <c r="H89" s="108">
        <v>0.33333333333333298</v>
      </c>
      <c r="I89" s="109">
        <f t="shared" si="2"/>
        <v>0.124999999999999</v>
      </c>
      <c r="J89" s="109">
        <v>0.9</v>
      </c>
      <c r="K89" s="82" t="s">
        <v>1517</v>
      </c>
      <c r="L89" s="112"/>
    </row>
    <row r="90" spans="1:12" ht="14.4" customHeight="1">
      <c r="A90" s="253"/>
      <c r="B90" s="244"/>
      <c r="C90" s="244"/>
      <c r="D90" s="78" t="s">
        <v>1193</v>
      </c>
      <c r="E90" s="159"/>
      <c r="F90" s="106" t="s">
        <v>1252</v>
      </c>
      <c r="G90" s="107">
        <v>0.29166666666666669</v>
      </c>
      <c r="H90" s="108">
        <v>0.33333333333333298</v>
      </c>
      <c r="I90" s="109">
        <f t="shared" si="2"/>
        <v>0.124999999999999</v>
      </c>
      <c r="J90" s="109">
        <v>0.9</v>
      </c>
      <c r="K90" s="82" t="s">
        <v>1517</v>
      </c>
      <c r="L90" s="82"/>
    </row>
    <row r="91" spans="1:12" ht="14.4" customHeight="1">
      <c r="A91" s="253"/>
      <c r="B91" s="244"/>
      <c r="C91" s="245"/>
      <c r="D91" s="78" t="s">
        <v>1193</v>
      </c>
      <c r="E91" s="113"/>
      <c r="F91" s="114" t="s">
        <v>1253</v>
      </c>
      <c r="G91" s="107">
        <v>0.29166666666666669</v>
      </c>
      <c r="H91" s="108">
        <v>0.33333333333333298</v>
      </c>
      <c r="I91" s="109">
        <f t="shared" si="2"/>
        <v>0.124999999999999</v>
      </c>
      <c r="J91" s="109">
        <v>0.9</v>
      </c>
      <c r="K91" s="82" t="s">
        <v>1517</v>
      </c>
      <c r="L91" s="82"/>
    </row>
    <row r="92" spans="1:12" ht="14.4" customHeight="1">
      <c r="A92" s="253"/>
      <c r="B92" s="244"/>
      <c r="C92" s="248" t="s">
        <v>1197</v>
      </c>
      <c r="D92" s="132" t="s">
        <v>1191</v>
      </c>
      <c r="E92" s="158"/>
      <c r="F92" s="125" t="s">
        <v>1251</v>
      </c>
      <c r="G92" s="126">
        <v>4.1666666666666664E-2</v>
      </c>
      <c r="H92" s="127">
        <v>0.33333333333333298</v>
      </c>
      <c r="I92" s="109">
        <f t="shared" si="2"/>
        <v>0.87499999999999989</v>
      </c>
      <c r="J92" s="134">
        <v>0.9</v>
      </c>
      <c r="K92" s="135" t="s">
        <v>1517</v>
      </c>
      <c r="L92" s="136"/>
    </row>
    <row r="93" spans="1:12" ht="14.4" customHeight="1">
      <c r="A93" s="253"/>
      <c r="B93" s="244"/>
      <c r="C93" s="249"/>
      <c r="D93" s="132" t="s">
        <v>1191</v>
      </c>
      <c r="E93" s="158"/>
      <c r="F93" s="129" t="s">
        <v>1252</v>
      </c>
      <c r="G93" s="126">
        <v>4.1666666666666664E-2</v>
      </c>
      <c r="H93" s="127">
        <v>0.33333333333333298</v>
      </c>
      <c r="I93" s="109">
        <f t="shared" si="2"/>
        <v>0.87499999999999989</v>
      </c>
      <c r="J93" s="134">
        <v>0.9</v>
      </c>
      <c r="K93" s="135" t="s">
        <v>1517</v>
      </c>
      <c r="L93" s="136"/>
    </row>
    <row r="94" spans="1:12" ht="14.4" customHeight="1" thickBot="1">
      <c r="A94" s="253"/>
      <c r="B94" s="245"/>
      <c r="C94" s="250"/>
      <c r="D94" s="132" t="s">
        <v>1191</v>
      </c>
      <c r="E94" s="133"/>
      <c r="F94" s="128" t="s">
        <v>1253</v>
      </c>
      <c r="G94" s="126">
        <v>4.1666666666666664E-2</v>
      </c>
      <c r="H94" s="127">
        <v>0.33333333333333298</v>
      </c>
      <c r="I94" s="109">
        <f t="shared" si="2"/>
        <v>0.87499999999999989</v>
      </c>
      <c r="J94" s="134">
        <v>0.9</v>
      </c>
      <c r="K94" s="133" t="s">
        <v>1517</v>
      </c>
      <c r="L94" s="136"/>
    </row>
    <row r="95" spans="1:12" ht="14.4" customHeight="1">
      <c r="A95" s="253"/>
      <c r="B95" s="251">
        <v>45879</v>
      </c>
      <c r="C95" s="243" t="s">
        <v>1198</v>
      </c>
      <c r="D95" s="78" t="s">
        <v>1194</v>
      </c>
      <c r="E95" s="159"/>
      <c r="F95" s="111" t="s">
        <v>1251</v>
      </c>
      <c r="G95" s="107"/>
      <c r="H95" s="108">
        <v>0.33333333333333298</v>
      </c>
      <c r="I95" s="109">
        <f t="shared" si="2"/>
        <v>1</v>
      </c>
      <c r="J95" s="109">
        <v>0.9</v>
      </c>
      <c r="K95" s="82"/>
      <c r="L95" s="112"/>
    </row>
    <row r="96" spans="1:12" ht="14.4" customHeight="1">
      <c r="A96" s="253"/>
      <c r="B96" s="244"/>
      <c r="C96" s="244"/>
      <c r="D96" s="78" t="s">
        <v>1194</v>
      </c>
      <c r="E96" s="159"/>
      <c r="F96" s="106" t="s">
        <v>1252</v>
      </c>
      <c r="G96" s="107"/>
      <c r="H96" s="108">
        <v>0.33333333333333298</v>
      </c>
      <c r="I96" s="109">
        <f t="shared" si="2"/>
        <v>1</v>
      </c>
      <c r="J96" s="109">
        <v>0.9</v>
      </c>
      <c r="K96" s="82"/>
      <c r="L96" s="82"/>
    </row>
    <row r="97" spans="1:12" ht="14.4" customHeight="1">
      <c r="A97" s="253"/>
      <c r="B97" s="244"/>
      <c r="C97" s="245"/>
      <c r="D97" s="78" t="s">
        <v>1194</v>
      </c>
      <c r="E97" s="113"/>
      <c r="F97" s="114" t="s">
        <v>1253</v>
      </c>
      <c r="G97" s="107"/>
      <c r="H97" s="108">
        <v>0.33333333333333298</v>
      </c>
      <c r="I97" s="109">
        <f t="shared" si="2"/>
        <v>1</v>
      </c>
      <c r="J97" s="109">
        <v>0.9</v>
      </c>
      <c r="K97" s="82"/>
      <c r="L97" s="82"/>
    </row>
    <row r="98" spans="1:12" ht="14.4" customHeight="1">
      <c r="A98" s="253"/>
      <c r="B98" s="244"/>
      <c r="C98" s="248" t="s">
        <v>1196</v>
      </c>
      <c r="D98" s="132" t="s">
        <v>1193</v>
      </c>
      <c r="E98" s="158"/>
      <c r="F98" s="125" t="s">
        <v>1251</v>
      </c>
      <c r="G98" s="126"/>
      <c r="H98" s="127">
        <v>0.33333333333333298</v>
      </c>
      <c r="I98" s="109">
        <f t="shared" si="2"/>
        <v>1</v>
      </c>
      <c r="J98" s="134">
        <v>0.9</v>
      </c>
      <c r="K98" s="137"/>
      <c r="L98" s="137"/>
    </row>
    <row r="99" spans="1:12" ht="14.4" customHeight="1">
      <c r="A99" s="253"/>
      <c r="B99" s="244"/>
      <c r="C99" s="249"/>
      <c r="D99" s="132" t="s">
        <v>1193</v>
      </c>
      <c r="E99" s="158"/>
      <c r="F99" s="129" t="s">
        <v>1252</v>
      </c>
      <c r="G99" s="126"/>
      <c r="H99" s="127">
        <v>0.33333333333333298</v>
      </c>
      <c r="I99" s="109">
        <f t="shared" si="2"/>
        <v>1</v>
      </c>
      <c r="J99" s="134">
        <v>0.9</v>
      </c>
      <c r="K99" s="135"/>
      <c r="L99" s="136"/>
    </row>
    <row r="100" spans="1:12" ht="14.4" customHeight="1">
      <c r="A100" s="253"/>
      <c r="B100" s="244"/>
      <c r="C100" s="250"/>
      <c r="D100" s="132" t="s">
        <v>1193</v>
      </c>
      <c r="E100" s="133"/>
      <c r="F100" s="128" t="s">
        <v>1253</v>
      </c>
      <c r="G100" s="126"/>
      <c r="H100" s="127">
        <v>0.33333333333333298</v>
      </c>
      <c r="I100" s="109">
        <f t="shared" si="2"/>
        <v>1</v>
      </c>
      <c r="J100" s="134">
        <v>0.9</v>
      </c>
      <c r="K100" s="133"/>
      <c r="L100" s="136"/>
    </row>
    <row r="101" spans="1:12" ht="14.4" customHeight="1">
      <c r="A101" s="253"/>
      <c r="B101" s="244"/>
      <c r="C101" s="243" t="s">
        <v>1197</v>
      </c>
      <c r="D101" s="78"/>
      <c r="E101" s="159"/>
      <c r="F101" s="111" t="s">
        <v>1251</v>
      </c>
      <c r="G101" s="107"/>
      <c r="H101" s="108">
        <v>0.33333333333333298</v>
      </c>
      <c r="I101" s="109">
        <f t="shared" si="2"/>
        <v>1</v>
      </c>
      <c r="J101" s="109">
        <v>0.9</v>
      </c>
      <c r="K101" s="82"/>
      <c r="L101" s="82"/>
    </row>
    <row r="102" spans="1:12" ht="14.4" customHeight="1">
      <c r="A102" s="253"/>
      <c r="B102" s="244"/>
      <c r="C102" s="244"/>
      <c r="D102" s="78"/>
      <c r="E102" s="159"/>
      <c r="F102" s="106" t="s">
        <v>1252</v>
      </c>
      <c r="G102" s="107"/>
      <c r="H102" s="108">
        <v>0.33333333333333298</v>
      </c>
      <c r="I102" s="109">
        <f t="shared" si="2"/>
        <v>1</v>
      </c>
      <c r="J102" s="109">
        <v>0.9</v>
      </c>
      <c r="K102" s="82"/>
      <c r="L102" s="82"/>
    </row>
    <row r="103" spans="1:12" ht="14.4" customHeight="1">
      <c r="A103" s="253"/>
      <c r="B103" s="245"/>
      <c r="C103" s="245"/>
      <c r="D103" s="78"/>
      <c r="E103" s="113"/>
      <c r="F103" s="114" t="s">
        <v>1253</v>
      </c>
      <c r="G103" s="122"/>
      <c r="H103" s="123">
        <v>0.33333333333333298</v>
      </c>
      <c r="I103" s="109">
        <f t="shared" si="2"/>
        <v>1</v>
      </c>
      <c r="J103" s="109">
        <v>0.9</v>
      </c>
      <c r="K103" s="82"/>
      <c r="L103" s="82"/>
    </row>
    <row r="104" spans="1:12" ht="14.4" customHeight="1">
      <c r="A104" s="253"/>
      <c r="B104" s="117"/>
      <c r="C104" s="117"/>
      <c r="D104" s="118"/>
      <c r="E104" s="118"/>
      <c r="F104" s="119" t="s">
        <v>1251</v>
      </c>
      <c r="G104" s="124"/>
      <c r="H104" s="124"/>
      <c r="I104" s="120">
        <f>AVERAGEIF(F41:F103,F104,I41:I103)</f>
        <v>0.9017857142857143</v>
      </c>
      <c r="J104" s="121">
        <v>0.9</v>
      </c>
      <c r="K104" s="118"/>
      <c r="L104" s="116"/>
    </row>
    <row r="105" spans="1:12" ht="14.4" customHeight="1">
      <c r="A105" s="253"/>
      <c r="B105" s="117"/>
      <c r="C105" s="117"/>
      <c r="D105" s="118"/>
      <c r="E105" s="118"/>
      <c r="F105" s="119" t="s">
        <v>1252</v>
      </c>
      <c r="G105" s="124"/>
      <c r="H105" s="124"/>
      <c r="I105" s="120">
        <f>AVERAGEIF(F41:F103,F105,I41:I103)</f>
        <v>0.88144841269841256</v>
      </c>
      <c r="J105" s="121">
        <v>0.9</v>
      </c>
      <c r="K105" s="118"/>
      <c r="L105" s="116"/>
    </row>
    <row r="106" spans="1:12" ht="15" customHeight="1" thickBot="1">
      <c r="A106" s="253"/>
      <c r="B106" s="117"/>
      <c r="C106" s="117"/>
      <c r="D106" s="118"/>
      <c r="E106" s="118"/>
      <c r="F106" s="119" t="s">
        <v>1253</v>
      </c>
      <c r="G106" s="124"/>
      <c r="H106" s="124"/>
      <c r="I106" s="120">
        <f>AVERAGEIF(F41:F103,F106,I41:I103)</f>
        <v>0.84424603174603163</v>
      </c>
      <c r="J106" s="121">
        <v>0.9</v>
      </c>
      <c r="K106" s="118"/>
      <c r="L106" s="116"/>
    </row>
    <row r="107" spans="1:12" ht="14.4" customHeight="1">
      <c r="A107" s="252"/>
      <c r="B107" s="251">
        <v>45880</v>
      </c>
      <c r="C107" s="243" t="s">
        <v>1198</v>
      </c>
      <c r="D107" s="110" t="s">
        <v>1201</v>
      </c>
      <c r="E107" s="156"/>
      <c r="F107" s="111" t="s">
        <v>1251</v>
      </c>
      <c r="G107" s="107"/>
      <c r="H107" s="108">
        <v>0.33333333333333331</v>
      </c>
      <c r="I107" s="109">
        <f>1-(G107/H107)</f>
        <v>1</v>
      </c>
      <c r="J107" s="109">
        <v>0.9</v>
      </c>
      <c r="K107" s="82"/>
      <c r="L107" s="82"/>
    </row>
    <row r="108" spans="1:12" ht="14.4" customHeight="1">
      <c r="A108" s="253"/>
      <c r="B108" s="244"/>
      <c r="C108" s="244"/>
      <c r="D108" s="110" t="s">
        <v>1201</v>
      </c>
      <c r="E108" s="156"/>
      <c r="F108" s="111" t="s">
        <v>1252</v>
      </c>
      <c r="G108" s="107"/>
      <c r="H108" s="108">
        <v>0.33333333333333331</v>
      </c>
      <c r="I108" s="109">
        <f>1-(G108/H108)</f>
        <v>1</v>
      </c>
      <c r="J108" s="109">
        <v>0.9</v>
      </c>
      <c r="K108" s="82"/>
      <c r="L108" s="82"/>
    </row>
    <row r="109" spans="1:12" ht="14.4" customHeight="1">
      <c r="A109" s="253"/>
      <c r="B109" s="244"/>
      <c r="C109" s="245"/>
      <c r="D109" s="110" t="s">
        <v>1201</v>
      </c>
      <c r="E109" s="157"/>
      <c r="F109" s="114" t="s">
        <v>1253</v>
      </c>
      <c r="G109" s="107"/>
      <c r="H109" s="108">
        <v>0.33333333333333298</v>
      </c>
      <c r="I109" s="109">
        <f t="shared" ref="I109:I169" si="3">1-(G109/H109)</f>
        <v>1</v>
      </c>
      <c r="J109" s="109">
        <v>0.9</v>
      </c>
      <c r="K109" s="82"/>
      <c r="L109" s="82"/>
    </row>
    <row r="110" spans="1:12" ht="14.4" customHeight="1">
      <c r="A110" s="253"/>
      <c r="B110" s="244"/>
      <c r="C110" s="248" t="s">
        <v>1196</v>
      </c>
      <c r="D110" s="132" t="s">
        <v>1194</v>
      </c>
      <c r="E110" s="158"/>
      <c r="F110" s="125" t="s">
        <v>1251</v>
      </c>
      <c r="G110" s="126"/>
      <c r="H110" s="127">
        <v>0.33333333333333298</v>
      </c>
      <c r="I110" s="109">
        <f t="shared" si="3"/>
        <v>1</v>
      </c>
      <c r="J110" s="134">
        <v>0.9</v>
      </c>
      <c r="K110" s="82"/>
      <c r="L110" s="136"/>
    </row>
    <row r="111" spans="1:12" ht="14.4" customHeight="1">
      <c r="A111" s="253"/>
      <c r="B111" s="244"/>
      <c r="C111" s="249"/>
      <c r="D111" s="132" t="s">
        <v>1194</v>
      </c>
      <c r="E111" s="158"/>
      <c r="F111" s="125" t="s">
        <v>1252</v>
      </c>
      <c r="G111" s="126"/>
      <c r="H111" s="127">
        <v>0.33333333333333298</v>
      </c>
      <c r="I111" s="109">
        <f t="shared" si="3"/>
        <v>1</v>
      </c>
      <c r="J111" s="134">
        <v>0.9</v>
      </c>
      <c r="K111" s="135"/>
      <c r="L111" s="136"/>
    </row>
    <row r="112" spans="1:12" ht="14.4" customHeight="1">
      <c r="A112" s="253"/>
      <c r="B112" s="244"/>
      <c r="C112" s="250"/>
      <c r="D112" s="132" t="s">
        <v>1194</v>
      </c>
      <c r="E112" s="133"/>
      <c r="F112" s="128" t="s">
        <v>1253</v>
      </c>
      <c r="G112" s="126"/>
      <c r="H112" s="127">
        <v>0.33333333333333298</v>
      </c>
      <c r="I112" s="109">
        <f t="shared" si="3"/>
        <v>1</v>
      </c>
      <c r="J112" s="134">
        <v>0.9</v>
      </c>
      <c r="K112" s="133"/>
      <c r="L112" s="136"/>
    </row>
    <row r="113" spans="1:12" ht="14.4" customHeight="1">
      <c r="A113" s="253"/>
      <c r="B113" s="244"/>
      <c r="C113" s="243" t="s">
        <v>1197</v>
      </c>
      <c r="D113" s="78" t="s">
        <v>1193</v>
      </c>
      <c r="E113" s="159"/>
      <c r="F113" s="111" t="s">
        <v>1251</v>
      </c>
      <c r="G113" s="108"/>
      <c r="H113" s="108">
        <v>0.33333333333333298</v>
      </c>
      <c r="I113" s="109">
        <f t="shared" si="3"/>
        <v>1</v>
      </c>
      <c r="J113" s="109">
        <v>0.9</v>
      </c>
      <c r="K113" s="82"/>
      <c r="L113" s="112"/>
    </row>
    <row r="114" spans="1:12" ht="14.4" customHeight="1">
      <c r="A114" s="253"/>
      <c r="B114" s="244"/>
      <c r="C114" s="244"/>
      <c r="D114" s="78" t="s">
        <v>1193</v>
      </c>
      <c r="E114" s="159"/>
      <c r="F114" s="111" t="s">
        <v>1252</v>
      </c>
      <c r="G114" s="108"/>
      <c r="H114" s="108">
        <v>0.33333333333333298</v>
      </c>
      <c r="I114" s="109">
        <f t="shared" si="3"/>
        <v>1</v>
      </c>
      <c r="J114" s="109">
        <v>0.9</v>
      </c>
      <c r="K114" s="82"/>
      <c r="L114" s="82"/>
    </row>
    <row r="115" spans="1:12" ht="15" customHeight="1" thickBot="1">
      <c r="A115" s="253"/>
      <c r="B115" s="245"/>
      <c r="C115" s="245"/>
      <c r="D115" s="78" t="s">
        <v>1193</v>
      </c>
      <c r="E115" s="113"/>
      <c r="F115" s="114" t="s">
        <v>1253</v>
      </c>
      <c r="G115" s="108"/>
      <c r="H115" s="108">
        <v>0.33333333333333298</v>
      </c>
      <c r="I115" s="109">
        <f t="shared" si="3"/>
        <v>1</v>
      </c>
      <c r="J115" s="109">
        <v>0.9</v>
      </c>
      <c r="K115" s="82"/>
      <c r="L115" s="82"/>
    </row>
    <row r="116" spans="1:12" ht="14.4" customHeight="1">
      <c r="A116" s="253"/>
      <c r="B116" s="251">
        <v>45881</v>
      </c>
      <c r="C116" s="248" t="s">
        <v>1198</v>
      </c>
      <c r="D116" s="132" t="s">
        <v>1192</v>
      </c>
      <c r="E116" s="158"/>
      <c r="F116" s="125" t="s">
        <v>1251</v>
      </c>
      <c r="G116" s="126"/>
      <c r="H116" s="127">
        <v>0.33333333333333298</v>
      </c>
      <c r="I116" s="109">
        <f t="shared" si="3"/>
        <v>1</v>
      </c>
      <c r="J116" s="134">
        <v>0.9</v>
      </c>
      <c r="K116" s="135"/>
      <c r="L116" s="137"/>
    </row>
    <row r="117" spans="1:12" ht="14.4" customHeight="1">
      <c r="A117" s="253"/>
      <c r="B117" s="244"/>
      <c r="C117" s="249"/>
      <c r="D117" s="132" t="s">
        <v>1192</v>
      </c>
      <c r="E117" s="158"/>
      <c r="F117" s="125" t="s">
        <v>1252</v>
      </c>
      <c r="G117" s="127">
        <v>7.6388888888888895E-2</v>
      </c>
      <c r="H117" s="127">
        <v>0.33333333333333298</v>
      </c>
      <c r="I117" s="109">
        <f t="shared" si="3"/>
        <v>0.77083333333333304</v>
      </c>
      <c r="J117" s="134">
        <v>0.9</v>
      </c>
      <c r="K117" s="135"/>
      <c r="L117" s="136"/>
    </row>
    <row r="118" spans="1:12" ht="14.4" customHeight="1">
      <c r="A118" s="253"/>
      <c r="B118" s="244"/>
      <c r="C118" s="250"/>
      <c r="D118" s="132" t="s">
        <v>1192</v>
      </c>
      <c r="E118" s="133"/>
      <c r="F118" s="128" t="s">
        <v>1253</v>
      </c>
      <c r="G118" s="126"/>
      <c r="H118" s="127">
        <v>0.33333333333333331</v>
      </c>
      <c r="I118" s="109">
        <f t="shared" si="3"/>
        <v>1</v>
      </c>
      <c r="J118" s="134">
        <v>0.9</v>
      </c>
      <c r="K118" s="133"/>
      <c r="L118" s="136"/>
    </row>
    <row r="119" spans="1:12" ht="14.4" customHeight="1">
      <c r="A119" s="253"/>
      <c r="B119" s="244"/>
      <c r="C119" s="243" t="s">
        <v>1196</v>
      </c>
      <c r="D119" s="78" t="s">
        <v>1194</v>
      </c>
      <c r="E119" s="159"/>
      <c r="F119" s="111" t="s">
        <v>1251</v>
      </c>
      <c r="G119" s="107">
        <v>8.3333333333333329E-2</v>
      </c>
      <c r="H119" s="108">
        <v>0.33333333333333298</v>
      </c>
      <c r="I119" s="109">
        <f t="shared" si="3"/>
        <v>0.74999999999999978</v>
      </c>
      <c r="J119" s="109">
        <v>0.9</v>
      </c>
      <c r="K119" s="82"/>
      <c r="L119" s="112"/>
    </row>
    <row r="120" spans="1:12" ht="14.4" customHeight="1">
      <c r="A120" s="253"/>
      <c r="B120" s="244"/>
      <c r="C120" s="244"/>
      <c r="D120" s="78" t="s">
        <v>1194</v>
      </c>
      <c r="E120" s="159"/>
      <c r="F120" s="111" t="s">
        <v>1252</v>
      </c>
      <c r="G120" s="107">
        <v>4.1666666666666664E-2</v>
      </c>
      <c r="H120" s="108">
        <v>0.33333333333333298</v>
      </c>
      <c r="I120" s="109">
        <f t="shared" si="3"/>
        <v>0.87499999999999989</v>
      </c>
      <c r="J120" s="109">
        <v>0.9</v>
      </c>
      <c r="K120" s="82"/>
      <c r="L120" s="82"/>
    </row>
    <row r="121" spans="1:12" ht="14.4" customHeight="1">
      <c r="A121" s="253"/>
      <c r="B121" s="244"/>
      <c r="C121" s="245"/>
      <c r="D121" s="78" t="s">
        <v>1194</v>
      </c>
      <c r="E121" s="113"/>
      <c r="F121" s="114" t="s">
        <v>1253</v>
      </c>
      <c r="G121" s="107"/>
      <c r="H121" s="108">
        <v>0.33333333333333298</v>
      </c>
      <c r="I121" s="109">
        <f t="shared" si="3"/>
        <v>1</v>
      </c>
      <c r="J121" s="109">
        <v>0.9</v>
      </c>
      <c r="K121" s="82"/>
      <c r="L121" s="82"/>
    </row>
    <row r="122" spans="1:12" ht="14.4" customHeight="1">
      <c r="A122" s="253"/>
      <c r="B122" s="244"/>
      <c r="C122" s="248" t="s">
        <v>1197</v>
      </c>
      <c r="D122" s="132" t="s">
        <v>1193</v>
      </c>
      <c r="E122" s="158"/>
      <c r="F122" s="125" t="s">
        <v>1251</v>
      </c>
      <c r="G122" s="126"/>
      <c r="H122" s="127">
        <v>0.33333333333333298</v>
      </c>
      <c r="I122" s="109">
        <f t="shared" si="3"/>
        <v>1</v>
      </c>
      <c r="J122" s="134">
        <v>0.9</v>
      </c>
      <c r="K122" s="135"/>
      <c r="L122" s="137"/>
    </row>
    <row r="123" spans="1:12" ht="14.4" customHeight="1">
      <c r="A123" s="253"/>
      <c r="B123" s="244"/>
      <c r="C123" s="249"/>
      <c r="D123" s="132" t="s">
        <v>1193</v>
      </c>
      <c r="E123" s="158"/>
      <c r="F123" s="129" t="s">
        <v>1252</v>
      </c>
      <c r="G123" s="126"/>
      <c r="H123" s="127">
        <v>0.33333333333333298</v>
      </c>
      <c r="I123" s="109">
        <f t="shared" si="3"/>
        <v>1</v>
      </c>
      <c r="J123" s="134">
        <v>0.9</v>
      </c>
      <c r="K123" s="135"/>
      <c r="L123" s="136"/>
    </row>
    <row r="124" spans="1:12" ht="15" customHeight="1" thickBot="1">
      <c r="A124" s="253"/>
      <c r="B124" s="245"/>
      <c r="C124" s="250"/>
      <c r="D124" s="132" t="s">
        <v>1193</v>
      </c>
      <c r="E124" s="133"/>
      <c r="F124" s="128" t="s">
        <v>1253</v>
      </c>
      <c r="G124" s="126"/>
      <c r="H124" s="131">
        <v>0.33333333333333298</v>
      </c>
      <c r="I124" s="115">
        <f t="shared" si="3"/>
        <v>1</v>
      </c>
      <c r="J124" s="134">
        <v>0.9</v>
      </c>
      <c r="K124" s="135"/>
      <c r="L124" s="136"/>
    </row>
    <row r="125" spans="1:12" ht="14.4" customHeight="1">
      <c r="A125" s="253"/>
      <c r="B125" s="251">
        <v>45882</v>
      </c>
      <c r="C125" s="243" t="s">
        <v>1198</v>
      </c>
      <c r="D125" s="78" t="s">
        <v>1191</v>
      </c>
      <c r="E125" s="159"/>
      <c r="F125" s="111" t="s">
        <v>1251</v>
      </c>
      <c r="G125" s="107"/>
      <c r="H125" s="108">
        <v>0.33333333333333331</v>
      </c>
      <c r="I125" s="115">
        <f t="shared" si="3"/>
        <v>1</v>
      </c>
      <c r="J125" s="109">
        <v>0.9</v>
      </c>
      <c r="K125" s="82"/>
      <c r="L125" s="112"/>
    </row>
    <row r="126" spans="1:12" ht="14.4" customHeight="1">
      <c r="A126" s="253"/>
      <c r="B126" s="244"/>
      <c r="C126" s="244"/>
      <c r="D126" s="78" t="s">
        <v>1191</v>
      </c>
      <c r="E126" s="159"/>
      <c r="F126" s="106" t="s">
        <v>1252</v>
      </c>
      <c r="G126" s="107">
        <v>6.9444444444444448E-2</v>
      </c>
      <c r="H126" s="108">
        <v>0.33333333333333331</v>
      </c>
      <c r="I126" s="115">
        <f t="shared" si="3"/>
        <v>0.79166666666666663</v>
      </c>
      <c r="J126" s="109">
        <v>0.9</v>
      </c>
      <c r="K126" s="82" t="s">
        <v>1307</v>
      </c>
      <c r="L126" s="82"/>
    </row>
    <row r="127" spans="1:12" ht="14.4" customHeight="1">
      <c r="A127" s="253"/>
      <c r="B127" s="244"/>
      <c r="C127" s="245"/>
      <c r="D127" s="78" t="s">
        <v>1191</v>
      </c>
      <c r="E127" s="113"/>
      <c r="F127" s="114" t="s">
        <v>1253</v>
      </c>
      <c r="G127" s="107"/>
      <c r="H127" s="108">
        <v>0.33333333333333298</v>
      </c>
      <c r="I127" s="115">
        <f t="shared" si="3"/>
        <v>1</v>
      </c>
      <c r="J127" s="109">
        <v>0.9</v>
      </c>
      <c r="K127" s="82"/>
      <c r="L127" s="82"/>
    </row>
    <row r="128" spans="1:12" ht="14.4" customHeight="1">
      <c r="A128" s="253"/>
      <c r="B128" s="244"/>
      <c r="C128" s="248" t="s">
        <v>1196</v>
      </c>
      <c r="D128" s="132" t="s">
        <v>1192</v>
      </c>
      <c r="E128" s="158"/>
      <c r="F128" s="125" t="s">
        <v>1251</v>
      </c>
      <c r="G128" s="126"/>
      <c r="H128" s="127">
        <v>0.33333333333333298</v>
      </c>
      <c r="I128" s="115">
        <f t="shared" si="3"/>
        <v>1</v>
      </c>
      <c r="J128" s="134">
        <v>0.9</v>
      </c>
      <c r="K128" s="135"/>
      <c r="L128" s="137"/>
    </row>
    <row r="129" spans="1:12" ht="14.4" customHeight="1">
      <c r="A129" s="253"/>
      <c r="B129" s="244"/>
      <c r="C129" s="249"/>
      <c r="D129" s="132" t="s">
        <v>1192</v>
      </c>
      <c r="E129" s="158"/>
      <c r="F129" s="129" t="s">
        <v>1252</v>
      </c>
      <c r="G129" s="126"/>
      <c r="H129" s="127">
        <v>0.33333333333333331</v>
      </c>
      <c r="I129" s="115">
        <f t="shared" si="3"/>
        <v>1</v>
      </c>
      <c r="J129" s="134">
        <v>0.9</v>
      </c>
      <c r="K129" s="135"/>
      <c r="L129" s="136"/>
    </row>
    <row r="130" spans="1:12" ht="14.4" customHeight="1">
      <c r="A130" s="253"/>
      <c r="B130" s="244"/>
      <c r="C130" s="250"/>
      <c r="D130" s="132" t="s">
        <v>1192</v>
      </c>
      <c r="E130" s="133"/>
      <c r="F130" s="128" t="s">
        <v>1253</v>
      </c>
      <c r="G130" s="127"/>
      <c r="H130" s="127">
        <v>0.33333333333333298</v>
      </c>
      <c r="I130" s="115">
        <f t="shared" si="3"/>
        <v>1</v>
      </c>
      <c r="J130" s="134">
        <v>0.9</v>
      </c>
      <c r="K130" s="133"/>
      <c r="L130" s="136"/>
    </row>
    <row r="131" spans="1:12" ht="14.4" customHeight="1">
      <c r="A131" s="253"/>
      <c r="B131" s="244"/>
      <c r="C131" s="243" t="s">
        <v>1197</v>
      </c>
      <c r="D131" s="78" t="s">
        <v>1194</v>
      </c>
      <c r="E131" s="159"/>
      <c r="F131" s="111" t="s">
        <v>1251</v>
      </c>
      <c r="G131" s="107"/>
      <c r="H131" s="108">
        <v>0.33333333333333298</v>
      </c>
      <c r="I131" s="115">
        <f t="shared" si="3"/>
        <v>1</v>
      </c>
      <c r="J131" s="109">
        <v>0.9</v>
      </c>
      <c r="K131" s="82"/>
      <c r="L131" s="112"/>
    </row>
    <row r="132" spans="1:12" ht="14.4" customHeight="1">
      <c r="A132" s="253"/>
      <c r="B132" s="244"/>
      <c r="C132" s="244"/>
      <c r="D132" s="78" t="s">
        <v>1194</v>
      </c>
      <c r="E132" s="159"/>
      <c r="F132" s="106" t="s">
        <v>1252</v>
      </c>
      <c r="G132" s="107"/>
      <c r="H132" s="108">
        <v>0.33333333333333298</v>
      </c>
      <c r="I132" s="115">
        <f t="shared" si="3"/>
        <v>1</v>
      </c>
      <c r="J132" s="109">
        <v>0.9</v>
      </c>
      <c r="K132" s="82"/>
      <c r="L132" s="82"/>
    </row>
    <row r="133" spans="1:12" ht="15" customHeight="1" thickBot="1">
      <c r="A133" s="253"/>
      <c r="B133" s="245"/>
      <c r="C133" s="245"/>
      <c r="D133" s="78" t="s">
        <v>1194</v>
      </c>
      <c r="E133" s="113"/>
      <c r="F133" s="114" t="s">
        <v>1253</v>
      </c>
      <c r="G133" s="108"/>
      <c r="H133" s="108">
        <v>0.33333333333333298</v>
      </c>
      <c r="I133" s="115">
        <f t="shared" si="3"/>
        <v>1</v>
      </c>
      <c r="J133" s="109">
        <v>0.9</v>
      </c>
      <c r="K133" s="82"/>
      <c r="L133" s="82"/>
    </row>
    <row r="134" spans="1:12" ht="14.4" customHeight="1">
      <c r="A134" s="253"/>
      <c r="B134" s="251">
        <v>45883</v>
      </c>
      <c r="C134" s="248" t="s">
        <v>1198</v>
      </c>
      <c r="D134" s="132" t="s">
        <v>1191</v>
      </c>
      <c r="E134" s="158"/>
      <c r="F134" s="125" t="s">
        <v>1251</v>
      </c>
      <c r="G134" s="126"/>
      <c r="H134" s="127">
        <v>0.33333333333333298</v>
      </c>
      <c r="I134" s="109">
        <f t="shared" si="3"/>
        <v>1</v>
      </c>
      <c r="J134" s="134">
        <v>0.9</v>
      </c>
      <c r="K134" s="135"/>
      <c r="L134" s="137"/>
    </row>
    <row r="135" spans="1:12" ht="14.4" customHeight="1">
      <c r="A135" s="253"/>
      <c r="B135" s="244"/>
      <c r="C135" s="249"/>
      <c r="D135" s="132" t="s">
        <v>1191</v>
      </c>
      <c r="E135" s="158"/>
      <c r="F135" s="129" t="s">
        <v>1252</v>
      </c>
      <c r="G135" s="126"/>
      <c r="H135" s="127">
        <v>0.33333333333333298</v>
      </c>
      <c r="I135" s="109">
        <f t="shared" si="3"/>
        <v>1</v>
      </c>
      <c r="J135" s="134">
        <v>0.9</v>
      </c>
      <c r="K135" s="135"/>
      <c r="L135" s="136"/>
    </row>
    <row r="136" spans="1:12" ht="14.4" customHeight="1">
      <c r="A136" s="253"/>
      <c r="B136" s="244"/>
      <c r="C136" s="250"/>
      <c r="D136" s="132" t="s">
        <v>1191</v>
      </c>
      <c r="E136" s="133"/>
      <c r="F136" s="128" t="s">
        <v>1253</v>
      </c>
      <c r="G136" s="127"/>
      <c r="H136" s="127">
        <v>0.33333333333333298</v>
      </c>
      <c r="I136" s="109">
        <f t="shared" si="3"/>
        <v>1</v>
      </c>
      <c r="J136" s="134">
        <v>0.9</v>
      </c>
      <c r="K136" s="133"/>
      <c r="L136" s="136"/>
    </row>
    <row r="137" spans="1:12" ht="14.4" customHeight="1">
      <c r="A137" s="253"/>
      <c r="B137" s="244"/>
      <c r="C137" s="243" t="s">
        <v>1196</v>
      </c>
      <c r="D137" s="78" t="s">
        <v>1192</v>
      </c>
      <c r="E137" s="159"/>
      <c r="F137" s="111" t="s">
        <v>1251</v>
      </c>
      <c r="G137" s="108"/>
      <c r="H137" s="108">
        <v>0.33333333333333298</v>
      </c>
      <c r="I137" s="109">
        <f t="shared" si="3"/>
        <v>1</v>
      </c>
      <c r="J137" s="109">
        <v>0.9</v>
      </c>
      <c r="K137" s="112"/>
      <c r="L137" s="112"/>
    </row>
    <row r="138" spans="1:12" ht="14.4" customHeight="1">
      <c r="A138" s="253"/>
      <c r="B138" s="244"/>
      <c r="C138" s="244"/>
      <c r="D138" s="78" t="s">
        <v>1192</v>
      </c>
      <c r="E138" s="159"/>
      <c r="F138" s="106" t="s">
        <v>1252</v>
      </c>
      <c r="G138" s="108"/>
      <c r="H138" s="108">
        <v>0.33333333333333298</v>
      </c>
      <c r="I138" s="109">
        <f t="shared" si="3"/>
        <v>1</v>
      </c>
      <c r="J138" s="109">
        <v>0.9</v>
      </c>
      <c r="K138" s="112"/>
      <c r="L138" s="82"/>
    </row>
    <row r="139" spans="1:12" ht="14.4" customHeight="1">
      <c r="A139" s="253"/>
      <c r="B139" s="244"/>
      <c r="C139" s="245"/>
      <c r="D139" s="78" t="s">
        <v>1192</v>
      </c>
      <c r="E139" s="113"/>
      <c r="F139" s="114" t="s">
        <v>1253</v>
      </c>
      <c r="G139" s="108"/>
      <c r="H139" s="108">
        <v>0.33333333333333298</v>
      </c>
      <c r="I139" s="109">
        <f t="shared" si="3"/>
        <v>1</v>
      </c>
      <c r="J139" s="109">
        <v>0.9</v>
      </c>
      <c r="K139" s="82"/>
      <c r="L139" s="82"/>
    </row>
    <row r="140" spans="1:12" ht="14.4" customHeight="1">
      <c r="A140" s="253"/>
      <c r="B140" s="244"/>
      <c r="C140" s="248" t="s">
        <v>1197</v>
      </c>
      <c r="D140" s="132" t="s">
        <v>1194</v>
      </c>
      <c r="E140" s="158"/>
      <c r="F140" s="125" t="s">
        <v>1251</v>
      </c>
      <c r="G140" s="127"/>
      <c r="H140" s="127">
        <v>0.33333333333333298</v>
      </c>
      <c r="I140" s="109">
        <f t="shared" si="3"/>
        <v>1</v>
      </c>
      <c r="J140" s="134">
        <v>0.9</v>
      </c>
      <c r="K140" s="133"/>
      <c r="L140" s="137"/>
    </row>
    <row r="141" spans="1:12" ht="14.4" customHeight="1">
      <c r="A141" s="253"/>
      <c r="B141" s="244"/>
      <c r="C141" s="249"/>
      <c r="D141" s="132" t="s">
        <v>1194</v>
      </c>
      <c r="E141" s="158"/>
      <c r="F141" s="129" t="s">
        <v>1252</v>
      </c>
      <c r="G141" s="127"/>
      <c r="H141" s="127">
        <v>0.33333333333333298</v>
      </c>
      <c r="I141" s="109">
        <f t="shared" si="3"/>
        <v>1</v>
      </c>
      <c r="J141" s="134">
        <v>0.9</v>
      </c>
      <c r="K141" s="133"/>
      <c r="L141" s="136"/>
    </row>
    <row r="142" spans="1:12" ht="15" customHeight="1" thickBot="1">
      <c r="A142" s="253"/>
      <c r="B142" s="245"/>
      <c r="C142" s="250"/>
      <c r="D142" s="132" t="s">
        <v>1194</v>
      </c>
      <c r="E142" s="133"/>
      <c r="F142" s="128" t="s">
        <v>1253</v>
      </c>
      <c r="G142" s="127"/>
      <c r="H142" s="127">
        <v>0.33333333333333298</v>
      </c>
      <c r="I142" s="109">
        <f t="shared" si="3"/>
        <v>1</v>
      </c>
      <c r="J142" s="134">
        <v>0.9</v>
      </c>
      <c r="K142" s="133"/>
      <c r="L142" s="136"/>
    </row>
    <row r="143" spans="1:12" ht="14.4" customHeight="1">
      <c r="A143" s="253"/>
      <c r="B143" s="251">
        <v>45884</v>
      </c>
      <c r="C143" s="243" t="s">
        <v>1198</v>
      </c>
      <c r="D143" s="78" t="s">
        <v>1193</v>
      </c>
      <c r="E143" s="159"/>
      <c r="F143" s="111" t="s">
        <v>1251</v>
      </c>
      <c r="G143" s="107"/>
      <c r="H143" s="108">
        <v>0.33333333333333298</v>
      </c>
      <c r="I143" s="109">
        <f t="shared" si="3"/>
        <v>1</v>
      </c>
      <c r="J143" s="109">
        <v>0.9</v>
      </c>
      <c r="K143" s="82"/>
      <c r="L143" s="112"/>
    </row>
    <row r="144" spans="1:12" ht="14.4" customHeight="1">
      <c r="A144" s="253"/>
      <c r="B144" s="244"/>
      <c r="C144" s="244"/>
      <c r="D144" s="78" t="s">
        <v>1193</v>
      </c>
      <c r="E144" s="159"/>
      <c r="F144" s="106" t="s">
        <v>1252</v>
      </c>
      <c r="G144" s="107"/>
      <c r="H144" s="108">
        <v>0.33333333333333298</v>
      </c>
      <c r="I144" s="109">
        <f t="shared" si="3"/>
        <v>1</v>
      </c>
      <c r="J144" s="109">
        <v>0.9</v>
      </c>
      <c r="K144" s="82"/>
      <c r="L144" s="82"/>
    </row>
    <row r="145" spans="1:12" ht="14.4" customHeight="1">
      <c r="A145" s="253"/>
      <c r="B145" s="244"/>
      <c r="C145" s="245"/>
      <c r="D145" s="78" t="s">
        <v>1193</v>
      </c>
      <c r="E145" s="113"/>
      <c r="F145" s="114" t="s">
        <v>1253</v>
      </c>
      <c r="G145" s="108">
        <v>0.1736111111111111</v>
      </c>
      <c r="H145" s="108">
        <v>0.33333333333333331</v>
      </c>
      <c r="I145" s="109">
        <f t="shared" si="3"/>
        <v>0.47916666666666663</v>
      </c>
      <c r="J145" s="109">
        <v>0.9</v>
      </c>
      <c r="K145" s="82" t="s">
        <v>1518</v>
      </c>
      <c r="L145" s="82"/>
    </row>
    <row r="146" spans="1:12" ht="14.4" customHeight="1">
      <c r="A146" s="253"/>
      <c r="B146" s="244"/>
      <c r="C146" s="248" t="s">
        <v>1196</v>
      </c>
      <c r="D146" s="132" t="s">
        <v>1191</v>
      </c>
      <c r="E146" s="158"/>
      <c r="F146" s="125" t="s">
        <v>1251</v>
      </c>
      <c r="G146" s="126"/>
      <c r="H146" s="127">
        <v>0.33333333333333298</v>
      </c>
      <c r="I146" s="109">
        <f t="shared" si="3"/>
        <v>1</v>
      </c>
      <c r="J146" s="134">
        <v>0.9</v>
      </c>
      <c r="K146" s="135"/>
      <c r="L146" s="137"/>
    </row>
    <row r="147" spans="1:12" ht="14.4" customHeight="1">
      <c r="A147" s="253"/>
      <c r="B147" s="244"/>
      <c r="C147" s="249"/>
      <c r="D147" s="132" t="s">
        <v>1191</v>
      </c>
      <c r="E147" s="158"/>
      <c r="F147" s="129" t="s">
        <v>1252</v>
      </c>
      <c r="G147" s="126"/>
      <c r="H147" s="127">
        <v>0.33333333333333298</v>
      </c>
      <c r="I147" s="109">
        <f t="shared" si="3"/>
        <v>1</v>
      </c>
      <c r="J147" s="134">
        <v>0.9</v>
      </c>
      <c r="K147" s="135"/>
      <c r="L147" s="136"/>
    </row>
    <row r="148" spans="1:12" ht="14.4" customHeight="1">
      <c r="A148" s="253"/>
      <c r="B148" s="244"/>
      <c r="C148" s="250"/>
      <c r="D148" s="132" t="s">
        <v>1191</v>
      </c>
      <c r="E148" s="133"/>
      <c r="F148" s="128" t="s">
        <v>1253</v>
      </c>
      <c r="G148" s="126"/>
      <c r="H148" s="127">
        <v>0.33333333333333298</v>
      </c>
      <c r="I148" s="109">
        <f t="shared" si="3"/>
        <v>1</v>
      </c>
      <c r="J148" s="134">
        <v>0.9</v>
      </c>
      <c r="K148" s="133"/>
      <c r="L148" s="136"/>
    </row>
    <row r="149" spans="1:12" ht="14.4" customHeight="1">
      <c r="A149" s="253"/>
      <c r="B149" s="244"/>
      <c r="C149" s="243" t="s">
        <v>1197</v>
      </c>
      <c r="D149" s="78" t="s">
        <v>1192</v>
      </c>
      <c r="E149" s="159"/>
      <c r="F149" s="111" t="s">
        <v>1251</v>
      </c>
      <c r="G149" s="107"/>
      <c r="H149" s="108">
        <v>0.33333333333333298</v>
      </c>
      <c r="I149" s="109">
        <f t="shared" si="3"/>
        <v>1</v>
      </c>
      <c r="J149" s="109">
        <v>0.9</v>
      </c>
      <c r="K149" s="82"/>
      <c r="L149" s="82"/>
    </row>
    <row r="150" spans="1:12" ht="14.4" customHeight="1">
      <c r="A150" s="253"/>
      <c r="B150" s="244"/>
      <c r="C150" s="244"/>
      <c r="D150" s="78" t="s">
        <v>1192</v>
      </c>
      <c r="E150" s="159"/>
      <c r="F150" s="106" t="s">
        <v>1252</v>
      </c>
      <c r="G150" s="107"/>
      <c r="H150" s="108">
        <v>0.33333333333333298</v>
      </c>
      <c r="I150" s="109">
        <f t="shared" si="3"/>
        <v>1</v>
      </c>
      <c r="J150" s="109">
        <v>0.9</v>
      </c>
      <c r="K150" s="82"/>
      <c r="L150" s="82"/>
    </row>
    <row r="151" spans="1:12" ht="14.4" customHeight="1" thickBot="1">
      <c r="A151" s="253"/>
      <c r="B151" s="245"/>
      <c r="C151" s="245"/>
      <c r="D151" s="78" t="s">
        <v>1192</v>
      </c>
      <c r="E151" s="113"/>
      <c r="F151" s="114" t="s">
        <v>1253</v>
      </c>
      <c r="G151" s="107"/>
      <c r="H151" s="123">
        <v>0.33333333333333298</v>
      </c>
      <c r="I151" s="109">
        <f t="shared" si="3"/>
        <v>1</v>
      </c>
      <c r="J151" s="109">
        <v>0.9</v>
      </c>
      <c r="K151" s="82"/>
      <c r="L151" s="82"/>
    </row>
    <row r="152" spans="1:12" ht="14.4" customHeight="1">
      <c r="A152" s="253"/>
      <c r="B152" s="251">
        <v>45885</v>
      </c>
      <c r="C152" s="243" t="s">
        <v>1198</v>
      </c>
      <c r="D152" s="78" t="s">
        <v>1193</v>
      </c>
      <c r="E152" s="159"/>
      <c r="F152" s="111" t="s">
        <v>1251</v>
      </c>
      <c r="G152" s="107"/>
      <c r="H152" s="108">
        <v>0.33333333333333298</v>
      </c>
      <c r="I152" s="109">
        <f t="shared" si="3"/>
        <v>1</v>
      </c>
      <c r="J152" s="109">
        <v>0.9</v>
      </c>
      <c r="K152" s="82"/>
      <c r="L152" s="112"/>
    </row>
    <row r="153" spans="1:12" ht="14.4" customHeight="1">
      <c r="A153" s="253"/>
      <c r="B153" s="244"/>
      <c r="C153" s="244"/>
      <c r="D153" s="78" t="s">
        <v>1193</v>
      </c>
      <c r="E153" s="159"/>
      <c r="F153" s="106" t="s">
        <v>1252</v>
      </c>
      <c r="G153" s="107"/>
      <c r="H153" s="108">
        <v>0.33333333333333298</v>
      </c>
      <c r="I153" s="109">
        <f t="shared" si="3"/>
        <v>1</v>
      </c>
      <c r="J153" s="109">
        <v>0.9</v>
      </c>
      <c r="K153" s="82"/>
      <c r="L153" s="82"/>
    </row>
    <row r="154" spans="1:12" ht="14.4" customHeight="1">
      <c r="A154" s="253"/>
      <c r="B154" s="244"/>
      <c r="C154" s="245"/>
      <c r="D154" s="78" t="s">
        <v>1193</v>
      </c>
      <c r="E154" s="113"/>
      <c r="F154" s="114" t="s">
        <v>1253</v>
      </c>
      <c r="G154" s="107"/>
      <c r="H154" s="108">
        <v>0.33333333333333298</v>
      </c>
      <c r="I154" s="109">
        <f t="shared" si="3"/>
        <v>1</v>
      </c>
      <c r="J154" s="109">
        <v>0.9</v>
      </c>
      <c r="K154" s="82"/>
      <c r="L154" s="82"/>
    </row>
    <row r="155" spans="1:12" ht="14.4" customHeight="1">
      <c r="A155" s="253"/>
      <c r="B155" s="244"/>
      <c r="C155" s="248" t="s">
        <v>1196</v>
      </c>
      <c r="D155" s="132" t="s">
        <v>1191</v>
      </c>
      <c r="E155" s="158"/>
      <c r="F155" s="125" t="s">
        <v>1251</v>
      </c>
      <c r="G155" s="126"/>
      <c r="H155" s="127">
        <v>0.33333333333333298</v>
      </c>
      <c r="I155" s="109">
        <f t="shared" si="3"/>
        <v>1</v>
      </c>
      <c r="J155" s="134">
        <v>0.9</v>
      </c>
      <c r="K155" s="135"/>
      <c r="L155" s="137"/>
    </row>
    <row r="156" spans="1:12" ht="14.4" customHeight="1">
      <c r="A156" s="253"/>
      <c r="B156" s="244"/>
      <c r="C156" s="249"/>
      <c r="D156" s="132" t="s">
        <v>1191</v>
      </c>
      <c r="E156" s="158"/>
      <c r="F156" s="129" t="s">
        <v>1252</v>
      </c>
      <c r="G156" s="126"/>
      <c r="H156" s="127">
        <v>0.33333333333333298</v>
      </c>
      <c r="I156" s="109">
        <f t="shared" si="3"/>
        <v>1</v>
      </c>
      <c r="J156" s="134">
        <v>0.9</v>
      </c>
      <c r="K156" s="135"/>
      <c r="L156" s="136"/>
    </row>
    <row r="157" spans="1:12" ht="14.4" customHeight="1">
      <c r="A157" s="253"/>
      <c r="B157" s="244"/>
      <c r="C157" s="250"/>
      <c r="D157" s="132" t="s">
        <v>1191</v>
      </c>
      <c r="E157" s="133"/>
      <c r="F157" s="128" t="s">
        <v>1253</v>
      </c>
      <c r="G157" s="126"/>
      <c r="H157" s="127">
        <v>0.33333333333333298</v>
      </c>
      <c r="I157" s="109">
        <f t="shared" si="3"/>
        <v>1</v>
      </c>
      <c r="J157" s="134">
        <v>0.9</v>
      </c>
      <c r="K157" s="133"/>
      <c r="L157" s="136"/>
    </row>
    <row r="158" spans="1:12" ht="14.4" customHeight="1">
      <c r="A158" s="253"/>
      <c r="B158" s="244"/>
      <c r="C158" s="243" t="s">
        <v>1197</v>
      </c>
      <c r="D158" s="78" t="s">
        <v>1192</v>
      </c>
      <c r="E158" s="159"/>
      <c r="F158" s="111" t="s">
        <v>1251</v>
      </c>
      <c r="G158" s="107"/>
      <c r="H158" s="108">
        <v>0.33333333333333298</v>
      </c>
      <c r="I158" s="109">
        <f t="shared" si="3"/>
        <v>1</v>
      </c>
      <c r="J158" s="109">
        <v>0.9</v>
      </c>
      <c r="K158" s="82"/>
      <c r="L158" s="82"/>
    </row>
    <row r="159" spans="1:12" ht="14.4" customHeight="1">
      <c r="A159" s="253"/>
      <c r="B159" s="244"/>
      <c r="C159" s="244"/>
      <c r="D159" s="78" t="s">
        <v>1192</v>
      </c>
      <c r="E159" s="159"/>
      <c r="F159" s="106" t="s">
        <v>1252</v>
      </c>
      <c r="G159" s="107"/>
      <c r="H159" s="108">
        <v>0.33333333333333298</v>
      </c>
      <c r="I159" s="109">
        <f t="shared" si="3"/>
        <v>1</v>
      </c>
      <c r="J159" s="109">
        <v>0.9</v>
      </c>
      <c r="K159" s="82"/>
      <c r="L159" s="82"/>
    </row>
    <row r="160" spans="1:12" ht="14.4" customHeight="1" thickBot="1">
      <c r="A160" s="253"/>
      <c r="B160" s="245"/>
      <c r="C160" s="245"/>
      <c r="D160" s="78" t="s">
        <v>1192</v>
      </c>
      <c r="E160" s="113"/>
      <c r="F160" s="114" t="s">
        <v>1253</v>
      </c>
      <c r="G160" s="107"/>
      <c r="H160" s="123">
        <v>0.33333333333333298</v>
      </c>
      <c r="I160" s="109">
        <f t="shared" si="3"/>
        <v>1</v>
      </c>
      <c r="J160" s="109">
        <v>0.9</v>
      </c>
      <c r="K160" s="82"/>
      <c r="L160" s="82"/>
    </row>
    <row r="161" spans="1:12" ht="14.4" customHeight="1">
      <c r="A161" s="253"/>
      <c r="B161" s="251">
        <v>45886</v>
      </c>
      <c r="C161" s="243" t="s">
        <v>1198</v>
      </c>
      <c r="D161" s="78" t="s">
        <v>1194</v>
      </c>
      <c r="E161" s="159"/>
      <c r="F161" s="111" t="s">
        <v>1251</v>
      </c>
      <c r="G161" s="107"/>
      <c r="H161" s="108">
        <v>0.33333333333333298</v>
      </c>
      <c r="I161" s="109">
        <f t="shared" si="3"/>
        <v>1</v>
      </c>
      <c r="J161" s="109">
        <v>0.9</v>
      </c>
      <c r="K161" s="82"/>
      <c r="L161" s="112"/>
    </row>
    <row r="162" spans="1:12" ht="14.4" customHeight="1">
      <c r="A162" s="253"/>
      <c r="B162" s="244"/>
      <c r="C162" s="244"/>
      <c r="D162" s="78" t="s">
        <v>1194</v>
      </c>
      <c r="E162" s="159"/>
      <c r="F162" s="106" t="s">
        <v>1252</v>
      </c>
      <c r="G162" s="108">
        <v>5.5555555555555552E-2</v>
      </c>
      <c r="H162" s="108">
        <v>0.33333333333333298</v>
      </c>
      <c r="I162" s="109">
        <f t="shared" si="3"/>
        <v>0.83333333333333315</v>
      </c>
      <c r="J162" s="109">
        <v>0.9</v>
      </c>
      <c r="K162" s="82" t="s">
        <v>1307</v>
      </c>
      <c r="L162" s="82"/>
    </row>
    <row r="163" spans="1:12" ht="14.4" customHeight="1">
      <c r="A163" s="253"/>
      <c r="B163" s="244"/>
      <c r="C163" s="245"/>
      <c r="D163" s="78" t="s">
        <v>1194</v>
      </c>
      <c r="E163" s="113"/>
      <c r="F163" s="114" t="s">
        <v>1253</v>
      </c>
      <c r="G163" s="107"/>
      <c r="H163" s="108">
        <v>0.33333333333333298</v>
      </c>
      <c r="I163" s="109">
        <f t="shared" si="3"/>
        <v>1</v>
      </c>
      <c r="J163" s="109">
        <v>0.9</v>
      </c>
      <c r="K163" s="82"/>
      <c r="L163" s="82"/>
    </row>
    <row r="164" spans="1:12" ht="14.4" customHeight="1">
      <c r="A164" s="253"/>
      <c r="B164" s="244"/>
      <c r="C164" s="248" t="s">
        <v>1196</v>
      </c>
      <c r="D164" s="132" t="s">
        <v>1193</v>
      </c>
      <c r="E164" s="158"/>
      <c r="F164" s="125" t="s">
        <v>1251</v>
      </c>
      <c r="G164" s="126"/>
      <c r="H164" s="127">
        <v>0.33333333333333298</v>
      </c>
      <c r="I164" s="109">
        <f t="shared" si="3"/>
        <v>1</v>
      </c>
      <c r="J164" s="134">
        <v>0.9</v>
      </c>
      <c r="K164" s="135"/>
      <c r="L164" s="137"/>
    </row>
    <row r="165" spans="1:12" ht="14.4" customHeight="1">
      <c r="A165" s="253"/>
      <c r="B165" s="244"/>
      <c r="C165" s="249"/>
      <c r="D165" s="132" t="s">
        <v>1193</v>
      </c>
      <c r="E165" s="158"/>
      <c r="F165" s="129" t="s">
        <v>1252</v>
      </c>
      <c r="G165" s="126"/>
      <c r="H165" s="127">
        <v>0.33333333333333298</v>
      </c>
      <c r="I165" s="109">
        <f t="shared" si="3"/>
        <v>1</v>
      </c>
      <c r="J165" s="134">
        <v>0.9</v>
      </c>
      <c r="K165" s="135"/>
      <c r="L165" s="136"/>
    </row>
    <row r="166" spans="1:12" ht="14.4" customHeight="1">
      <c r="A166" s="253"/>
      <c r="B166" s="244"/>
      <c r="C166" s="250"/>
      <c r="D166" s="132" t="s">
        <v>1193</v>
      </c>
      <c r="E166" s="133"/>
      <c r="F166" s="128" t="s">
        <v>1253</v>
      </c>
      <c r="G166" s="126"/>
      <c r="H166" s="127">
        <v>0.33333333333333298</v>
      </c>
      <c r="I166" s="109">
        <f t="shared" si="3"/>
        <v>1</v>
      </c>
      <c r="J166" s="134">
        <v>0.9</v>
      </c>
      <c r="K166" s="133"/>
      <c r="L166" s="136"/>
    </row>
    <row r="167" spans="1:12" ht="14.4" customHeight="1">
      <c r="A167" s="253"/>
      <c r="B167" s="244"/>
      <c r="C167" s="243" t="s">
        <v>1197</v>
      </c>
      <c r="D167" s="78" t="s">
        <v>1191</v>
      </c>
      <c r="E167" s="159"/>
      <c r="F167" s="111" t="s">
        <v>1251</v>
      </c>
      <c r="G167" s="107"/>
      <c r="H167" s="108">
        <v>0.33333333333333298</v>
      </c>
      <c r="I167" s="109">
        <f t="shared" si="3"/>
        <v>1</v>
      </c>
      <c r="J167" s="109">
        <v>0.9</v>
      </c>
      <c r="K167" s="82"/>
      <c r="L167" s="82"/>
    </row>
    <row r="168" spans="1:12" ht="14.4" customHeight="1">
      <c r="A168" s="253"/>
      <c r="B168" s="244"/>
      <c r="C168" s="244"/>
      <c r="D168" s="78" t="s">
        <v>1191</v>
      </c>
      <c r="E168" s="159"/>
      <c r="F168" s="106" t="s">
        <v>1252</v>
      </c>
      <c r="G168" s="107"/>
      <c r="H168" s="108">
        <v>0.33333333333333298</v>
      </c>
      <c r="I168" s="109">
        <f t="shared" si="3"/>
        <v>1</v>
      </c>
      <c r="J168" s="109">
        <v>0.9</v>
      </c>
      <c r="K168" s="82"/>
      <c r="L168" s="82"/>
    </row>
    <row r="169" spans="1:12" ht="14.4" customHeight="1">
      <c r="A169" s="253"/>
      <c r="B169" s="245"/>
      <c r="C169" s="245"/>
      <c r="D169" s="78" t="s">
        <v>1191</v>
      </c>
      <c r="E169" s="113"/>
      <c r="F169" s="114" t="s">
        <v>1253</v>
      </c>
      <c r="G169" s="123">
        <v>4.1666666666666664E-2</v>
      </c>
      <c r="H169" s="123">
        <v>0.33333333333333331</v>
      </c>
      <c r="I169" s="109">
        <f t="shared" si="3"/>
        <v>0.875</v>
      </c>
      <c r="J169" s="109">
        <v>0.9</v>
      </c>
      <c r="K169" s="82" t="s">
        <v>1519</v>
      </c>
      <c r="L169" s="82"/>
    </row>
    <row r="170" spans="1:12" ht="14.4" customHeight="1">
      <c r="A170" s="253"/>
      <c r="B170" s="117"/>
      <c r="C170" s="117"/>
      <c r="D170" s="118"/>
      <c r="E170" s="118"/>
      <c r="F170" s="119" t="s">
        <v>1251</v>
      </c>
      <c r="G170" s="124"/>
      <c r="H170" s="124"/>
      <c r="I170" s="120">
        <f>AVERAGEIF(F107:F169,F170,I107:I169)</f>
        <v>0.98809523809523814</v>
      </c>
      <c r="J170" s="121">
        <v>0.9</v>
      </c>
      <c r="K170" s="118"/>
      <c r="L170" s="116"/>
    </row>
    <row r="171" spans="1:12" ht="14.4" customHeight="1">
      <c r="A171" s="253"/>
      <c r="B171" s="117"/>
      <c r="C171" s="117"/>
      <c r="D171" s="118"/>
      <c r="E171" s="118"/>
      <c r="F171" s="119" t="s">
        <v>1252</v>
      </c>
      <c r="G171" s="124"/>
      <c r="H171" s="124"/>
      <c r="I171" s="120">
        <f>AVERAGEIF(F107:F169,F171,I107:I169)</f>
        <v>0.96527777777777768</v>
      </c>
      <c r="J171" s="121">
        <v>0.9</v>
      </c>
      <c r="K171" s="118"/>
      <c r="L171" s="116"/>
    </row>
    <row r="172" spans="1:12" ht="14.4" customHeight="1" thickBot="1">
      <c r="A172" s="253"/>
      <c r="B172" s="117"/>
      <c r="C172" s="117"/>
      <c r="D172" s="118"/>
      <c r="E172" s="118"/>
      <c r="F172" s="119" t="s">
        <v>1253</v>
      </c>
      <c r="G172" s="124"/>
      <c r="H172" s="124"/>
      <c r="I172" s="120">
        <f>AVERAGEIF(F107:F169,F172,I107:I169)</f>
        <v>0.96924603174603163</v>
      </c>
      <c r="J172" s="121">
        <v>0.9</v>
      </c>
      <c r="K172" s="118"/>
      <c r="L172" s="116"/>
    </row>
    <row r="173" spans="1:12">
      <c r="A173" s="252"/>
      <c r="B173" s="251">
        <v>45887</v>
      </c>
      <c r="C173" s="243" t="s">
        <v>1198</v>
      </c>
      <c r="D173" s="110" t="s">
        <v>1201</v>
      </c>
      <c r="E173" s="156"/>
      <c r="F173" s="111" t="s">
        <v>1251</v>
      </c>
      <c r="G173" s="107"/>
      <c r="H173" s="108">
        <v>0.33333333333333331</v>
      </c>
      <c r="I173" s="109">
        <f>1-(G173/H173)</f>
        <v>1</v>
      </c>
      <c r="J173" s="109">
        <v>0.9</v>
      </c>
      <c r="K173" s="82"/>
      <c r="L173" s="82"/>
    </row>
    <row r="174" spans="1:12">
      <c r="A174" s="253"/>
      <c r="B174" s="244"/>
      <c r="C174" s="244"/>
      <c r="D174" s="110" t="s">
        <v>1201</v>
      </c>
      <c r="E174" s="156"/>
      <c r="F174" s="111" t="s">
        <v>1252</v>
      </c>
      <c r="G174" s="107"/>
      <c r="H174" s="108">
        <v>0.33333333333333331</v>
      </c>
      <c r="I174" s="109">
        <f>1-(G174/H174)</f>
        <v>1</v>
      </c>
      <c r="J174" s="109">
        <v>0.9</v>
      </c>
      <c r="K174" s="82"/>
      <c r="L174" s="82"/>
    </row>
    <row r="175" spans="1:12">
      <c r="A175" s="253"/>
      <c r="B175" s="244"/>
      <c r="C175" s="245"/>
      <c r="D175" s="110" t="s">
        <v>1201</v>
      </c>
      <c r="E175" s="157"/>
      <c r="F175" s="114" t="s">
        <v>1253</v>
      </c>
      <c r="G175" s="107"/>
      <c r="H175" s="108">
        <v>0.33333333333333298</v>
      </c>
      <c r="I175" s="109">
        <f t="shared" ref="I175:I235" si="4">1-(G175/H175)</f>
        <v>1</v>
      </c>
      <c r="J175" s="109">
        <v>0.9</v>
      </c>
      <c r="K175" s="82"/>
      <c r="L175" s="82"/>
    </row>
    <row r="176" spans="1:12">
      <c r="A176" s="253"/>
      <c r="B176" s="244"/>
      <c r="C176" s="248" t="s">
        <v>1196</v>
      </c>
      <c r="D176" s="132" t="s">
        <v>1193</v>
      </c>
      <c r="E176" s="158"/>
      <c r="F176" s="125" t="s">
        <v>1251</v>
      </c>
      <c r="G176" s="126"/>
      <c r="H176" s="127">
        <v>0.33333333333333331</v>
      </c>
      <c r="I176" s="109">
        <f t="shared" si="4"/>
        <v>1</v>
      </c>
      <c r="J176" s="134">
        <v>0.9</v>
      </c>
      <c r="K176" s="135"/>
      <c r="L176" s="136"/>
    </row>
    <row r="177" spans="1:12">
      <c r="A177" s="253"/>
      <c r="B177" s="244"/>
      <c r="C177" s="249"/>
      <c r="D177" s="132" t="s">
        <v>1193</v>
      </c>
      <c r="E177" s="158"/>
      <c r="F177" s="125" t="s">
        <v>1252</v>
      </c>
      <c r="G177" s="126"/>
      <c r="H177" s="127">
        <v>0.33333333333333298</v>
      </c>
      <c r="I177" s="109">
        <f t="shared" si="4"/>
        <v>1</v>
      </c>
      <c r="J177" s="134">
        <v>0.9</v>
      </c>
      <c r="K177" s="135"/>
      <c r="L177" s="136"/>
    </row>
    <row r="178" spans="1:12">
      <c r="A178" s="253"/>
      <c r="B178" s="244"/>
      <c r="C178" s="250"/>
      <c r="D178" s="132" t="s">
        <v>1193</v>
      </c>
      <c r="E178" s="133"/>
      <c r="F178" s="128" t="s">
        <v>1253</v>
      </c>
      <c r="G178" s="126"/>
      <c r="H178" s="127">
        <v>0.33333333333333298</v>
      </c>
      <c r="I178" s="109">
        <f t="shared" si="4"/>
        <v>1</v>
      </c>
      <c r="J178" s="134">
        <v>0.9</v>
      </c>
      <c r="K178" s="133"/>
      <c r="L178" s="136"/>
    </row>
    <row r="179" spans="1:12">
      <c r="A179" s="253"/>
      <c r="B179" s="244"/>
      <c r="C179" s="243" t="s">
        <v>1197</v>
      </c>
      <c r="D179" s="78" t="s">
        <v>1191</v>
      </c>
      <c r="E179" s="159"/>
      <c r="F179" s="111" t="s">
        <v>1251</v>
      </c>
      <c r="G179" s="107"/>
      <c r="H179" s="108">
        <v>0.33333333333333298</v>
      </c>
      <c r="I179" s="109">
        <f t="shared" si="4"/>
        <v>1</v>
      </c>
      <c r="J179" s="109">
        <v>0.9</v>
      </c>
      <c r="K179" s="82"/>
      <c r="L179" s="112"/>
    </row>
    <row r="180" spans="1:12">
      <c r="A180" s="253"/>
      <c r="B180" s="244"/>
      <c r="C180" s="244"/>
      <c r="D180" s="78" t="s">
        <v>1191</v>
      </c>
      <c r="E180" s="159"/>
      <c r="F180" s="111" t="s">
        <v>1252</v>
      </c>
      <c r="G180" s="107"/>
      <c r="H180" s="108">
        <v>0.33333333333333298</v>
      </c>
      <c r="I180" s="109">
        <f t="shared" si="4"/>
        <v>1</v>
      </c>
      <c r="J180" s="109">
        <v>0.9</v>
      </c>
      <c r="K180" s="82"/>
      <c r="L180" s="82"/>
    </row>
    <row r="181" spans="1:12" ht="15" thickBot="1">
      <c r="A181" s="253"/>
      <c r="B181" s="245"/>
      <c r="C181" s="245"/>
      <c r="D181" s="78" t="s">
        <v>1191</v>
      </c>
      <c r="E181" s="113"/>
      <c r="F181" s="114" t="s">
        <v>1253</v>
      </c>
      <c r="G181" s="107"/>
      <c r="H181" s="108">
        <v>0.33333333333333298</v>
      </c>
      <c r="I181" s="109">
        <f t="shared" si="4"/>
        <v>1</v>
      </c>
      <c r="J181" s="109">
        <v>0.9</v>
      </c>
      <c r="K181" s="82"/>
      <c r="L181" s="82"/>
    </row>
    <row r="182" spans="1:12">
      <c r="A182" s="253"/>
      <c r="B182" s="251">
        <v>45888</v>
      </c>
      <c r="C182" s="248" t="s">
        <v>1198</v>
      </c>
      <c r="D182" s="132" t="s">
        <v>1192</v>
      </c>
      <c r="E182" s="158"/>
      <c r="F182" s="125" t="s">
        <v>1251</v>
      </c>
      <c r="G182" s="126"/>
      <c r="H182" s="127">
        <v>0.33333333333333298</v>
      </c>
      <c r="I182" s="109">
        <f t="shared" si="4"/>
        <v>1</v>
      </c>
      <c r="J182" s="134">
        <v>0.9</v>
      </c>
      <c r="K182" s="135"/>
      <c r="L182" s="137"/>
    </row>
    <row r="183" spans="1:12">
      <c r="A183" s="253"/>
      <c r="B183" s="244"/>
      <c r="C183" s="249"/>
      <c r="D183" s="132" t="s">
        <v>1192</v>
      </c>
      <c r="E183" s="158"/>
      <c r="F183" s="125" t="s">
        <v>1252</v>
      </c>
      <c r="G183" s="126"/>
      <c r="H183" s="127">
        <v>0.33333333333333298</v>
      </c>
      <c r="I183" s="109">
        <f t="shared" si="4"/>
        <v>1</v>
      </c>
      <c r="J183" s="134">
        <v>0.9</v>
      </c>
      <c r="K183" s="135"/>
      <c r="L183" s="136"/>
    </row>
    <row r="184" spans="1:12">
      <c r="A184" s="253"/>
      <c r="B184" s="244"/>
      <c r="C184" s="250"/>
      <c r="D184" s="132" t="s">
        <v>1192</v>
      </c>
      <c r="E184" s="133"/>
      <c r="F184" s="128" t="s">
        <v>1253</v>
      </c>
      <c r="G184" s="126"/>
      <c r="H184" s="127">
        <v>0.33333333333333298</v>
      </c>
      <c r="I184" s="109">
        <f t="shared" si="4"/>
        <v>1</v>
      </c>
      <c r="J184" s="134">
        <v>0.9</v>
      </c>
      <c r="K184" s="133"/>
      <c r="L184" s="136"/>
    </row>
    <row r="185" spans="1:12">
      <c r="A185" s="253"/>
      <c r="B185" s="244"/>
      <c r="C185" s="243" t="s">
        <v>1196</v>
      </c>
      <c r="D185" s="78" t="s">
        <v>1194</v>
      </c>
      <c r="E185" s="159"/>
      <c r="F185" s="111" t="s">
        <v>1251</v>
      </c>
      <c r="G185" s="107"/>
      <c r="H185" s="108">
        <v>0.33333333333333298</v>
      </c>
      <c r="I185" s="109">
        <f t="shared" si="4"/>
        <v>1</v>
      </c>
      <c r="J185" s="109">
        <v>0.9</v>
      </c>
      <c r="K185" s="82"/>
      <c r="L185" s="112"/>
    </row>
    <row r="186" spans="1:12">
      <c r="A186" s="253"/>
      <c r="B186" s="244"/>
      <c r="C186" s="244"/>
      <c r="D186" s="78" t="s">
        <v>1194</v>
      </c>
      <c r="E186" s="159"/>
      <c r="F186" s="111" t="s">
        <v>1252</v>
      </c>
      <c r="G186" s="107"/>
      <c r="H186" s="108">
        <v>0.33333333333333298</v>
      </c>
      <c r="I186" s="109">
        <f t="shared" si="4"/>
        <v>1</v>
      </c>
      <c r="J186" s="109">
        <v>0.9</v>
      </c>
      <c r="K186" s="82"/>
      <c r="L186" s="82"/>
    </row>
    <row r="187" spans="1:12">
      <c r="A187" s="253"/>
      <c r="B187" s="244"/>
      <c r="C187" s="245"/>
      <c r="D187" s="78" t="s">
        <v>1194</v>
      </c>
      <c r="E187" s="113"/>
      <c r="F187" s="114" t="s">
        <v>1253</v>
      </c>
      <c r="G187" s="107"/>
      <c r="H187" s="108">
        <v>0.33333333333333298</v>
      </c>
      <c r="I187" s="109">
        <f t="shared" si="4"/>
        <v>1</v>
      </c>
      <c r="J187" s="109">
        <v>0.9</v>
      </c>
      <c r="K187" s="82"/>
      <c r="L187" s="82"/>
    </row>
    <row r="188" spans="1:12">
      <c r="A188" s="253"/>
      <c r="B188" s="244"/>
      <c r="C188" s="248" t="s">
        <v>1197</v>
      </c>
      <c r="D188" s="132"/>
      <c r="E188" s="158"/>
      <c r="F188" s="125" t="s">
        <v>1251</v>
      </c>
      <c r="G188" s="126"/>
      <c r="H188" s="127">
        <v>0.33333333333333298</v>
      </c>
      <c r="I188" s="109">
        <f t="shared" si="4"/>
        <v>1</v>
      </c>
      <c r="J188" s="134">
        <v>0.9</v>
      </c>
      <c r="K188" s="135"/>
      <c r="L188" s="137"/>
    </row>
    <row r="189" spans="1:12">
      <c r="A189" s="253"/>
      <c r="B189" s="244"/>
      <c r="C189" s="249"/>
      <c r="D189" s="132"/>
      <c r="E189" s="158"/>
      <c r="F189" s="129" t="s">
        <v>1252</v>
      </c>
      <c r="G189" s="126"/>
      <c r="H189" s="127">
        <v>0.33333333333333298</v>
      </c>
      <c r="I189" s="109">
        <f t="shared" si="4"/>
        <v>1</v>
      </c>
      <c r="J189" s="134">
        <v>0.9</v>
      </c>
      <c r="K189" s="135"/>
      <c r="L189" s="136"/>
    </row>
    <row r="190" spans="1:12" ht="15" thickBot="1">
      <c r="A190" s="253"/>
      <c r="B190" s="245"/>
      <c r="C190" s="250"/>
      <c r="D190" s="132"/>
      <c r="E190" s="133"/>
      <c r="F190" s="128" t="s">
        <v>1253</v>
      </c>
      <c r="G190" s="126"/>
      <c r="H190" s="131">
        <v>0.33333333333333298</v>
      </c>
      <c r="I190" s="115">
        <f t="shared" si="4"/>
        <v>1</v>
      </c>
      <c r="J190" s="134">
        <v>0.9</v>
      </c>
      <c r="K190" s="133"/>
      <c r="L190" s="136"/>
    </row>
    <row r="191" spans="1:12">
      <c r="A191" s="253"/>
      <c r="B191" s="251">
        <v>45889</v>
      </c>
      <c r="C191" s="243" t="s">
        <v>1198</v>
      </c>
      <c r="D191" s="78" t="s">
        <v>1192</v>
      </c>
      <c r="E191" s="159"/>
      <c r="F191" s="111" t="s">
        <v>1251</v>
      </c>
      <c r="G191" s="107"/>
      <c r="H191" s="108">
        <v>0.33333333333333298</v>
      </c>
      <c r="I191" s="109">
        <f t="shared" si="4"/>
        <v>1</v>
      </c>
      <c r="J191" s="109">
        <v>0.9</v>
      </c>
      <c r="K191" s="82"/>
      <c r="L191" s="112"/>
    </row>
    <row r="192" spans="1:12">
      <c r="A192" s="253"/>
      <c r="B192" s="244"/>
      <c r="C192" s="244"/>
      <c r="D192" s="78" t="s">
        <v>1192</v>
      </c>
      <c r="E192" s="159"/>
      <c r="F192" s="106" t="s">
        <v>1252</v>
      </c>
      <c r="G192" s="107"/>
      <c r="H192" s="108">
        <v>0.33333333333333298</v>
      </c>
      <c r="I192" s="109">
        <f t="shared" si="4"/>
        <v>1</v>
      </c>
      <c r="J192" s="109">
        <v>0.9</v>
      </c>
      <c r="K192" s="82"/>
      <c r="L192" s="82"/>
    </row>
    <row r="193" spans="1:12">
      <c r="A193" s="253"/>
      <c r="B193" s="244"/>
      <c r="C193" s="245"/>
      <c r="D193" s="78" t="s">
        <v>1192</v>
      </c>
      <c r="E193" s="113"/>
      <c r="F193" s="114" t="s">
        <v>1253</v>
      </c>
      <c r="G193" s="107"/>
      <c r="H193" s="108">
        <v>0.33333333333333298</v>
      </c>
      <c r="I193" s="109">
        <f t="shared" si="4"/>
        <v>1</v>
      </c>
      <c r="J193" s="109">
        <v>0.9</v>
      </c>
      <c r="K193" s="82"/>
      <c r="L193" s="82"/>
    </row>
    <row r="194" spans="1:12">
      <c r="A194" s="253"/>
      <c r="B194" s="244"/>
      <c r="C194" s="248" t="s">
        <v>1196</v>
      </c>
      <c r="D194" s="132" t="s">
        <v>1194</v>
      </c>
      <c r="E194" s="158"/>
      <c r="F194" s="125" t="s">
        <v>1251</v>
      </c>
      <c r="G194" s="126"/>
      <c r="H194" s="127">
        <v>0.33333333333333298</v>
      </c>
      <c r="I194" s="109">
        <f t="shared" si="4"/>
        <v>1</v>
      </c>
      <c r="J194" s="134">
        <v>0.9</v>
      </c>
      <c r="K194" s="135"/>
      <c r="L194" s="137"/>
    </row>
    <row r="195" spans="1:12">
      <c r="A195" s="253"/>
      <c r="B195" s="244"/>
      <c r="C195" s="249"/>
      <c r="D195" s="132" t="s">
        <v>1194</v>
      </c>
      <c r="E195" s="158"/>
      <c r="F195" s="129" t="s">
        <v>1252</v>
      </c>
      <c r="G195" s="126"/>
      <c r="H195" s="127">
        <v>0.33333333333333298</v>
      </c>
      <c r="I195" s="109">
        <f t="shared" si="4"/>
        <v>1</v>
      </c>
      <c r="J195" s="134">
        <v>0.9</v>
      </c>
      <c r="K195" s="135"/>
      <c r="L195" s="136"/>
    </row>
    <row r="196" spans="1:12">
      <c r="A196" s="253"/>
      <c r="B196" s="244"/>
      <c r="C196" s="250"/>
      <c r="D196" s="132" t="s">
        <v>1194</v>
      </c>
      <c r="E196" s="133"/>
      <c r="F196" s="128" t="s">
        <v>1253</v>
      </c>
      <c r="G196" s="126"/>
      <c r="H196" s="127">
        <v>0.33333333333333298</v>
      </c>
      <c r="I196" s="109">
        <f t="shared" si="4"/>
        <v>1</v>
      </c>
      <c r="J196" s="134">
        <v>0.9</v>
      </c>
      <c r="K196" s="133"/>
      <c r="L196" s="136"/>
    </row>
    <row r="197" spans="1:12">
      <c r="A197" s="253"/>
      <c r="B197" s="244"/>
      <c r="C197" s="243" t="s">
        <v>1197</v>
      </c>
      <c r="D197" s="78" t="s">
        <v>1193</v>
      </c>
      <c r="E197" s="159"/>
      <c r="F197" s="111" t="s">
        <v>1251</v>
      </c>
      <c r="G197" s="107"/>
      <c r="H197" s="108">
        <v>0.33333333333333298</v>
      </c>
      <c r="I197" s="109">
        <f t="shared" si="4"/>
        <v>1</v>
      </c>
      <c r="J197" s="109">
        <v>0.9</v>
      </c>
      <c r="K197" s="82"/>
      <c r="L197" s="112"/>
    </row>
    <row r="198" spans="1:12">
      <c r="A198" s="253"/>
      <c r="B198" s="244"/>
      <c r="C198" s="244"/>
      <c r="D198" s="78" t="s">
        <v>1193</v>
      </c>
      <c r="E198" s="159"/>
      <c r="F198" s="106" t="s">
        <v>1252</v>
      </c>
      <c r="G198" s="107"/>
      <c r="H198" s="108">
        <v>0.33333333333333298</v>
      </c>
      <c r="I198" s="109">
        <f t="shared" si="4"/>
        <v>1</v>
      </c>
      <c r="J198" s="109">
        <v>0.9</v>
      </c>
      <c r="K198" s="82"/>
      <c r="L198" s="82"/>
    </row>
    <row r="199" spans="1:12" ht="15" thickBot="1">
      <c r="A199" s="253"/>
      <c r="B199" s="245"/>
      <c r="C199" s="245"/>
      <c r="D199" s="78" t="s">
        <v>1193</v>
      </c>
      <c r="E199" s="113"/>
      <c r="F199" s="114" t="s">
        <v>1253</v>
      </c>
      <c r="G199" s="107"/>
      <c r="H199" s="108">
        <v>0.33333333333333298</v>
      </c>
      <c r="I199" s="109">
        <f t="shared" si="4"/>
        <v>1</v>
      </c>
      <c r="J199" s="109">
        <v>0.9</v>
      </c>
      <c r="K199" s="82"/>
      <c r="L199" s="82"/>
    </row>
    <row r="200" spans="1:12">
      <c r="A200" s="253"/>
      <c r="B200" s="251">
        <v>45890</v>
      </c>
      <c r="C200" s="248" t="s">
        <v>1198</v>
      </c>
      <c r="D200" s="132" t="s">
        <v>1191</v>
      </c>
      <c r="E200" s="158"/>
      <c r="F200" s="125" t="s">
        <v>1251</v>
      </c>
      <c r="G200" s="127">
        <v>0.16666666666666666</v>
      </c>
      <c r="H200" s="127">
        <v>0.33333333333333331</v>
      </c>
      <c r="I200" s="109">
        <f t="shared" si="4"/>
        <v>0.5</v>
      </c>
      <c r="J200" s="134">
        <v>0.9</v>
      </c>
      <c r="K200" s="135" t="s">
        <v>1520</v>
      </c>
      <c r="L200" s="137"/>
    </row>
    <row r="201" spans="1:12">
      <c r="A201" s="253"/>
      <c r="B201" s="244"/>
      <c r="C201" s="249"/>
      <c r="D201" s="132" t="s">
        <v>1191</v>
      </c>
      <c r="E201" s="158"/>
      <c r="F201" s="129" t="s">
        <v>1252</v>
      </c>
      <c r="G201" s="127">
        <v>0.16666666666666666</v>
      </c>
      <c r="H201" s="127">
        <v>0.33333333333333331</v>
      </c>
      <c r="I201" s="109">
        <f t="shared" si="4"/>
        <v>0.5</v>
      </c>
      <c r="J201" s="134">
        <v>0.9</v>
      </c>
      <c r="K201" s="135" t="s">
        <v>1520</v>
      </c>
      <c r="L201" s="136"/>
    </row>
    <row r="202" spans="1:12">
      <c r="A202" s="253"/>
      <c r="B202" s="244"/>
      <c r="C202" s="250"/>
      <c r="D202" s="132" t="s">
        <v>1191</v>
      </c>
      <c r="E202" s="133"/>
      <c r="F202" s="128" t="s">
        <v>1253</v>
      </c>
      <c r="G202" s="127">
        <v>0.16666666666666666</v>
      </c>
      <c r="H202" s="127">
        <v>0.33333333333333298</v>
      </c>
      <c r="I202" s="109">
        <f t="shared" si="4"/>
        <v>0.49999999999999944</v>
      </c>
      <c r="J202" s="134">
        <v>0.9</v>
      </c>
      <c r="K202" s="135" t="s">
        <v>1520</v>
      </c>
      <c r="L202" s="136"/>
    </row>
    <row r="203" spans="1:12">
      <c r="A203" s="253"/>
      <c r="B203" s="244"/>
      <c r="C203" s="243" t="s">
        <v>1196</v>
      </c>
      <c r="D203" s="78" t="s">
        <v>1192</v>
      </c>
      <c r="E203" s="159"/>
      <c r="F203" s="111" t="s">
        <v>1251</v>
      </c>
      <c r="G203" s="107">
        <v>8.3333333333333329E-2</v>
      </c>
      <c r="H203" s="108">
        <v>0.33333333333333298</v>
      </c>
      <c r="I203" s="109">
        <f t="shared" si="4"/>
        <v>0.74999999999999978</v>
      </c>
      <c r="J203" s="109">
        <v>0.9</v>
      </c>
      <c r="K203" s="82" t="s">
        <v>1520</v>
      </c>
      <c r="L203" s="112"/>
    </row>
    <row r="204" spans="1:12">
      <c r="A204" s="253"/>
      <c r="B204" s="244"/>
      <c r="C204" s="244"/>
      <c r="D204" s="78" t="s">
        <v>1192</v>
      </c>
      <c r="E204" s="159"/>
      <c r="F204" s="106" t="s">
        <v>1252</v>
      </c>
      <c r="G204" s="107">
        <v>8.3333333333333329E-2</v>
      </c>
      <c r="H204" s="108">
        <v>0.33333333333333298</v>
      </c>
      <c r="I204" s="109">
        <f t="shared" si="4"/>
        <v>0.74999999999999978</v>
      </c>
      <c r="J204" s="109">
        <v>0.9</v>
      </c>
      <c r="K204" s="82" t="s">
        <v>1520</v>
      </c>
      <c r="L204" s="82"/>
    </row>
    <row r="205" spans="1:12">
      <c r="A205" s="253"/>
      <c r="B205" s="244"/>
      <c r="C205" s="245"/>
      <c r="D205" s="78" t="s">
        <v>1192</v>
      </c>
      <c r="E205" s="113"/>
      <c r="F205" s="114" t="s">
        <v>1253</v>
      </c>
      <c r="G205" s="107">
        <v>8.3333333333333329E-2</v>
      </c>
      <c r="H205" s="108">
        <v>0.33333333333333298</v>
      </c>
      <c r="I205" s="109">
        <f t="shared" si="4"/>
        <v>0.74999999999999978</v>
      </c>
      <c r="J205" s="109">
        <v>0.9</v>
      </c>
      <c r="K205" s="82" t="s">
        <v>1520</v>
      </c>
      <c r="L205" s="82"/>
    </row>
    <row r="206" spans="1:12">
      <c r="A206" s="253"/>
      <c r="B206" s="244"/>
      <c r="C206" s="248" t="s">
        <v>1197</v>
      </c>
      <c r="D206" s="132" t="s">
        <v>1194</v>
      </c>
      <c r="E206" s="158"/>
      <c r="F206" s="125" t="s">
        <v>1251</v>
      </c>
      <c r="G206" s="126"/>
      <c r="H206" s="127">
        <v>0.33333333333333298</v>
      </c>
      <c r="I206" s="109">
        <f t="shared" si="4"/>
        <v>1</v>
      </c>
      <c r="J206" s="134">
        <v>0.9</v>
      </c>
      <c r="K206" s="133"/>
      <c r="L206" s="137"/>
    </row>
    <row r="207" spans="1:12">
      <c r="A207" s="253"/>
      <c r="B207" s="244"/>
      <c r="C207" s="249"/>
      <c r="D207" s="132" t="s">
        <v>1194</v>
      </c>
      <c r="E207" s="158"/>
      <c r="F207" s="129" t="s">
        <v>1252</v>
      </c>
      <c r="G207" s="126"/>
      <c r="H207" s="127">
        <v>0.33333333333333298</v>
      </c>
      <c r="I207" s="109">
        <f t="shared" si="4"/>
        <v>1</v>
      </c>
      <c r="J207" s="134">
        <v>0.9</v>
      </c>
      <c r="K207" s="135"/>
      <c r="L207" s="136"/>
    </row>
    <row r="208" spans="1:12" ht="15" thickBot="1">
      <c r="A208" s="253"/>
      <c r="B208" s="245"/>
      <c r="C208" s="250"/>
      <c r="D208" s="132" t="s">
        <v>1194</v>
      </c>
      <c r="E208" s="133"/>
      <c r="F208" s="128" t="s">
        <v>1253</v>
      </c>
      <c r="G208" s="126"/>
      <c r="H208" s="127">
        <v>0.33333333333333298</v>
      </c>
      <c r="I208" s="109">
        <f t="shared" si="4"/>
        <v>1</v>
      </c>
      <c r="J208" s="134">
        <v>0.9</v>
      </c>
      <c r="K208" s="133"/>
      <c r="L208" s="136"/>
    </row>
    <row r="209" spans="1:12">
      <c r="A209" s="253"/>
      <c r="B209" s="251">
        <v>45891</v>
      </c>
      <c r="C209" s="248" t="s">
        <v>1198</v>
      </c>
      <c r="D209" s="132" t="s">
        <v>1191</v>
      </c>
      <c r="E209" s="158"/>
      <c r="F209" s="125" t="s">
        <v>1251</v>
      </c>
      <c r="G209" s="126"/>
      <c r="H209" s="127">
        <v>0.33333333333333298</v>
      </c>
      <c r="I209" s="109">
        <f t="shared" si="4"/>
        <v>1</v>
      </c>
      <c r="J209" s="134">
        <v>0.9</v>
      </c>
      <c r="K209" s="135"/>
      <c r="L209" s="137"/>
    </row>
    <row r="210" spans="1:12">
      <c r="A210" s="253"/>
      <c r="B210" s="244"/>
      <c r="C210" s="249"/>
      <c r="D210" s="132" t="s">
        <v>1191</v>
      </c>
      <c r="E210" s="158"/>
      <c r="F210" s="129" t="s">
        <v>1252</v>
      </c>
      <c r="G210" s="126"/>
      <c r="H210" s="127">
        <v>0.33333333333333298</v>
      </c>
      <c r="I210" s="109">
        <f t="shared" si="4"/>
        <v>1</v>
      </c>
      <c r="J210" s="134">
        <v>0.9</v>
      </c>
      <c r="K210" s="135"/>
      <c r="L210" s="136"/>
    </row>
    <row r="211" spans="1:12">
      <c r="A211" s="253"/>
      <c r="B211" s="244"/>
      <c r="C211" s="250"/>
      <c r="D211" s="132" t="s">
        <v>1191</v>
      </c>
      <c r="E211" s="133"/>
      <c r="F211" s="128" t="s">
        <v>1253</v>
      </c>
      <c r="G211" s="126"/>
      <c r="H211" s="127">
        <v>0.33333333333333331</v>
      </c>
      <c r="I211" s="109">
        <f t="shared" si="4"/>
        <v>1</v>
      </c>
      <c r="J211" s="134">
        <v>0.9</v>
      </c>
      <c r="K211" s="133"/>
      <c r="L211" s="136"/>
    </row>
    <row r="212" spans="1:12">
      <c r="A212" s="253"/>
      <c r="B212" s="244"/>
      <c r="C212" s="243" t="s">
        <v>1196</v>
      </c>
      <c r="D212" s="78" t="s">
        <v>1192</v>
      </c>
      <c r="E212" s="159"/>
      <c r="F212" s="111" t="s">
        <v>1251</v>
      </c>
      <c r="G212" s="107"/>
      <c r="H212" s="108">
        <v>0.33333333333333298</v>
      </c>
      <c r="I212" s="109">
        <f t="shared" si="4"/>
        <v>1</v>
      </c>
      <c r="J212" s="109">
        <v>0.9</v>
      </c>
      <c r="K212" s="82"/>
      <c r="L212" s="112"/>
    </row>
    <row r="213" spans="1:12">
      <c r="A213" s="253"/>
      <c r="B213" s="244"/>
      <c r="C213" s="244"/>
      <c r="D213" s="78" t="s">
        <v>1192</v>
      </c>
      <c r="E213" s="159"/>
      <c r="F213" s="106" t="s">
        <v>1252</v>
      </c>
      <c r="G213" s="107"/>
      <c r="H213" s="108">
        <v>0.33333333333333298</v>
      </c>
      <c r="I213" s="109">
        <f t="shared" si="4"/>
        <v>1</v>
      </c>
      <c r="J213" s="109">
        <v>0.9</v>
      </c>
      <c r="K213" s="82"/>
      <c r="L213" s="82"/>
    </row>
    <row r="214" spans="1:12">
      <c r="A214" s="253"/>
      <c r="B214" s="244"/>
      <c r="C214" s="245"/>
      <c r="D214" s="78" t="s">
        <v>1192</v>
      </c>
      <c r="E214" s="113"/>
      <c r="F214" s="114" t="s">
        <v>1253</v>
      </c>
      <c r="G214" s="108">
        <v>3.4722222222222224E-2</v>
      </c>
      <c r="H214" s="108">
        <v>0.33333333333333298</v>
      </c>
      <c r="I214" s="109">
        <f t="shared" si="4"/>
        <v>0.89583333333333326</v>
      </c>
      <c r="J214" s="109">
        <v>0.9</v>
      </c>
      <c r="K214" s="82" t="s">
        <v>1307</v>
      </c>
      <c r="L214" s="82"/>
    </row>
    <row r="215" spans="1:12">
      <c r="A215" s="253"/>
      <c r="B215" s="244"/>
      <c r="C215" s="248" t="s">
        <v>1197</v>
      </c>
      <c r="D215" s="132" t="s">
        <v>1194</v>
      </c>
      <c r="E215" s="158"/>
      <c r="F215" s="125" t="s">
        <v>1251</v>
      </c>
      <c r="G215" s="126"/>
      <c r="H215" s="127">
        <v>0.33333333333333298</v>
      </c>
      <c r="I215" s="109">
        <f t="shared" si="4"/>
        <v>1</v>
      </c>
      <c r="J215" s="134">
        <v>0.9</v>
      </c>
      <c r="K215" s="133"/>
      <c r="L215" s="137"/>
    </row>
    <row r="216" spans="1:12">
      <c r="A216" s="253"/>
      <c r="B216" s="244"/>
      <c r="C216" s="249"/>
      <c r="D216" s="132" t="s">
        <v>1194</v>
      </c>
      <c r="E216" s="158"/>
      <c r="F216" s="129" t="s">
        <v>1252</v>
      </c>
      <c r="G216" s="126"/>
      <c r="H216" s="127">
        <v>0.33333333333333298</v>
      </c>
      <c r="I216" s="109">
        <f t="shared" si="4"/>
        <v>1</v>
      </c>
      <c r="J216" s="134">
        <v>0.9</v>
      </c>
      <c r="K216" s="135"/>
      <c r="L216" s="136"/>
    </row>
    <row r="217" spans="1:12" ht="15" thickBot="1">
      <c r="A217" s="253"/>
      <c r="B217" s="245"/>
      <c r="C217" s="250"/>
      <c r="D217" s="132" t="s">
        <v>1194</v>
      </c>
      <c r="E217" s="133"/>
      <c r="F217" s="128" t="s">
        <v>1253</v>
      </c>
      <c r="G217" s="126"/>
      <c r="H217" s="127">
        <v>0.33333333333333298</v>
      </c>
      <c r="I217" s="109">
        <f t="shared" si="4"/>
        <v>1</v>
      </c>
      <c r="J217" s="134">
        <v>0.9</v>
      </c>
      <c r="K217" s="133"/>
      <c r="L217" s="136"/>
    </row>
    <row r="218" spans="1:12">
      <c r="A218" s="253"/>
      <c r="B218" s="251">
        <v>45892</v>
      </c>
      <c r="C218" s="248" t="s">
        <v>1198</v>
      </c>
      <c r="D218" s="132" t="s">
        <v>1193</v>
      </c>
      <c r="E218" s="158"/>
      <c r="F218" s="125" t="s">
        <v>1251</v>
      </c>
      <c r="G218" s="126"/>
      <c r="H218" s="127">
        <v>0.33333333333333298</v>
      </c>
      <c r="I218" s="109">
        <f t="shared" si="4"/>
        <v>1</v>
      </c>
      <c r="J218" s="134">
        <v>0.9</v>
      </c>
      <c r="K218" s="135"/>
      <c r="L218" s="137"/>
    </row>
    <row r="219" spans="1:12">
      <c r="A219" s="253"/>
      <c r="B219" s="244"/>
      <c r="C219" s="249"/>
      <c r="D219" s="132" t="s">
        <v>1193</v>
      </c>
      <c r="E219" s="158"/>
      <c r="F219" s="129" t="s">
        <v>1252</v>
      </c>
      <c r="G219" s="126"/>
      <c r="H219" s="127">
        <v>0.33333333333333298</v>
      </c>
      <c r="I219" s="109">
        <f t="shared" si="4"/>
        <v>1</v>
      </c>
      <c r="J219" s="134">
        <v>0.9</v>
      </c>
      <c r="K219" s="135"/>
      <c r="L219" s="136"/>
    </row>
    <row r="220" spans="1:12">
      <c r="A220" s="253"/>
      <c r="B220" s="244"/>
      <c r="C220" s="250"/>
      <c r="D220" s="132" t="s">
        <v>1193</v>
      </c>
      <c r="E220" s="133"/>
      <c r="F220" s="128" t="s">
        <v>1253</v>
      </c>
      <c r="G220" s="126"/>
      <c r="H220" s="127">
        <v>0.33333333333333298</v>
      </c>
      <c r="I220" s="109">
        <f t="shared" si="4"/>
        <v>1</v>
      </c>
      <c r="J220" s="134">
        <v>0.9</v>
      </c>
      <c r="K220" s="135"/>
      <c r="L220" s="136"/>
    </row>
    <row r="221" spans="1:12">
      <c r="A221" s="253"/>
      <c r="B221" s="244"/>
      <c r="C221" s="243" t="s">
        <v>1196</v>
      </c>
      <c r="D221" s="78" t="s">
        <v>1191</v>
      </c>
      <c r="E221" s="159"/>
      <c r="F221" s="111" t="s">
        <v>1251</v>
      </c>
      <c r="G221" s="107"/>
      <c r="H221" s="108">
        <v>0.33333333333333298</v>
      </c>
      <c r="I221" s="109">
        <f t="shared" si="4"/>
        <v>1</v>
      </c>
      <c r="J221" s="109">
        <v>0.9</v>
      </c>
      <c r="K221" s="82"/>
      <c r="L221" s="112"/>
    </row>
    <row r="222" spans="1:12">
      <c r="A222" s="253"/>
      <c r="B222" s="244"/>
      <c r="C222" s="244"/>
      <c r="D222" s="78" t="s">
        <v>1191</v>
      </c>
      <c r="E222" s="159"/>
      <c r="F222" s="106" t="s">
        <v>1252</v>
      </c>
      <c r="G222" s="107"/>
      <c r="H222" s="108">
        <v>0.33333333333333298</v>
      </c>
      <c r="I222" s="109">
        <f t="shared" si="4"/>
        <v>1</v>
      </c>
      <c r="J222" s="109">
        <v>0.9</v>
      </c>
      <c r="K222" s="82"/>
      <c r="L222" s="82"/>
    </row>
    <row r="223" spans="1:12">
      <c r="A223" s="253"/>
      <c r="B223" s="244"/>
      <c r="C223" s="245"/>
      <c r="D223" s="78" t="s">
        <v>1191</v>
      </c>
      <c r="E223" s="113"/>
      <c r="F223" s="114" t="s">
        <v>1253</v>
      </c>
      <c r="G223" s="107"/>
      <c r="H223" s="108">
        <v>0.33333333333333298</v>
      </c>
      <c r="I223" s="109">
        <f t="shared" si="4"/>
        <v>1</v>
      </c>
      <c r="J223" s="109">
        <v>0.9</v>
      </c>
      <c r="K223" s="82"/>
      <c r="L223" s="82"/>
    </row>
    <row r="224" spans="1:12">
      <c r="A224" s="253"/>
      <c r="B224" s="244"/>
      <c r="C224" s="248" t="s">
        <v>1197</v>
      </c>
      <c r="D224" s="132" t="s">
        <v>1192</v>
      </c>
      <c r="E224" s="158"/>
      <c r="F224" s="125" t="s">
        <v>1251</v>
      </c>
      <c r="G224" s="126"/>
      <c r="H224" s="127">
        <v>0.33333333333333298</v>
      </c>
      <c r="I224" s="109">
        <f t="shared" si="4"/>
        <v>1</v>
      </c>
      <c r="J224" s="134">
        <v>0.9</v>
      </c>
      <c r="K224" s="133"/>
      <c r="L224" s="137"/>
    </row>
    <row r="225" spans="1:12">
      <c r="A225" s="253"/>
      <c r="B225" s="244"/>
      <c r="C225" s="249"/>
      <c r="D225" s="132" t="s">
        <v>1192</v>
      </c>
      <c r="E225" s="158"/>
      <c r="F225" s="129" t="s">
        <v>1252</v>
      </c>
      <c r="G225" s="126"/>
      <c r="H225" s="127">
        <v>0.33333333333333298</v>
      </c>
      <c r="I225" s="109">
        <f t="shared" si="4"/>
        <v>1</v>
      </c>
      <c r="J225" s="134">
        <v>0.9</v>
      </c>
      <c r="K225" s="135"/>
      <c r="L225" s="136"/>
    </row>
    <row r="226" spans="1:12" ht="15" thickBot="1">
      <c r="A226" s="253"/>
      <c r="B226" s="245"/>
      <c r="C226" s="250"/>
      <c r="D226" s="132" t="s">
        <v>1192</v>
      </c>
      <c r="E226" s="133"/>
      <c r="F226" s="128" t="s">
        <v>1253</v>
      </c>
      <c r="G226" s="126"/>
      <c r="H226" s="127">
        <v>0.33333333333333298</v>
      </c>
      <c r="I226" s="109">
        <f t="shared" si="4"/>
        <v>1</v>
      </c>
      <c r="J226" s="134">
        <v>0.9</v>
      </c>
      <c r="K226" s="133"/>
      <c r="L226" s="136"/>
    </row>
    <row r="227" spans="1:12">
      <c r="A227" s="253"/>
      <c r="B227" s="251">
        <v>45893</v>
      </c>
      <c r="C227" s="248" t="s">
        <v>1198</v>
      </c>
      <c r="D227" s="132" t="s">
        <v>1193</v>
      </c>
      <c r="E227" s="158"/>
      <c r="F227" s="125" t="s">
        <v>1251</v>
      </c>
      <c r="G227" s="127">
        <v>1.3888888888888888E-2</v>
      </c>
      <c r="H227" s="127">
        <v>0.33333333333333298</v>
      </c>
      <c r="I227" s="109">
        <f t="shared" si="4"/>
        <v>0.95833333333333326</v>
      </c>
      <c r="J227" s="134">
        <v>0.9</v>
      </c>
      <c r="K227" s="135" t="s">
        <v>1307</v>
      </c>
      <c r="L227" s="137"/>
    </row>
    <row r="228" spans="1:12">
      <c r="A228" s="253"/>
      <c r="B228" s="244"/>
      <c r="C228" s="249"/>
      <c r="D228" s="132" t="s">
        <v>1193</v>
      </c>
      <c r="E228" s="158"/>
      <c r="F228" s="129" t="s">
        <v>1252</v>
      </c>
      <c r="G228" s="127">
        <v>1.3888888888888888E-2</v>
      </c>
      <c r="H228" s="127">
        <v>0.33333333333333298</v>
      </c>
      <c r="I228" s="109">
        <f t="shared" si="4"/>
        <v>0.95833333333333326</v>
      </c>
      <c r="J228" s="134">
        <v>0.9</v>
      </c>
      <c r="K228" s="135" t="s">
        <v>1307</v>
      </c>
      <c r="L228" s="136"/>
    </row>
    <row r="229" spans="1:12">
      <c r="A229" s="253"/>
      <c r="B229" s="244"/>
      <c r="C229" s="250"/>
      <c r="D229" s="132" t="s">
        <v>1193</v>
      </c>
      <c r="E229" s="133"/>
      <c r="F229" s="128" t="s">
        <v>1253</v>
      </c>
      <c r="G229" s="126"/>
      <c r="H229" s="127">
        <v>0.33333333333333298</v>
      </c>
      <c r="I229" s="109">
        <f t="shared" si="4"/>
        <v>1</v>
      </c>
      <c r="J229" s="134">
        <v>0.9</v>
      </c>
      <c r="K229" s="133"/>
      <c r="L229" s="136"/>
    </row>
    <row r="230" spans="1:12">
      <c r="A230" s="253"/>
      <c r="B230" s="244"/>
      <c r="C230" s="243" t="s">
        <v>1196</v>
      </c>
      <c r="D230" s="78" t="s">
        <v>1191</v>
      </c>
      <c r="E230" s="159"/>
      <c r="F230" s="111" t="s">
        <v>1251</v>
      </c>
      <c r="G230" s="108">
        <v>3.8194444444444448E-2</v>
      </c>
      <c r="H230" s="108">
        <v>0.33333333333333298</v>
      </c>
      <c r="I230" s="109">
        <f t="shared" si="4"/>
        <v>0.88541666666666652</v>
      </c>
      <c r="J230" s="109">
        <v>0.9</v>
      </c>
      <c r="K230" s="82" t="s">
        <v>1307</v>
      </c>
      <c r="L230" s="112"/>
    </row>
    <row r="231" spans="1:12">
      <c r="A231" s="253"/>
      <c r="B231" s="244"/>
      <c r="C231" s="244"/>
      <c r="D231" s="78" t="s">
        <v>1191</v>
      </c>
      <c r="E231" s="159"/>
      <c r="F231" s="106" t="s">
        <v>1252</v>
      </c>
      <c r="H231" s="108">
        <v>0.33333333333333298</v>
      </c>
      <c r="I231" s="109">
        <f t="shared" si="4"/>
        <v>1</v>
      </c>
      <c r="J231" s="109">
        <v>0.9</v>
      </c>
      <c r="L231" s="82"/>
    </row>
    <row r="232" spans="1:12">
      <c r="A232" s="253"/>
      <c r="B232" s="244"/>
      <c r="C232" s="245"/>
      <c r="D232" s="78" t="s">
        <v>1191</v>
      </c>
      <c r="E232" s="113"/>
      <c r="F232" s="114" t="s">
        <v>1253</v>
      </c>
      <c r="G232" s="107"/>
      <c r="H232" s="108">
        <v>0.33333333333333298</v>
      </c>
      <c r="I232" s="109">
        <f t="shared" si="4"/>
        <v>1</v>
      </c>
      <c r="J232" s="109">
        <v>0.9</v>
      </c>
      <c r="K232" s="82"/>
      <c r="L232" s="82"/>
    </row>
    <row r="233" spans="1:12">
      <c r="A233" s="253"/>
      <c r="B233" s="244"/>
      <c r="C233" s="248" t="s">
        <v>1197</v>
      </c>
      <c r="D233" s="132" t="s">
        <v>1192</v>
      </c>
      <c r="E233" s="158"/>
      <c r="F233" s="125" t="s">
        <v>1251</v>
      </c>
      <c r="G233" s="126"/>
      <c r="H233" s="127">
        <v>0.33333333333333298</v>
      </c>
      <c r="I233" s="109">
        <f t="shared" si="4"/>
        <v>1</v>
      </c>
      <c r="J233" s="134">
        <v>0.9</v>
      </c>
      <c r="K233" s="133"/>
      <c r="L233" s="137"/>
    </row>
    <row r="234" spans="1:12">
      <c r="A234" s="253"/>
      <c r="B234" s="244"/>
      <c r="C234" s="249"/>
      <c r="D234" s="132" t="s">
        <v>1192</v>
      </c>
      <c r="E234" s="158"/>
      <c r="F234" s="129" t="s">
        <v>1252</v>
      </c>
      <c r="G234" s="126"/>
      <c r="H234" s="127">
        <v>0.33333333333333298</v>
      </c>
      <c r="I234" s="109">
        <f t="shared" si="4"/>
        <v>1</v>
      </c>
      <c r="J234" s="134">
        <v>0.9</v>
      </c>
      <c r="K234" s="135"/>
      <c r="L234" s="136"/>
    </row>
    <row r="235" spans="1:12">
      <c r="A235" s="253"/>
      <c r="B235" s="245"/>
      <c r="C235" s="250"/>
      <c r="D235" s="132" t="s">
        <v>1192</v>
      </c>
      <c r="E235" s="133"/>
      <c r="F235" s="128" t="s">
        <v>1253</v>
      </c>
      <c r="G235" s="126"/>
      <c r="H235" s="127">
        <v>0.33333333333333298</v>
      </c>
      <c r="I235" s="109">
        <f t="shared" si="4"/>
        <v>1</v>
      </c>
      <c r="J235" s="134">
        <v>0.9</v>
      </c>
      <c r="K235" s="133"/>
      <c r="L235" s="136"/>
    </row>
    <row r="236" spans="1:12">
      <c r="A236" s="253"/>
      <c r="B236" s="117"/>
      <c r="C236" s="117"/>
      <c r="D236" s="118"/>
      <c r="E236" s="118"/>
      <c r="F236" s="119" t="s">
        <v>1251</v>
      </c>
      <c r="G236" s="124"/>
      <c r="H236" s="124"/>
      <c r="I236" s="120">
        <f>AVERAGEIF(F173:F235,F236,I173:I235)</f>
        <v>0.95684523809523814</v>
      </c>
      <c r="J236" s="121">
        <v>0.9</v>
      </c>
      <c r="K236" s="118"/>
      <c r="L236" s="116"/>
    </row>
    <row r="237" spans="1:12">
      <c r="A237" s="253"/>
      <c r="B237" s="117"/>
      <c r="C237" s="117"/>
      <c r="D237" s="118"/>
      <c r="E237" s="118"/>
      <c r="F237" s="119" t="s">
        <v>1252</v>
      </c>
      <c r="G237" s="124"/>
      <c r="H237" s="124"/>
      <c r="I237" s="120">
        <f>AVERAGEIF(F173:F235,F237,I173:I235)</f>
        <v>0.96230158730158721</v>
      </c>
      <c r="J237" s="121">
        <v>0.9</v>
      </c>
      <c r="K237" s="118"/>
      <c r="L237" s="116"/>
    </row>
    <row r="238" spans="1:12" ht="15" thickBot="1">
      <c r="A238" s="253"/>
      <c r="B238" s="117"/>
      <c r="C238" s="117"/>
      <c r="D238" s="118"/>
      <c r="E238" s="118"/>
      <c r="F238" s="119" t="s">
        <v>1253</v>
      </c>
      <c r="G238" s="124"/>
      <c r="H238" s="124"/>
      <c r="I238" s="120">
        <f>AVERAGEIF(F173:F235,F238,I173:I235)</f>
        <v>0.95932539682539697</v>
      </c>
      <c r="J238" s="121">
        <v>0.9</v>
      </c>
      <c r="K238" s="118"/>
      <c r="L238" s="116"/>
    </row>
    <row r="239" spans="1:12">
      <c r="A239" s="252"/>
      <c r="B239" s="251">
        <v>45894</v>
      </c>
      <c r="C239" s="243" t="s">
        <v>1198</v>
      </c>
      <c r="D239" s="110" t="s">
        <v>1194</v>
      </c>
      <c r="E239" s="156"/>
      <c r="F239" s="111" t="s">
        <v>1251</v>
      </c>
      <c r="G239" s="108"/>
      <c r="H239" s="108">
        <v>0.33333333333333331</v>
      </c>
      <c r="I239" s="109">
        <f>1-(G239/H239)</f>
        <v>1</v>
      </c>
      <c r="J239" s="109">
        <v>0.9</v>
      </c>
      <c r="K239" s="82"/>
      <c r="L239" s="82"/>
    </row>
    <row r="240" spans="1:12">
      <c r="A240" s="253"/>
      <c r="B240" s="244"/>
      <c r="C240" s="244"/>
      <c r="D240" s="110" t="s">
        <v>1194</v>
      </c>
      <c r="E240" s="156"/>
      <c r="F240" s="111" t="s">
        <v>1252</v>
      </c>
      <c r="G240" s="107"/>
      <c r="H240" s="108">
        <v>0.33333333333333331</v>
      </c>
      <c r="I240" s="109">
        <f>1-(G240/H240)</f>
        <v>1</v>
      </c>
      <c r="J240" s="109">
        <v>0.9</v>
      </c>
      <c r="K240" s="82"/>
      <c r="L240" s="82"/>
    </row>
    <row r="241" spans="1:12">
      <c r="A241" s="253"/>
      <c r="B241" s="244"/>
      <c r="C241" s="245"/>
      <c r="D241" s="110" t="s">
        <v>1194</v>
      </c>
      <c r="E241" s="157"/>
      <c r="F241" s="114" t="s">
        <v>1253</v>
      </c>
      <c r="G241" s="108"/>
      <c r="H241" s="108">
        <v>0.33333333333333298</v>
      </c>
      <c r="I241" s="109">
        <f t="shared" ref="I241:I273" si="5">1-(G241/H241)</f>
        <v>1</v>
      </c>
      <c r="J241" s="109">
        <v>0.9</v>
      </c>
      <c r="K241" s="82"/>
      <c r="L241" s="82"/>
    </row>
    <row r="242" spans="1:12">
      <c r="A242" s="253"/>
      <c r="B242" s="244"/>
      <c r="C242" s="248" t="s">
        <v>1196</v>
      </c>
      <c r="D242" s="132" t="s">
        <v>1193</v>
      </c>
      <c r="E242" s="158"/>
      <c r="F242" s="125" t="s">
        <v>1251</v>
      </c>
      <c r="G242" s="126"/>
      <c r="H242" s="127">
        <v>0.33333333333333298</v>
      </c>
      <c r="I242" s="109">
        <f t="shared" si="5"/>
        <v>1</v>
      </c>
      <c r="J242" s="134">
        <v>0.9</v>
      </c>
      <c r="K242" s="135"/>
      <c r="L242" s="136"/>
    </row>
    <row r="243" spans="1:12">
      <c r="A243" s="253"/>
      <c r="B243" s="244"/>
      <c r="C243" s="249"/>
      <c r="D243" s="132" t="s">
        <v>1193</v>
      </c>
      <c r="E243" s="158"/>
      <c r="F243" s="125" t="s">
        <v>1252</v>
      </c>
      <c r="G243" s="126"/>
      <c r="H243" s="127">
        <v>0.33333333333333298</v>
      </c>
      <c r="I243" s="109">
        <f t="shared" si="5"/>
        <v>1</v>
      </c>
      <c r="J243" s="134">
        <v>0.9</v>
      </c>
      <c r="K243" s="135"/>
      <c r="L243" s="136"/>
    </row>
    <row r="244" spans="1:12">
      <c r="A244" s="253"/>
      <c r="B244" s="244"/>
      <c r="C244" s="250"/>
      <c r="D244" s="132" t="s">
        <v>1193</v>
      </c>
      <c r="E244" s="133"/>
      <c r="F244" s="128" t="s">
        <v>1253</v>
      </c>
      <c r="G244" s="126"/>
      <c r="H244" s="127">
        <v>0.33333333333333298</v>
      </c>
      <c r="I244" s="109">
        <f t="shared" si="5"/>
        <v>1</v>
      </c>
      <c r="J244" s="134">
        <v>0.9</v>
      </c>
      <c r="K244" s="133"/>
      <c r="L244" s="136"/>
    </row>
    <row r="245" spans="1:12">
      <c r="A245" s="253"/>
      <c r="B245" s="244"/>
      <c r="C245" s="243" t="s">
        <v>1197</v>
      </c>
      <c r="D245" s="78" t="s">
        <v>1191</v>
      </c>
      <c r="E245" s="159"/>
      <c r="F245" s="111" t="s">
        <v>1251</v>
      </c>
      <c r="G245" s="107"/>
      <c r="H245" s="108">
        <v>0.33333333333333298</v>
      </c>
      <c r="I245" s="109">
        <f t="shared" si="5"/>
        <v>1</v>
      </c>
      <c r="J245" s="109">
        <v>0.9</v>
      </c>
      <c r="K245" s="82"/>
      <c r="L245" s="112"/>
    </row>
    <row r="246" spans="1:12">
      <c r="A246" s="253"/>
      <c r="B246" s="244"/>
      <c r="C246" s="244"/>
      <c r="D246" s="78" t="s">
        <v>1191</v>
      </c>
      <c r="E246" s="159"/>
      <c r="F246" s="111" t="s">
        <v>1252</v>
      </c>
      <c r="G246" s="107"/>
      <c r="H246" s="108">
        <v>0.33333333333333298</v>
      </c>
      <c r="I246" s="109">
        <f t="shared" si="5"/>
        <v>1</v>
      </c>
      <c r="J246" s="109">
        <v>0.9</v>
      </c>
      <c r="K246" s="82"/>
      <c r="L246" s="82"/>
    </row>
    <row r="247" spans="1:12" ht="15" thickBot="1">
      <c r="A247" s="253"/>
      <c r="B247" s="245"/>
      <c r="C247" s="245"/>
      <c r="D247" s="78" t="s">
        <v>1191</v>
      </c>
      <c r="E247" s="113"/>
      <c r="F247" s="114" t="s">
        <v>1253</v>
      </c>
      <c r="G247" s="108">
        <v>4.8611111111111112E-2</v>
      </c>
      <c r="H247" s="108">
        <v>0.33333333333333331</v>
      </c>
      <c r="I247" s="109">
        <f t="shared" si="5"/>
        <v>0.85416666666666663</v>
      </c>
      <c r="J247" s="109">
        <v>0.9</v>
      </c>
      <c r="K247" s="82" t="s">
        <v>1307</v>
      </c>
      <c r="L247" s="82"/>
    </row>
    <row r="248" spans="1:12">
      <c r="A248" s="253"/>
      <c r="B248" s="251">
        <v>45895</v>
      </c>
      <c r="C248" s="248" t="s">
        <v>1198</v>
      </c>
      <c r="D248" s="132" t="s">
        <v>1194</v>
      </c>
      <c r="E248" s="158"/>
      <c r="F248" s="125" t="s">
        <v>1251</v>
      </c>
      <c r="G248" s="127"/>
      <c r="H248" s="127">
        <v>0.33333333333333298</v>
      </c>
      <c r="I248" s="109">
        <f t="shared" si="5"/>
        <v>1</v>
      </c>
      <c r="J248" s="134">
        <v>0.9</v>
      </c>
      <c r="K248" s="135"/>
      <c r="L248" s="137"/>
    </row>
    <row r="249" spans="1:12">
      <c r="A249" s="253"/>
      <c r="B249" s="244"/>
      <c r="C249" s="249"/>
      <c r="D249" s="132" t="s">
        <v>1194</v>
      </c>
      <c r="E249" s="158"/>
      <c r="F249" s="125" t="s">
        <v>1252</v>
      </c>
      <c r="G249" s="127">
        <v>2.0833333333333332E-2</v>
      </c>
      <c r="H249" s="127">
        <v>0.33333333333333298</v>
      </c>
      <c r="I249" s="109">
        <f t="shared" si="5"/>
        <v>0.93749999999999989</v>
      </c>
      <c r="J249" s="134">
        <v>0.9</v>
      </c>
      <c r="K249" s="135" t="s">
        <v>1307</v>
      </c>
      <c r="L249" s="136"/>
    </row>
    <row r="250" spans="1:12">
      <c r="A250" s="253"/>
      <c r="B250" s="244"/>
      <c r="C250" s="250"/>
      <c r="D250" s="132" t="s">
        <v>1194</v>
      </c>
      <c r="E250" s="133"/>
      <c r="F250" s="128" t="s">
        <v>1253</v>
      </c>
      <c r="G250" s="126"/>
      <c r="H250" s="127">
        <v>0.33333333333333298</v>
      </c>
      <c r="I250" s="109">
        <f t="shared" si="5"/>
        <v>1</v>
      </c>
      <c r="J250" s="134">
        <v>0.9</v>
      </c>
      <c r="K250" s="133"/>
      <c r="L250" s="136"/>
    </row>
    <row r="251" spans="1:12">
      <c r="A251" s="253"/>
      <c r="B251" s="244"/>
      <c r="C251" s="243" t="s">
        <v>1196</v>
      </c>
      <c r="D251" s="78" t="s">
        <v>1193</v>
      </c>
      <c r="E251" s="159"/>
      <c r="F251" s="111" t="s">
        <v>1251</v>
      </c>
      <c r="G251" s="107"/>
      <c r="H251" s="108">
        <v>0.33333333333333298</v>
      </c>
      <c r="I251" s="109">
        <f t="shared" si="5"/>
        <v>1</v>
      </c>
      <c r="J251" s="109">
        <v>0.9</v>
      </c>
      <c r="K251" s="82"/>
      <c r="L251" s="112"/>
    </row>
    <row r="252" spans="1:12">
      <c r="A252" s="253"/>
      <c r="B252" s="244"/>
      <c r="C252" s="244"/>
      <c r="D252" s="78" t="s">
        <v>1193</v>
      </c>
      <c r="E252" s="159"/>
      <c r="F252" s="111" t="s">
        <v>1252</v>
      </c>
      <c r="G252" s="108">
        <v>8.3333333333333329E-2</v>
      </c>
      <c r="H252" s="108">
        <v>0.33333333333333331</v>
      </c>
      <c r="I252" s="109">
        <f t="shared" si="5"/>
        <v>0.75</v>
      </c>
      <c r="J252" s="109">
        <v>0.9</v>
      </c>
      <c r="K252" s="82" t="s">
        <v>1307</v>
      </c>
      <c r="L252" s="82"/>
    </row>
    <row r="253" spans="1:12">
      <c r="A253" s="253"/>
      <c r="B253" s="244"/>
      <c r="C253" s="245"/>
      <c r="D253" s="78" t="s">
        <v>1193</v>
      </c>
      <c r="E253" s="113"/>
      <c r="F253" s="114" t="s">
        <v>1253</v>
      </c>
      <c r="G253" s="107"/>
      <c r="H253" s="108">
        <v>0.33333333333333298</v>
      </c>
      <c r="I253" s="109">
        <f t="shared" si="5"/>
        <v>1</v>
      </c>
      <c r="J253" s="109">
        <v>0.9</v>
      </c>
      <c r="K253" s="82"/>
      <c r="L253" s="82"/>
    </row>
    <row r="254" spans="1:12">
      <c r="A254" s="253"/>
      <c r="B254" s="244"/>
      <c r="C254" s="248" t="s">
        <v>1197</v>
      </c>
      <c r="D254" s="132" t="s">
        <v>1191</v>
      </c>
      <c r="E254" s="158"/>
      <c r="F254" s="125" t="s">
        <v>1251</v>
      </c>
      <c r="G254" s="126"/>
      <c r="H254" s="127">
        <v>0.33333333333333298</v>
      </c>
      <c r="I254" s="109">
        <f t="shared" si="5"/>
        <v>1</v>
      </c>
      <c r="J254" s="134">
        <v>0.9</v>
      </c>
      <c r="K254" s="135"/>
      <c r="L254" s="137"/>
    </row>
    <row r="255" spans="1:12">
      <c r="A255" s="253"/>
      <c r="B255" s="244"/>
      <c r="C255" s="249"/>
      <c r="D255" s="132" t="s">
        <v>1191</v>
      </c>
      <c r="E255" s="158"/>
      <c r="F255" s="129" t="s">
        <v>1252</v>
      </c>
      <c r="G255" s="126"/>
      <c r="H255" s="127">
        <v>0.33333333333333298</v>
      </c>
      <c r="I255" s="109">
        <f t="shared" si="5"/>
        <v>1</v>
      </c>
      <c r="J255" s="134">
        <v>0.9</v>
      </c>
      <c r="K255" s="135"/>
      <c r="L255" s="136"/>
    </row>
    <row r="256" spans="1:12" ht="15" thickBot="1">
      <c r="A256" s="253"/>
      <c r="B256" s="245"/>
      <c r="C256" s="250"/>
      <c r="D256" s="132" t="s">
        <v>1191</v>
      </c>
      <c r="E256" s="133"/>
      <c r="F256" s="128" t="s">
        <v>1253</v>
      </c>
      <c r="G256" s="126"/>
      <c r="H256" s="131">
        <v>0.33333333333333298</v>
      </c>
      <c r="I256" s="115">
        <f t="shared" si="5"/>
        <v>1</v>
      </c>
      <c r="J256" s="134">
        <v>0.9</v>
      </c>
      <c r="K256" s="133"/>
      <c r="L256" s="136"/>
    </row>
    <row r="257" spans="1:12">
      <c r="A257" s="253"/>
      <c r="B257" s="251">
        <v>45896</v>
      </c>
      <c r="C257" s="243" t="s">
        <v>1198</v>
      </c>
      <c r="D257" s="78" t="s">
        <v>1201</v>
      </c>
      <c r="E257" s="159"/>
      <c r="F257" s="111" t="s">
        <v>1251</v>
      </c>
      <c r="G257" s="107"/>
      <c r="H257" s="108">
        <v>0.33333333333333331</v>
      </c>
      <c r="I257" s="109">
        <f t="shared" si="5"/>
        <v>1</v>
      </c>
      <c r="J257" s="109">
        <v>0.9</v>
      </c>
      <c r="K257" s="82"/>
      <c r="L257" s="112" t="s">
        <v>1521</v>
      </c>
    </row>
    <row r="258" spans="1:12">
      <c r="A258" s="253"/>
      <c r="B258" s="244"/>
      <c r="C258" s="244"/>
      <c r="D258" s="78" t="s">
        <v>1201</v>
      </c>
      <c r="E258" s="159"/>
      <c r="F258" s="106" t="s">
        <v>1252</v>
      </c>
      <c r="G258" s="107"/>
      <c r="H258" s="108">
        <v>0.33333333333333298</v>
      </c>
      <c r="I258" s="109">
        <f t="shared" si="5"/>
        <v>1</v>
      </c>
      <c r="J258" s="109">
        <v>0.9</v>
      </c>
      <c r="K258" s="82"/>
      <c r="L258" s="112" t="s">
        <v>1521</v>
      </c>
    </row>
    <row r="259" spans="1:12">
      <c r="A259" s="253"/>
      <c r="B259" s="244"/>
      <c r="C259" s="245"/>
      <c r="D259" s="78" t="s">
        <v>1201</v>
      </c>
      <c r="E259" s="113"/>
      <c r="F259" s="114" t="s">
        <v>1253</v>
      </c>
      <c r="G259" s="107"/>
      <c r="H259" s="108">
        <v>0.33333333333333298</v>
      </c>
      <c r="I259" s="109">
        <f t="shared" si="5"/>
        <v>1</v>
      </c>
      <c r="J259" s="109">
        <v>0.9</v>
      </c>
      <c r="K259" s="82"/>
      <c r="L259" s="112" t="s">
        <v>1521</v>
      </c>
    </row>
    <row r="260" spans="1:12">
      <c r="A260" s="253"/>
      <c r="B260" s="244"/>
      <c r="C260" s="248" t="s">
        <v>1196</v>
      </c>
      <c r="D260" s="132" t="s">
        <v>1194</v>
      </c>
      <c r="E260" s="158"/>
      <c r="F260" s="125" t="s">
        <v>1251</v>
      </c>
      <c r="G260" s="127">
        <v>6.25E-2</v>
      </c>
      <c r="H260" s="127">
        <v>0.33333333333333298</v>
      </c>
      <c r="I260" s="109">
        <f t="shared" si="5"/>
        <v>0.81249999999999978</v>
      </c>
      <c r="J260" s="134">
        <v>0.9</v>
      </c>
      <c r="K260" s="135" t="s">
        <v>1412</v>
      </c>
      <c r="L260" s="137" t="s">
        <v>1521</v>
      </c>
    </row>
    <row r="261" spans="1:12">
      <c r="A261" s="253"/>
      <c r="B261" s="244"/>
      <c r="C261" s="249"/>
      <c r="D261" s="132" t="s">
        <v>1194</v>
      </c>
      <c r="E261" s="158"/>
      <c r="F261" s="129" t="s">
        <v>1252</v>
      </c>
      <c r="G261" s="127">
        <v>4.1666666666666664E-2</v>
      </c>
      <c r="H261" s="127">
        <v>0.33333333333333298</v>
      </c>
      <c r="I261" s="109">
        <f t="shared" si="5"/>
        <v>0.87499999999999989</v>
      </c>
      <c r="J261" s="134">
        <v>0.9</v>
      </c>
      <c r="K261" s="135" t="s">
        <v>1412</v>
      </c>
      <c r="L261" s="137" t="s">
        <v>1521</v>
      </c>
    </row>
    <row r="262" spans="1:12">
      <c r="A262" s="253"/>
      <c r="B262" s="244"/>
      <c r="C262" s="250"/>
      <c r="D262" s="132" t="s">
        <v>1194</v>
      </c>
      <c r="E262" s="133"/>
      <c r="F262" s="128" t="s">
        <v>1253</v>
      </c>
      <c r="G262" s="126"/>
      <c r="H262" s="127">
        <v>0.33333333333333298</v>
      </c>
      <c r="I262" s="109">
        <f t="shared" si="5"/>
        <v>1</v>
      </c>
      <c r="J262" s="134">
        <v>0.9</v>
      </c>
      <c r="K262" s="135"/>
      <c r="L262" s="137" t="s">
        <v>1521</v>
      </c>
    </row>
    <row r="263" spans="1:12">
      <c r="A263" s="253"/>
      <c r="B263" s="244"/>
      <c r="C263" s="243" t="s">
        <v>1197</v>
      </c>
      <c r="D263" s="78" t="s">
        <v>1193</v>
      </c>
      <c r="E263" s="159"/>
      <c r="F263" s="111" t="s">
        <v>1251</v>
      </c>
      <c r="G263" s="107"/>
      <c r="H263" s="108">
        <v>0.33333333333333298</v>
      </c>
      <c r="I263" s="109">
        <f t="shared" si="5"/>
        <v>1</v>
      </c>
      <c r="J263" s="109">
        <v>0.9</v>
      </c>
      <c r="K263" s="82"/>
      <c r="L263" s="112"/>
    </row>
    <row r="264" spans="1:12">
      <c r="A264" s="253"/>
      <c r="B264" s="244"/>
      <c r="C264" s="244"/>
      <c r="D264" s="78" t="s">
        <v>1193</v>
      </c>
      <c r="E264" s="159"/>
      <c r="F264" s="106" t="s">
        <v>1252</v>
      </c>
      <c r="G264" s="107"/>
      <c r="H264" s="108">
        <v>0.33333333333333298</v>
      </c>
      <c r="I264" s="109">
        <f t="shared" si="5"/>
        <v>1</v>
      </c>
      <c r="J264" s="109">
        <v>0.9</v>
      </c>
      <c r="K264" s="82"/>
      <c r="L264" s="82"/>
    </row>
    <row r="265" spans="1:12" ht="15" thickBot="1">
      <c r="A265" s="253"/>
      <c r="B265" s="245"/>
      <c r="C265" s="245"/>
      <c r="D265" s="78" t="s">
        <v>1193</v>
      </c>
      <c r="E265" s="113"/>
      <c r="F265" s="114" t="s">
        <v>1253</v>
      </c>
      <c r="G265" s="107"/>
      <c r="H265" s="108">
        <v>0.33333333333333298</v>
      </c>
      <c r="I265" s="109">
        <f t="shared" si="5"/>
        <v>1</v>
      </c>
      <c r="J265" s="109">
        <v>0.9</v>
      </c>
      <c r="K265" s="82"/>
      <c r="L265" s="82"/>
    </row>
    <row r="266" spans="1:12">
      <c r="A266" s="253"/>
      <c r="B266" s="251">
        <v>45897</v>
      </c>
      <c r="C266" s="248" t="s">
        <v>1198</v>
      </c>
      <c r="D266" s="132" t="s">
        <v>1192</v>
      </c>
      <c r="E266" s="158"/>
      <c r="F266" s="125" t="s">
        <v>1251</v>
      </c>
      <c r="G266" s="126"/>
      <c r="H266" s="127">
        <v>0.33333333333333331</v>
      </c>
      <c r="I266" s="109">
        <f t="shared" si="5"/>
        <v>1</v>
      </c>
      <c r="J266" s="134">
        <v>0.9</v>
      </c>
      <c r="K266" s="135"/>
      <c r="L266" s="137"/>
    </row>
    <row r="267" spans="1:12">
      <c r="A267" s="253"/>
      <c r="B267" s="244"/>
      <c r="C267" s="249"/>
      <c r="D267" s="132" t="s">
        <v>1192</v>
      </c>
      <c r="E267" s="158"/>
      <c r="F267" s="129" t="s">
        <v>1252</v>
      </c>
      <c r="G267" s="126"/>
      <c r="H267" s="127">
        <v>0.33333333333333298</v>
      </c>
      <c r="I267" s="109">
        <f t="shared" si="5"/>
        <v>1</v>
      </c>
      <c r="J267" s="134">
        <v>0.9</v>
      </c>
      <c r="K267" s="135"/>
      <c r="L267" s="136"/>
    </row>
    <row r="268" spans="1:12">
      <c r="A268" s="253"/>
      <c r="B268" s="244"/>
      <c r="C268" s="250"/>
      <c r="D268" s="132" t="s">
        <v>1192</v>
      </c>
      <c r="E268" s="133"/>
      <c r="F268" s="128" t="s">
        <v>1253</v>
      </c>
      <c r="G268" s="126"/>
      <c r="H268" s="127">
        <v>0.33333333333333298</v>
      </c>
      <c r="I268" s="109">
        <f t="shared" si="5"/>
        <v>1</v>
      </c>
      <c r="J268" s="134">
        <v>0.9</v>
      </c>
      <c r="K268" s="135"/>
      <c r="L268" s="136"/>
    </row>
    <row r="269" spans="1:12">
      <c r="A269" s="253"/>
      <c r="B269" s="244"/>
      <c r="C269" s="243" t="s">
        <v>1196</v>
      </c>
      <c r="D269" s="78" t="s">
        <v>1194</v>
      </c>
      <c r="E269" s="159"/>
      <c r="F269" s="111" t="s">
        <v>1251</v>
      </c>
      <c r="G269" s="107"/>
      <c r="H269" s="108">
        <v>0.33333333333333298</v>
      </c>
      <c r="I269" s="109">
        <f t="shared" si="5"/>
        <v>1</v>
      </c>
      <c r="J269" s="109">
        <v>0.9</v>
      </c>
      <c r="K269" s="82"/>
      <c r="L269" s="112"/>
    </row>
    <row r="270" spans="1:12">
      <c r="A270" s="253"/>
      <c r="B270" s="244"/>
      <c r="C270" s="244"/>
      <c r="D270" s="78" t="s">
        <v>1194</v>
      </c>
      <c r="E270" s="159"/>
      <c r="F270" s="106" t="s">
        <v>1252</v>
      </c>
      <c r="G270" s="107"/>
      <c r="H270" s="108">
        <v>0.33333333333333298</v>
      </c>
      <c r="I270" s="109">
        <f t="shared" si="5"/>
        <v>1</v>
      </c>
      <c r="J270" s="109">
        <v>0.9</v>
      </c>
      <c r="K270" s="82"/>
      <c r="L270" s="82"/>
    </row>
    <row r="271" spans="1:12">
      <c r="A271" s="253"/>
      <c r="B271" s="244"/>
      <c r="C271" s="245"/>
      <c r="D271" s="78" t="s">
        <v>1194</v>
      </c>
      <c r="E271" s="113"/>
      <c r="F271" s="114" t="s">
        <v>1253</v>
      </c>
      <c r="G271" s="107"/>
      <c r="H271" s="108">
        <v>0.33333333333333298</v>
      </c>
      <c r="I271" s="109">
        <f t="shared" si="5"/>
        <v>1</v>
      </c>
      <c r="J271" s="109">
        <v>0.9</v>
      </c>
      <c r="K271" s="82"/>
      <c r="L271" s="82"/>
    </row>
    <row r="272" spans="1:12">
      <c r="A272" s="253"/>
      <c r="B272" s="244"/>
      <c r="C272" s="248" t="s">
        <v>1197</v>
      </c>
      <c r="D272" s="132" t="s">
        <v>1193</v>
      </c>
      <c r="E272" s="158"/>
      <c r="F272" s="125" t="s">
        <v>1251</v>
      </c>
      <c r="G272" s="126"/>
      <c r="H272" s="127">
        <v>0.33333333333333298</v>
      </c>
      <c r="I272" s="109">
        <f t="shared" si="5"/>
        <v>1</v>
      </c>
      <c r="J272" s="134">
        <v>0.9</v>
      </c>
      <c r="K272" s="176"/>
      <c r="L272" s="137"/>
    </row>
    <row r="273" spans="1:12">
      <c r="A273" s="253"/>
      <c r="B273" s="244"/>
      <c r="C273" s="249"/>
      <c r="D273" s="132" t="s">
        <v>1193</v>
      </c>
      <c r="E273" s="158"/>
      <c r="F273" s="129" t="s">
        <v>1252</v>
      </c>
      <c r="G273" s="126"/>
      <c r="H273" s="127">
        <v>0.33333333333333298</v>
      </c>
      <c r="I273" s="109">
        <f t="shared" si="5"/>
        <v>1</v>
      </c>
      <c r="J273" s="134">
        <v>0.9</v>
      </c>
      <c r="K273" s="176"/>
      <c r="L273" s="136"/>
    </row>
    <row r="274" spans="1:12" ht="15" thickBot="1">
      <c r="A274" s="253"/>
      <c r="B274" s="245"/>
      <c r="C274" s="249"/>
      <c r="D274" s="132" t="s">
        <v>1193</v>
      </c>
      <c r="E274" s="158"/>
      <c r="F274" s="175" t="s">
        <v>1253</v>
      </c>
      <c r="G274" s="177"/>
      <c r="H274" s="165">
        <v>0.33333333333333298</v>
      </c>
      <c r="I274" s="178">
        <f t="shared" ref="I274" si="6">1-(G274/H274)</f>
        <v>1</v>
      </c>
      <c r="J274" s="179">
        <v>0.9</v>
      </c>
      <c r="K274" s="180"/>
      <c r="L274" s="181"/>
    </row>
    <row r="275" spans="1:12">
      <c r="A275" s="253"/>
      <c r="B275" s="251">
        <v>45898</v>
      </c>
      <c r="C275" s="248" t="s">
        <v>1198</v>
      </c>
      <c r="D275" s="182" t="s">
        <v>1191</v>
      </c>
      <c r="E275" s="183"/>
      <c r="F275" s="129" t="s">
        <v>1251</v>
      </c>
      <c r="G275" s="184"/>
      <c r="H275" s="185">
        <v>0.33333333333333331</v>
      </c>
      <c r="I275" s="186">
        <v>1</v>
      </c>
      <c r="J275" s="187">
        <v>0.9</v>
      </c>
      <c r="K275" s="188"/>
      <c r="L275" s="136"/>
    </row>
    <row r="276" spans="1:12">
      <c r="A276" s="253"/>
      <c r="B276" s="244"/>
      <c r="C276" s="249"/>
      <c r="D276" s="182" t="s">
        <v>1191</v>
      </c>
      <c r="E276" s="158"/>
      <c r="F276" s="129" t="s">
        <v>1252</v>
      </c>
      <c r="G276" s="126"/>
      <c r="H276" s="127">
        <v>0.33333333333333298</v>
      </c>
      <c r="I276" s="109">
        <v>1</v>
      </c>
      <c r="J276" s="134">
        <v>0.9</v>
      </c>
      <c r="K276" s="135"/>
      <c r="L276" s="136"/>
    </row>
    <row r="277" spans="1:12">
      <c r="A277" s="253"/>
      <c r="B277" s="244"/>
      <c r="C277" s="250"/>
      <c r="D277" s="182" t="s">
        <v>1191</v>
      </c>
      <c r="E277" s="133"/>
      <c r="F277" s="128" t="s">
        <v>1253</v>
      </c>
      <c r="G277" s="126"/>
      <c r="H277" s="127">
        <v>0.33333333333333298</v>
      </c>
      <c r="I277" s="109">
        <v>1</v>
      </c>
      <c r="J277" s="134">
        <v>0.9</v>
      </c>
      <c r="K277" s="135"/>
      <c r="L277" s="136"/>
    </row>
    <row r="278" spans="1:12">
      <c r="A278" s="253"/>
      <c r="B278" s="244"/>
      <c r="C278" s="243" t="s">
        <v>1196</v>
      </c>
      <c r="D278" s="78" t="s">
        <v>1192</v>
      </c>
      <c r="E278" s="159"/>
      <c r="F278" s="111" t="s">
        <v>1251</v>
      </c>
      <c r="G278" s="107"/>
      <c r="H278" s="108">
        <v>0.33333333333333298</v>
      </c>
      <c r="I278" s="109">
        <v>1</v>
      </c>
      <c r="J278" s="109">
        <v>0.9</v>
      </c>
      <c r="K278" s="82"/>
      <c r="L278" s="112"/>
    </row>
    <row r="279" spans="1:12">
      <c r="A279" s="253"/>
      <c r="B279" s="244"/>
      <c r="C279" s="244"/>
      <c r="D279" s="78" t="s">
        <v>1192</v>
      </c>
      <c r="E279" s="159"/>
      <c r="F279" s="106" t="s">
        <v>1252</v>
      </c>
      <c r="G279" s="107"/>
      <c r="H279" s="108">
        <v>0.33333333333333298</v>
      </c>
      <c r="I279" s="109">
        <v>1</v>
      </c>
      <c r="J279" s="109">
        <v>0.9</v>
      </c>
      <c r="K279" s="82"/>
      <c r="L279" s="82"/>
    </row>
    <row r="280" spans="1:12">
      <c r="A280" s="253"/>
      <c r="B280" s="244"/>
      <c r="C280" s="245"/>
      <c r="D280" s="78" t="s">
        <v>1192</v>
      </c>
      <c r="E280" s="113"/>
      <c r="F280" s="114" t="s">
        <v>1253</v>
      </c>
      <c r="G280" s="107"/>
      <c r="H280" s="108">
        <v>0.33333333333333298</v>
      </c>
      <c r="I280" s="109">
        <v>1</v>
      </c>
      <c r="J280" s="109">
        <v>0.9</v>
      </c>
      <c r="K280" s="82"/>
      <c r="L280" s="82"/>
    </row>
    <row r="281" spans="1:12">
      <c r="A281" s="253"/>
      <c r="B281" s="244"/>
      <c r="C281" s="248" t="s">
        <v>1197</v>
      </c>
      <c r="D281" s="132" t="s">
        <v>1194</v>
      </c>
      <c r="E281" s="158"/>
      <c r="F281" s="125" t="s">
        <v>1251</v>
      </c>
      <c r="G281" s="126"/>
      <c r="H281" s="127">
        <v>0.33333333333333298</v>
      </c>
      <c r="I281" s="109">
        <v>1</v>
      </c>
      <c r="J281" s="134">
        <v>0.9</v>
      </c>
      <c r="K281" s="176"/>
      <c r="L281" s="137"/>
    </row>
    <row r="282" spans="1:12">
      <c r="A282" s="253"/>
      <c r="B282" s="244"/>
      <c r="C282" s="249"/>
      <c r="D282" s="132" t="s">
        <v>1194</v>
      </c>
      <c r="E282" s="158"/>
      <c r="F282" s="129" t="s">
        <v>1252</v>
      </c>
      <c r="G282" s="126"/>
      <c r="H282" s="127">
        <v>0.33333333333333298</v>
      </c>
      <c r="I282" s="109">
        <v>1</v>
      </c>
      <c r="J282" s="134">
        <v>0.9</v>
      </c>
      <c r="K282" s="176"/>
      <c r="L282" s="136"/>
    </row>
    <row r="283" spans="1:12" ht="15" thickBot="1">
      <c r="A283" s="253"/>
      <c r="B283" s="245"/>
      <c r="C283" s="250"/>
      <c r="D283" s="132" t="s">
        <v>1194</v>
      </c>
      <c r="E283" s="189"/>
      <c r="F283" s="128" t="s">
        <v>1253</v>
      </c>
      <c r="G283" s="190"/>
      <c r="H283" s="191">
        <v>0.33333333333333298</v>
      </c>
      <c r="I283" s="192">
        <v>1</v>
      </c>
      <c r="J283" s="193">
        <v>0.9</v>
      </c>
      <c r="K283" s="176"/>
      <c r="L283" s="136"/>
    </row>
    <row r="284" spans="1:12">
      <c r="A284" s="253"/>
      <c r="B284" s="251">
        <v>45899</v>
      </c>
      <c r="C284" s="248" t="s">
        <v>1198</v>
      </c>
      <c r="D284" s="182" t="s">
        <v>1191</v>
      </c>
      <c r="E284" s="183"/>
      <c r="F284" s="129" t="s">
        <v>1251</v>
      </c>
      <c r="G284" s="184"/>
      <c r="H284" s="185">
        <v>0.33333333333333331</v>
      </c>
      <c r="I284" s="186">
        <v>1</v>
      </c>
      <c r="J284" s="187">
        <v>0.9</v>
      </c>
      <c r="K284" s="188"/>
      <c r="L284" s="136"/>
    </row>
    <row r="285" spans="1:12">
      <c r="A285" s="253"/>
      <c r="B285" s="244"/>
      <c r="C285" s="249"/>
      <c r="D285" s="182" t="s">
        <v>1191</v>
      </c>
      <c r="E285" s="158"/>
      <c r="F285" s="129" t="s">
        <v>1252</v>
      </c>
      <c r="G285" s="126"/>
      <c r="H285" s="127">
        <v>0.33333333333333298</v>
      </c>
      <c r="I285" s="109">
        <v>1</v>
      </c>
      <c r="J285" s="134">
        <v>0.9</v>
      </c>
      <c r="K285" s="135"/>
      <c r="L285" s="136"/>
    </row>
    <row r="286" spans="1:12">
      <c r="A286" s="253"/>
      <c r="B286" s="244"/>
      <c r="C286" s="250"/>
      <c r="D286" s="182" t="s">
        <v>1191</v>
      </c>
      <c r="E286" s="133"/>
      <c r="F286" s="128" t="s">
        <v>1253</v>
      </c>
      <c r="G286" s="126"/>
      <c r="H286" s="127">
        <v>0.33333333333333298</v>
      </c>
      <c r="I286" s="109">
        <v>1</v>
      </c>
      <c r="J286" s="134">
        <v>0.9</v>
      </c>
      <c r="K286" s="135"/>
      <c r="L286" s="136"/>
    </row>
    <row r="287" spans="1:12">
      <c r="A287" s="253"/>
      <c r="B287" s="244"/>
      <c r="C287" s="243" t="s">
        <v>1196</v>
      </c>
      <c r="D287" s="78" t="s">
        <v>1192</v>
      </c>
      <c r="E287" s="159"/>
      <c r="F287" s="111" t="s">
        <v>1251</v>
      </c>
      <c r="G287" s="107"/>
      <c r="H287" s="108">
        <v>0.33333333333333298</v>
      </c>
      <c r="I287" s="109">
        <v>1</v>
      </c>
      <c r="J287" s="109">
        <v>0.9</v>
      </c>
      <c r="K287" s="82"/>
      <c r="L287" s="112"/>
    </row>
    <row r="288" spans="1:12">
      <c r="A288" s="253"/>
      <c r="B288" s="244"/>
      <c r="C288" s="244"/>
      <c r="D288" s="78" t="s">
        <v>1192</v>
      </c>
      <c r="E288" s="159"/>
      <c r="F288" s="106" t="s">
        <v>1252</v>
      </c>
      <c r="G288" s="107"/>
      <c r="H288" s="108">
        <v>0.33333333333333298</v>
      </c>
      <c r="I288" s="109">
        <v>1</v>
      </c>
      <c r="J288" s="109">
        <v>0.9</v>
      </c>
      <c r="K288" s="82"/>
      <c r="L288" s="82"/>
    </row>
    <row r="289" spans="1:12">
      <c r="A289" s="253"/>
      <c r="B289" s="244"/>
      <c r="C289" s="245"/>
      <c r="D289" s="78" t="s">
        <v>1192</v>
      </c>
      <c r="E289" s="113"/>
      <c r="F289" s="114" t="s">
        <v>1253</v>
      </c>
      <c r="G289" s="107"/>
      <c r="H289" s="108">
        <v>0.33333333333333298</v>
      </c>
      <c r="I289" s="109">
        <v>1</v>
      </c>
      <c r="J289" s="109">
        <v>0.9</v>
      </c>
      <c r="K289" s="82"/>
      <c r="L289" s="82"/>
    </row>
    <row r="290" spans="1:12">
      <c r="A290" s="253"/>
      <c r="B290" s="244"/>
      <c r="C290" s="248" t="s">
        <v>1197</v>
      </c>
      <c r="D290" s="132" t="s">
        <v>1194</v>
      </c>
      <c r="E290" s="158"/>
      <c r="F290" s="125" t="s">
        <v>1251</v>
      </c>
      <c r="G290" s="126"/>
      <c r="H290" s="127">
        <v>0.33333333333333298</v>
      </c>
      <c r="I290" s="109">
        <v>1</v>
      </c>
      <c r="J290" s="134">
        <v>0.9</v>
      </c>
      <c r="K290" s="176"/>
      <c r="L290" s="137"/>
    </row>
    <row r="291" spans="1:12">
      <c r="A291" s="253"/>
      <c r="B291" s="244"/>
      <c r="C291" s="249"/>
      <c r="D291" s="132" t="s">
        <v>1194</v>
      </c>
      <c r="E291" s="158"/>
      <c r="F291" s="129" t="s">
        <v>1252</v>
      </c>
      <c r="G291" s="126"/>
      <c r="H291" s="127">
        <v>0.33333333333333298</v>
      </c>
      <c r="I291" s="109">
        <v>1</v>
      </c>
      <c r="J291" s="134">
        <v>0.9</v>
      </c>
      <c r="K291" s="176"/>
      <c r="L291" s="136"/>
    </row>
    <row r="292" spans="1:12" ht="15" thickBot="1">
      <c r="A292" s="253"/>
      <c r="B292" s="245"/>
      <c r="C292" s="250"/>
      <c r="D292" s="132" t="s">
        <v>1194</v>
      </c>
      <c r="E292" s="189"/>
      <c r="F292" s="128" t="s">
        <v>1253</v>
      </c>
      <c r="G292" s="190"/>
      <c r="H292" s="191">
        <v>0.33333333333333298</v>
      </c>
      <c r="I292" s="192">
        <v>1</v>
      </c>
      <c r="J292" s="193">
        <v>0.9</v>
      </c>
      <c r="K292" s="176"/>
      <c r="L292" s="136"/>
    </row>
    <row r="293" spans="1:12">
      <c r="A293" s="253"/>
      <c r="B293" s="251">
        <v>45899</v>
      </c>
      <c r="C293" s="248" t="s">
        <v>1198</v>
      </c>
      <c r="D293" s="182" t="s">
        <v>1193</v>
      </c>
      <c r="E293" s="183"/>
      <c r="F293" s="129" t="s">
        <v>1251</v>
      </c>
      <c r="G293" s="184"/>
      <c r="H293" s="185">
        <v>0.33333333333333331</v>
      </c>
      <c r="I293" s="186">
        <v>1</v>
      </c>
      <c r="J293" s="187">
        <v>0.9</v>
      </c>
      <c r="K293" s="188"/>
      <c r="L293" s="136"/>
    </row>
    <row r="294" spans="1:12">
      <c r="A294" s="253"/>
      <c r="B294" s="244"/>
      <c r="C294" s="249"/>
      <c r="D294" s="182" t="s">
        <v>1193</v>
      </c>
      <c r="E294" s="158"/>
      <c r="F294" s="129" t="s">
        <v>1252</v>
      </c>
      <c r="G294" s="126"/>
      <c r="H294" s="127">
        <v>0.33333333333333298</v>
      </c>
      <c r="I294" s="109">
        <v>1</v>
      </c>
      <c r="J294" s="134">
        <v>0.9</v>
      </c>
      <c r="K294" s="135"/>
      <c r="L294" s="136"/>
    </row>
    <row r="295" spans="1:12">
      <c r="A295" s="253"/>
      <c r="B295" s="244"/>
      <c r="C295" s="250"/>
      <c r="D295" s="182" t="s">
        <v>1193</v>
      </c>
      <c r="E295" s="133"/>
      <c r="F295" s="128" t="s">
        <v>1253</v>
      </c>
      <c r="G295" s="126"/>
      <c r="H295" s="127">
        <v>0.33333333333333298</v>
      </c>
      <c r="I295" s="109">
        <v>1</v>
      </c>
      <c r="J295" s="134">
        <v>0.9</v>
      </c>
      <c r="K295" s="135"/>
      <c r="L295" s="136"/>
    </row>
    <row r="296" spans="1:12">
      <c r="A296" s="253"/>
      <c r="B296" s="244"/>
      <c r="C296" s="243" t="s">
        <v>1196</v>
      </c>
      <c r="D296" s="78" t="s">
        <v>1191</v>
      </c>
      <c r="E296" s="159"/>
      <c r="F296" s="111" t="s">
        <v>1251</v>
      </c>
      <c r="G296" s="107"/>
      <c r="H296" s="108">
        <v>0.33333333333333298</v>
      </c>
      <c r="I296" s="109">
        <v>1</v>
      </c>
      <c r="J296" s="109">
        <v>0.9</v>
      </c>
      <c r="K296" s="82"/>
      <c r="L296" s="112"/>
    </row>
    <row r="297" spans="1:12">
      <c r="A297" s="253"/>
      <c r="B297" s="244"/>
      <c r="C297" s="244"/>
      <c r="D297" s="78" t="s">
        <v>1191</v>
      </c>
      <c r="E297" s="159"/>
      <c r="F297" s="106" t="s">
        <v>1252</v>
      </c>
      <c r="G297" s="107"/>
      <c r="H297" s="108">
        <v>0.33333333333333298</v>
      </c>
      <c r="I297" s="109">
        <v>1</v>
      </c>
      <c r="J297" s="109">
        <v>0.9</v>
      </c>
      <c r="K297" s="82"/>
      <c r="L297" s="82"/>
    </row>
    <row r="298" spans="1:12">
      <c r="A298" s="253"/>
      <c r="B298" s="244"/>
      <c r="C298" s="245"/>
      <c r="D298" s="78" t="s">
        <v>1191</v>
      </c>
      <c r="E298" s="113"/>
      <c r="F298" s="114" t="s">
        <v>1253</v>
      </c>
      <c r="G298" s="107"/>
      <c r="H298" s="108">
        <v>0.33333333333333298</v>
      </c>
      <c r="I298" s="109">
        <v>1</v>
      </c>
      <c r="J298" s="109">
        <v>0.9</v>
      </c>
      <c r="K298" s="82"/>
      <c r="L298" s="82"/>
    </row>
    <row r="299" spans="1:12">
      <c r="A299" s="253"/>
      <c r="B299" s="244"/>
      <c r="C299" s="248" t="s">
        <v>1197</v>
      </c>
      <c r="D299" s="132" t="s">
        <v>1192</v>
      </c>
      <c r="E299" s="158"/>
      <c r="F299" s="125" t="s">
        <v>1251</v>
      </c>
      <c r="G299" s="126"/>
      <c r="H299" s="127">
        <v>0.33333333333333298</v>
      </c>
      <c r="I299" s="109">
        <v>1</v>
      </c>
      <c r="J299" s="134">
        <v>0.9</v>
      </c>
      <c r="K299" s="176"/>
      <c r="L299" s="137"/>
    </row>
    <row r="300" spans="1:12">
      <c r="A300" s="253"/>
      <c r="B300" s="244"/>
      <c r="C300" s="249"/>
      <c r="D300" s="132" t="s">
        <v>1192</v>
      </c>
      <c r="E300" s="158"/>
      <c r="F300" s="129" t="s">
        <v>1252</v>
      </c>
      <c r="G300" s="126"/>
      <c r="H300" s="127">
        <v>0.33333333333333298</v>
      </c>
      <c r="I300" s="109">
        <v>1</v>
      </c>
      <c r="J300" s="134">
        <v>0.9</v>
      </c>
      <c r="K300" s="176"/>
      <c r="L300" s="136"/>
    </row>
    <row r="301" spans="1:12">
      <c r="A301" s="253"/>
      <c r="B301" s="245"/>
      <c r="C301" s="250"/>
      <c r="D301" s="132" t="s">
        <v>1192</v>
      </c>
      <c r="E301" s="189"/>
      <c r="F301" s="128" t="s">
        <v>1253</v>
      </c>
      <c r="G301" s="191">
        <v>0.19791666666666666</v>
      </c>
      <c r="H301" s="191">
        <v>0.33333333333333298</v>
      </c>
      <c r="I301" s="192">
        <v>1</v>
      </c>
      <c r="J301" s="193">
        <v>0.9</v>
      </c>
      <c r="K301" s="176" t="s">
        <v>1326</v>
      </c>
      <c r="L301" s="136"/>
    </row>
    <row r="302" spans="1:12">
      <c r="A302" s="253"/>
      <c r="B302" s="117"/>
      <c r="C302" s="117"/>
      <c r="D302" s="118"/>
      <c r="E302" s="118"/>
      <c r="F302" s="119" t="s">
        <v>1251</v>
      </c>
      <c r="G302" s="124"/>
      <c r="H302" s="124"/>
      <c r="I302" s="120">
        <f>AVERAGEIF(F239:F301,F302,I239:I301)</f>
        <v>0.9910714285714286</v>
      </c>
      <c r="J302" s="121">
        <v>0.9</v>
      </c>
      <c r="K302" s="118"/>
      <c r="L302" s="116"/>
    </row>
    <row r="303" spans="1:12">
      <c r="A303" s="253"/>
      <c r="B303" s="117"/>
      <c r="C303" s="117"/>
      <c r="D303" s="118"/>
      <c r="E303" s="118"/>
      <c r="F303" s="119" t="s">
        <v>1252</v>
      </c>
      <c r="G303" s="124"/>
      <c r="H303" s="124"/>
      <c r="I303" s="120">
        <f>AVERAGEIF(F239:F301,F303,I239:I301)</f>
        <v>0.97916666666666663</v>
      </c>
      <c r="J303" s="121">
        <v>0.9</v>
      </c>
      <c r="K303" s="118"/>
      <c r="L303" s="116"/>
    </row>
    <row r="304" spans="1:12">
      <c r="A304" s="253"/>
      <c r="B304" s="117"/>
      <c r="C304" s="117"/>
      <c r="D304" s="118"/>
      <c r="E304" s="118"/>
      <c r="F304" s="119" t="s">
        <v>1253</v>
      </c>
      <c r="G304" s="124"/>
      <c r="H304" s="124"/>
      <c r="I304" s="120">
        <f>AVERAGEIF(F239:F301,F304,I239:I301)</f>
        <v>0.99305555555555547</v>
      </c>
      <c r="J304" s="121">
        <v>0.9</v>
      </c>
      <c r="K304" s="118"/>
      <c r="L304" s="116"/>
    </row>
  </sheetData>
  <mergeCells count="163">
    <mergeCell ref="P38:P41"/>
    <mergeCell ref="Q38:Q41"/>
    <mergeCell ref="B284:B292"/>
    <mergeCell ref="C284:C286"/>
    <mergeCell ref="C287:C289"/>
    <mergeCell ref="C290:C292"/>
    <mergeCell ref="B293:B301"/>
    <mergeCell ref="C293:C295"/>
    <mergeCell ref="C296:C298"/>
    <mergeCell ref="C299:C301"/>
    <mergeCell ref="C266:C268"/>
    <mergeCell ref="C269:C271"/>
    <mergeCell ref="B266:B274"/>
    <mergeCell ref="C272:C274"/>
    <mergeCell ref="B275:B283"/>
    <mergeCell ref="C275:C277"/>
    <mergeCell ref="C278:C280"/>
    <mergeCell ref="C281:C283"/>
    <mergeCell ref="C248:C250"/>
    <mergeCell ref="C251:C253"/>
    <mergeCell ref="C254:C256"/>
    <mergeCell ref="B257:B265"/>
    <mergeCell ref="C257:C259"/>
    <mergeCell ref="C260:C262"/>
    <mergeCell ref="C263:C265"/>
    <mergeCell ref="B227:B235"/>
    <mergeCell ref="C227:C229"/>
    <mergeCell ref="C230:C232"/>
    <mergeCell ref="C233:C235"/>
    <mergeCell ref="A239:A304"/>
    <mergeCell ref="B239:B247"/>
    <mergeCell ref="C239:C241"/>
    <mergeCell ref="C242:C244"/>
    <mergeCell ref="C245:C247"/>
    <mergeCell ref="B248:B256"/>
    <mergeCell ref="A173:A238"/>
    <mergeCell ref="B173:B181"/>
    <mergeCell ref="C173:C175"/>
    <mergeCell ref="C176:C178"/>
    <mergeCell ref="C179:C181"/>
    <mergeCell ref="B182:B190"/>
    <mergeCell ref="C182:C184"/>
    <mergeCell ref="C185:C187"/>
    <mergeCell ref="C188:C190"/>
    <mergeCell ref="B209:B217"/>
    <mergeCell ref="C209:C211"/>
    <mergeCell ref="C212:C214"/>
    <mergeCell ref="C215:C217"/>
    <mergeCell ref="B218:B226"/>
    <mergeCell ref="C218:C220"/>
    <mergeCell ref="C221:C223"/>
    <mergeCell ref="C224:C226"/>
    <mergeCell ref="C191:C193"/>
    <mergeCell ref="C194:C196"/>
    <mergeCell ref="C197:C199"/>
    <mergeCell ref="B200:B208"/>
    <mergeCell ref="C200:C202"/>
    <mergeCell ref="C203:C205"/>
    <mergeCell ref="C206:C208"/>
    <mergeCell ref="B191:B199"/>
    <mergeCell ref="B152:B160"/>
    <mergeCell ref="C152:C154"/>
    <mergeCell ref="C155:C157"/>
    <mergeCell ref="C158:C160"/>
    <mergeCell ref="B161:B169"/>
    <mergeCell ref="C161:C163"/>
    <mergeCell ref="C164:C166"/>
    <mergeCell ref="C167:C169"/>
    <mergeCell ref="B134:B142"/>
    <mergeCell ref="C134:C136"/>
    <mergeCell ref="C137:C139"/>
    <mergeCell ref="C140:C142"/>
    <mergeCell ref="B143:B151"/>
    <mergeCell ref="C143:C145"/>
    <mergeCell ref="C146:C148"/>
    <mergeCell ref="C149:C151"/>
    <mergeCell ref="A107:A172"/>
    <mergeCell ref="B107:B115"/>
    <mergeCell ref="C107:C109"/>
    <mergeCell ref="C110:C112"/>
    <mergeCell ref="C113:C115"/>
    <mergeCell ref="B116:B124"/>
    <mergeCell ref="B77:B85"/>
    <mergeCell ref="C77:C79"/>
    <mergeCell ref="C80:C82"/>
    <mergeCell ref="C83:C85"/>
    <mergeCell ref="B86:B94"/>
    <mergeCell ref="C86:C88"/>
    <mergeCell ref="C89:C91"/>
    <mergeCell ref="C92:C94"/>
    <mergeCell ref="C116:C118"/>
    <mergeCell ref="C119:C121"/>
    <mergeCell ref="C122:C124"/>
    <mergeCell ref="B125:B133"/>
    <mergeCell ref="C125:C127"/>
    <mergeCell ref="C128:C130"/>
    <mergeCell ref="C131:C133"/>
    <mergeCell ref="B95:B103"/>
    <mergeCell ref="C95:C97"/>
    <mergeCell ref="C98:C100"/>
    <mergeCell ref="C59:C61"/>
    <mergeCell ref="C62:C64"/>
    <mergeCell ref="C65:C67"/>
    <mergeCell ref="B68:B76"/>
    <mergeCell ref="C68:C70"/>
    <mergeCell ref="C71:C73"/>
    <mergeCell ref="C74:C76"/>
    <mergeCell ref="A41:A106"/>
    <mergeCell ref="B41:B49"/>
    <mergeCell ref="C41:C43"/>
    <mergeCell ref="C44:C46"/>
    <mergeCell ref="C47:C49"/>
    <mergeCell ref="B50:B58"/>
    <mergeCell ref="C50:C52"/>
    <mergeCell ref="C53:C55"/>
    <mergeCell ref="C56:C58"/>
    <mergeCell ref="B59:B67"/>
    <mergeCell ref="C101:C103"/>
    <mergeCell ref="P36:P37"/>
    <mergeCell ref="Q36:Q37"/>
    <mergeCell ref="C29:C31"/>
    <mergeCell ref="N29:N30"/>
    <mergeCell ref="O29:O30"/>
    <mergeCell ref="P29:P30"/>
    <mergeCell ref="Q29:Q30"/>
    <mergeCell ref="P31:P34"/>
    <mergeCell ref="Q31:Q34"/>
    <mergeCell ref="C32:C34"/>
    <mergeCell ref="P22:P23"/>
    <mergeCell ref="Q22:Q23"/>
    <mergeCell ref="C23:C25"/>
    <mergeCell ref="P24:P27"/>
    <mergeCell ref="Q24:Q27"/>
    <mergeCell ref="C26:C28"/>
    <mergeCell ref="N15:N16"/>
    <mergeCell ref="O15:O16"/>
    <mergeCell ref="P15:P16"/>
    <mergeCell ref="Q15:Q16"/>
    <mergeCell ref="C17:C19"/>
    <mergeCell ref="P17:P19"/>
    <mergeCell ref="Q17:Q19"/>
    <mergeCell ref="A11:A40"/>
    <mergeCell ref="B11:B19"/>
    <mergeCell ref="C11:C13"/>
    <mergeCell ref="C14:C16"/>
    <mergeCell ref="B20:B28"/>
    <mergeCell ref="C20:C22"/>
    <mergeCell ref="B29:B37"/>
    <mergeCell ref="N22:N23"/>
    <mergeCell ref="O22:O23"/>
    <mergeCell ref="C35:C37"/>
    <mergeCell ref="N36:N37"/>
    <mergeCell ref="O36:O37"/>
    <mergeCell ref="A1:F1"/>
    <mergeCell ref="G1:J1"/>
    <mergeCell ref="K1:L1"/>
    <mergeCell ref="A2:L2"/>
    <mergeCell ref="A3:F3"/>
    <mergeCell ref="G3:J3"/>
    <mergeCell ref="K3:L3"/>
    <mergeCell ref="A4:F4"/>
    <mergeCell ref="G4:J4"/>
    <mergeCell ref="K4:L4"/>
  </mergeCells>
  <phoneticPr fontId="13" type="noConversion"/>
  <conditionalFormatting sqref="F11:F37">
    <cfRule type="containsText" dxfId="75" priority="4" operator="containsText" text="P'SUP">
      <formula>NOT(ISERROR(SEARCH("P'SUP",F11)))</formula>
    </cfRule>
    <cfRule type="containsText" dxfId="74" priority="5" operator="containsText" text="P'NUT">
      <formula>NOT(ISERROR(SEARCH("P'NUT",F11)))</formula>
    </cfRule>
  </conditionalFormatting>
  <conditionalFormatting sqref="F11:F304">
    <cfRule type="containsText" dxfId="73" priority="6" operator="containsText" text="P'SUP">
      <formula>NOT(ISERROR(SEARCH("P'SUP",F11)))</formula>
    </cfRule>
  </conditionalFormatting>
  <conditionalFormatting sqref="F38:F304">
    <cfRule type="containsText" dxfId="72" priority="15" operator="containsText" text="P'NUT">
      <formula>NOT(ISERROR(SEARCH("P'NUT",F38)))</formula>
    </cfRule>
    <cfRule type="containsText" dxfId="71" priority="16" operator="containsText" text="P'SUP">
      <formula>NOT(ISERROR(SEARCH("P'SUP",F38)))</formula>
    </cfRule>
  </conditionalFormatting>
  <conditionalFormatting sqref="I11:I304">
    <cfRule type="cellIs" dxfId="70" priority="13" operator="greaterThan">
      <formula>0.85</formula>
    </cfRule>
    <cfRule type="cellIs" dxfId="69" priority="14" operator="lessThan">
      <formula>0.85</formula>
    </cfRule>
  </conditionalFormatting>
  <conditionalFormatting sqref="O25:O27">
    <cfRule type="cellIs" dxfId="68" priority="9" operator="lessThan">
      <formula>0.85</formula>
    </cfRule>
  </conditionalFormatting>
  <conditionalFormatting sqref="O38:O41">
    <cfRule type="cellIs" dxfId="67" priority="1" operator="lessThan">
      <formula>0.9</formula>
    </cfRule>
    <cfRule type="cellIs" dxfId="66" priority="2" operator="lessThan">
      <formula>0.85</formula>
    </cfRule>
  </conditionalFormatting>
  <conditionalFormatting sqref="O17:P19">
    <cfRule type="cellIs" dxfId="65" priority="12" operator="lessThan">
      <formula>0.85</formula>
    </cfRule>
  </conditionalFormatting>
  <conditionalFormatting sqref="O24:P24">
    <cfRule type="cellIs" dxfId="64" priority="11" operator="lessThan">
      <formula>0.85</formula>
    </cfRule>
  </conditionalFormatting>
  <conditionalFormatting sqref="O31:P31 O32:O34">
    <cfRule type="cellIs" dxfId="63" priority="10" operator="lessThan">
      <formula>0.85</formula>
    </cfRule>
  </conditionalFormatting>
  <conditionalFormatting sqref="P38">
    <cfRule type="cellIs" dxfId="62" priority="3" operator="lessThan">
      <formula>0.85</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044E076D-9E0D-4FB1-AB4F-CC93D4DF5EFD}">
          <x14:formula1>
            <xm:f>n!$A$2:$A$6</xm:f>
          </x14:formula1>
          <xm:sqref>P31 P24 P38</xm:sqref>
        </x14:dataValidation>
        <x14:dataValidation type="list" allowBlank="1" showInputMessage="1" showErrorMessage="1" xr:uid="{34388F6D-FB8D-41F5-93BD-D9034B9D1305}">
          <x14:formula1>
            <xm:f>n!$B$2:$B$4</xm:f>
          </x14:formula1>
          <xm:sqref>C11:C272 C275:C281 C284:C290 C293:C299 C302:C304</xm:sqref>
        </x14:dataValidation>
        <x14:dataValidation type="list" allowBlank="1" showInputMessage="1" showErrorMessage="1" xr:uid="{E4A37A36-8185-4C03-B7D1-3EDFA907F57C}">
          <x14:formula1>
            <xm:f>n!$A$8:$A$10</xm:f>
          </x14:formula1>
          <xm:sqref>F11:F304</xm:sqref>
        </x14:dataValidation>
        <x14:dataValidation type="list" allowBlank="1" showInputMessage="1" showErrorMessage="1" xr:uid="{1B8BECA6-74C5-4242-9702-32E641C8D976}">
          <x14:formula1>
            <xm:f>n!$A$1:$A$6</xm:f>
          </x14:formula1>
          <xm:sqref>D11:E304</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C8202-B5AE-40FA-B02D-2A141BFAAFBF}">
  <dimension ref="A1:Q295"/>
  <sheetViews>
    <sheetView topLeftCell="K21" zoomScale="80" zoomScaleNormal="80" workbookViewId="0">
      <selection activeCell="O47" sqref="O47"/>
    </sheetView>
  </sheetViews>
  <sheetFormatPr baseColWidth="10" defaultRowHeight="14.4"/>
  <cols>
    <col min="2" max="3" width="13.21875" customWidth="1"/>
    <col min="4" max="4" width="14.88671875" customWidth="1"/>
    <col min="5" max="5" width="14.33203125" customWidth="1"/>
    <col min="7" max="7" width="14.21875" customWidth="1"/>
    <col min="9" max="10" width="14.5546875" customWidth="1"/>
    <col min="11" max="11" width="30.21875" customWidth="1"/>
    <col min="12" max="12" width="30.44140625" customWidth="1"/>
    <col min="14" max="14" width="14.44140625" customWidth="1"/>
    <col min="15" max="15" width="16.77734375" customWidth="1"/>
    <col min="16" max="16" width="15.21875" customWidth="1"/>
    <col min="17" max="17" width="58.5546875" customWidth="1"/>
  </cols>
  <sheetData>
    <row r="1" spans="1:17" ht="38.4" customHeight="1">
      <c r="A1" s="201"/>
      <c r="B1" s="201"/>
      <c r="C1" s="201"/>
      <c r="D1" s="201"/>
      <c r="E1" s="201"/>
      <c r="F1" s="201"/>
      <c r="G1" s="201"/>
      <c r="H1" s="201"/>
      <c r="I1" s="201"/>
      <c r="J1" s="201"/>
      <c r="K1" s="246" t="s">
        <v>1228</v>
      </c>
      <c r="L1" s="246"/>
    </row>
    <row r="2" spans="1:17" ht="26.4" customHeight="1">
      <c r="A2" s="210" t="s">
        <v>1227</v>
      </c>
      <c r="B2" s="210"/>
      <c r="C2" s="210"/>
      <c r="D2" s="210"/>
      <c r="E2" s="210"/>
      <c r="F2" s="210"/>
      <c r="G2" s="210"/>
      <c r="H2" s="210"/>
      <c r="I2" s="210"/>
      <c r="J2" s="210"/>
      <c r="K2" s="210"/>
      <c r="L2" s="210"/>
    </row>
    <row r="3" spans="1:17" ht="26.4" customHeight="1">
      <c r="A3" s="221" t="s">
        <v>1210</v>
      </c>
      <c r="B3" s="222"/>
      <c r="C3" s="222"/>
      <c r="D3" s="222"/>
      <c r="E3" s="222"/>
      <c r="F3" s="222"/>
      <c r="G3" s="221" t="s">
        <v>1209</v>
      </c>
      <c r="H3" s="222"/>
      <c r="I3" s="222"/>
      <c r="J3" s="222"/>
      <c r="K3" s="247" t="s">
        <v>1230</v>
      </c>
      <c r="L3" s="247"/>
      <c r="N3" s="67"/>
    </row>
    <row r="4" spans="1:17" ht="63" customHeight="1">
      <c r="A4" s="221" t="s">
        <v>1224</v>
      </c>
      <c r="B4" s="222"/>
      <c r="C4" s="222"/>
      <c r="D4" s="222"/>
      <c r="E4" s="222"/>
      <c r="F4" s="222"/>
      <c r="G4" s="221" t="s">
        <v>1225</v>
      </c>
      <c r="H4" s="222"/>
      <c r="I4" s="222"/>
      <c r="J4" s="222"/>
      <c r="K4" s="221" t="s">
        <v>1226</v>
      </c>
      <c r="L4" s="221"/>
    </row>
    <row r="5" spans="1:17" ht="14.4" customHeight="1"/>
    <row r="6" spans="1:17" hidden="1"/>
    <row r="7" spans="1:17" hidden="1"/>
    <row r="8" spans="1:17" hidden="1"/>
    <row r="9" spans="1:17" ht="24.6" customHeight="1" thickBot="1"/>
    <row r="10" spans="1:17" ht="36.6" customHeight="1" thickTop="1" thickBot="1">
      <c r="A10" s="139" t="s">
        <v>1190</v>
      </c>
      <c r="B10" s="140" t="s">
        <v>1258</v>
      </c>
      <c r="C10" s="141" t="s">
        <v>1257</v>
      </c>
      <c r="D10" s="141" t="s">
        <v>1250</v>
      </c>
      <c r="E10" s="141" t="s">
        <v>1285</v>
      </c>
      <c r="F10" s="141" t="s">
        <v>1246</v>
      </c>
      <c r="G10" s="142" t="s">
        <v>1259</v>
      </c>
      <c r="H10" s="143" t="s">
        <v>1248</v>
      </c>
      <c r="I10" s="143" t="s">
        <v>1249</v>
      </c>
      <c r="J10" s="143" t="s">
        <v>1254</v>
      </c>
      <c r="K10" s="144" t="s">
        <v>1247</v>
      </c>
      <c r="L10" s="145" t="s">
        <v>1255</v>
      </c>
    </row>
    <row r="11" spans="1:17" ht="14.4" customHeight="1">
      <c r="A11" s="252"/>
      <c r="B11" s="251">
        <v>45901</v>
      </c>
      <c r="C11" s="243" t="s">
        <v>1198</v>
      </c>
      <c r="D11" s="110" t="s">
        <v>1201</v>
      </c>
      <c r="E11" s="156"/>
      <c r="F11" s="111" t="s">
        <v>1251</v>
      </c>
      <c r="G11" s="107"/>
      <c r="H11" s="108">
        <v>0.33333333333333331</v>
      </c>
      <c r="I11" s="109">
        <f>1-(G11/H11)</f>
        <v>1</v>
      </c>
      <c r="J11" s="109">
        <v>0.9</v>
      </c>
      <c r="K11" s="82"/>
      <c r="L11" s="82"/>
    </row>
    <row r="12" spans="1:17" ht="14.4" customHeight="1">
      <c r="A12" s="253"/>
      <c r="B12" s="244"/>
      <c r="C12" s="244"/>
      <c r="D12" s="110" t="s">
        <v>1201</v>
      </c>
      <c r="E12" s="156"/>
      <c r="F12" s="111" t="s">
        <v>1252</v>
      </c>
      <c r="G12" s="107"/>
      <c r="H12" s="108">
        <v>0.33333333333333331</v>
      </c>
      <c r="I12" s="109">
        <f>1-(G12/H12)</f>
        <v>1</v>
      </c>
      <c r="J12" s="109">
        <v>0.9</v>
      </c>
      <c r="K12" s="82"/>
      <c r="L12" s="82"/>
    </row>
    <row r="13" spans="1:17" ht="14.4" customHeight="1">
      <c r="A13" s="253"/>
      <c r="B13" s="244"/>
      <c r="C13" s="245"/>
      <c r="D13" s="110" t="s">
        <v>1201</v>
      </c>
      <c r="E13" s="157"/>
      <c r="F13" s="114" t="s">
        <v>1253</v>
      </c>
      <c r="G13" s="107"/>
      <c r="H13" s="108">
        <v>0.33333333333333298</v>
      </c>
      <c r="I13" s="109">
        <f t="shared" ref="I13:I64" si="0">1-(G13/H13)</f>
        <v>1</v>
      </c>
      <c r="J13" s="109">
        <v>0.9</v>
      </c>
      <c r="K13" s="82"/>
      <c r="L13" s="82"/>
    </row>
    <row r="14" spans="1:17" ht="14.4" customHeight="1">
      <c r="A14" s="253"/>
      <c r="B14" s="244"/>
      <c r="C14" s="248" t="s">
        <v>1196</v>
      </c>
      <c r="D14" s="132" t="s">
        <v>1191</v>
      </c>
      <c r="E14" s="158"/>
      <c r="F14" s="125" t="s">
        <v>1251</v>
      </c>
      <c r="G14" s="126"/>
      <c r="H14" s="127">
        <v>0.33333333333333298</v>
      </c>
      <c r="I14" s="134">
        <f t="shared" si="0"/>
        <v>1</v>
      </c>
      <c r="J14" s="134">
        <v>0.9</v>
      </c>
      <c r="K14" s="135"/>
      <c r="L14" s="136"/>
    </row>
    <row r="15" spans="1:17" ht="14.4" customHeight="1">
      <c r="A15" s="253"/>
      <c r="B15" s="244"/>
      <c r="C15" s="249"/>
      <c r="D15" s="132" t="s">
        <v>1191</v>
      </c>
      <c r="E15" s="158"/>
      <c r="F15" s="125" t="s">
        <v>1252</v>
      </c>
      <c r="G15" s="126"/>
      <c r="H15" s="127">
        <v>0.33333333333333298</v>
      </c>
      <c r="I15" s="134">
        <f t="shared" si="0"/>
        <v>1</v>
      </c>
      <c r="J15" s="134">
        <v>0.9</v>
      </c>
      <c r="K15" s="135"/>
      <c r="L15" s="136"/>
      <c r="N15" s="255" t="s">
        <v>1287</v>
      </c>
      <c r="O15" s="255" t="s">
        <v>1288</v>
      </c>
      <c r="P15" s="255" t="s">
        <v>1289</v>
      </c>
      <c r="Q15" s="255" t="s">
        <v>1290</v>
      </c>
    </row>
    <row r="16" spans="1:17" ht="14.4" customHeight="1">
      <c r="A16" s="253"/>
      <c r="B16" s="244"/>
      <c r="C16" s="250"/>
      <c r="D16" s="132" t="s">
        <v>1191</v>
      </c>
      <c r="E16" s="133"/>
      <c r="F16" s="128" t="s">
        <v>1253</v>
      </c>
      <c r="G16" s="126">
        <v>0.33333333333333331</v>
      </c>
      <c r="H16" s="127">
        <v>0.33333333333333331</v>
      </c>
      <c r="I16" s="134">
        <f t="shared" si="0"/>
        <v>0</v>
      </c>
      <c r="J16" s="134">
        <v>0.9</v>
      </c>
      <c r="K16" s="133" t="s">
        <v>1326</v>
      </c>
      <c r="L16" s="136"/>
      <c r="N16" s="255"/>
      <c r="O16" s="255"/>
      <c r="P16" s="255"/>
      <c r="Q16" s="255"/>
    </row>
    <row r="17" spans="1:17" ht="14.4" customHeight="1">
      <c r="A17" s="253"/>
      <c r="B17" s="244"/>
      <c r="C17" s="243" t="s">
        <v>1197</v>
      </c>
      <c r="D17" s="78" t="s">
        <v>1192</v>
      </c>
      <c r="E17" s="159"/>
      <c r="F17" s="111" t="s">
        <v>1251</v>
      </c>
      <c r="G17" s="107"/>
      <c r="H17" s="108">
        <v>0.33333333333333298</v>
      </c>
      <c r="I17" s="109">
        <f t="shared" si="0"/>
        <v>1</v>
      </c>
      <c r="J17" s="109">
        <v>0.9</v>
      </c>
      <c r="K17" s="82"/>
      <c r="L17" s="112"/>
      <c r="N17" s="161" t="s">
        <v>1251</v>
      </c>
      <c r="O17" s="162">
        <f>(I74+I140+I206+I272+I293)/5</f>
        <v>0.94365079365079363</v>
      </c>
      <c r="P17" s="254">
        <f>(O17+O18+O19)/3</f>
        <v>0.9321759259259258</v>
      </c>
      <c r="Q17" s="264" t="s">
        <v>1550</v>
      </c>
    </row>
    <row r="18" spans="1:17" ht="14.4" customHeight="1">
      <c r="A18" s="253"/>
      <c r="B18" s="244"/>
      <c r="C18" s="244"/>
      <c r="D18" s="78" t="s">
        <v>1192</v>
      </c>
      <c r="E18" s="159"/>
      <c r="F18" s="111" t="s">
        <v>1252</v>
      </c>
      <c r="G18" s="107"/>
      <c r="H18" s="108">
        <v>0.33333333333333298</v>
      </c>
      <c r="I18" s="109">
        <f t="shared" si="0"/>
        <v>1</v>
      </c>
      <c r="J18" s="109">
        <v>0.9</v>
      </c>
      <c r="K18" s="82"/>
      <c r="L18" s="82"/>
      <c r="N18" s="161" t="s">
        <v>1252</v>
      </c>
      <c r="O18" s="162">
        <f>(I75+I141+I207+I273+I294)/5</f>
        <v>0.9103174603174603</v>
      </c>
      <c r="P18" s="254"/>
      <c r="Q18" s="264"/>
    </row>
    <row r="19" spans="1:17" ht="15" customHeight="1" thickBot="1">
      <c r="A19" s="253"/>
      <c r="B19" s="245"/>
      <c r="C19" s="245"/>
      <c r="D19" s="78" t="s">
        <v>1192</v>
      </c>
      <c r="E19" s="113"/>
      <c r="F19" s="114" t="s">
        <v>1253</v>
      </c>
      <c r="G19" s="107">
        <v>0.33333333333333331</v>
      </c>
      <c r="H19" s="108">
        <v>0.33333333333333298</v>
      </c>
      <c r="I19" s="109">
        <f t="shared" si="0"/>
        <v>0</v>
      </c>
      <c r="J19" s="109">
        <v>0.9</v>
      </c>
      <c r="K19" s="82" t="s">
        <v>1326</v>
      </c>
      <c r="L19" s="82"/>
      <c r="N19" s="161" t="s">
        <v>1286</v>
      </c>
      <c r="O19" s="162">
        <f>(I76+I142+I208+I274+I295)/5</f>
        <v>0.94255952380952368</v>
      </c>
      <c r="P19" s="254"/>
      <c r="Q19" s="264"/>
    </row>
    <row r="20" spans="1:17" ht="14.4" customHeight="1">
      <c r="A20" s="253"/>
      <c r="B20" s="251">
        <v>45902</v>
      </c>
      <c r="C20" s="248" t="s">
        <v>1198</v>
      </c>
      <c r="D20" s="132" t="s">
        <v>1194</v>
      </c>
      <c r="E20" s="158"/>
      <c r="F20" s="125" t="s">
        <v>1251</v>
      </c>
      <c r="G20" s="126"/>
      <c r="H20" s="127">
        <v>0.33333333333333298</v>
      </c>
      <c r="I20" s="134">
        <f t="shared" si="0"/>
        <v>1</v>
      </c>
      <c r="J20" s="134">
        <v>0.9</v>
      </c>
      <c r="K20" s="135"/>
      <c r="L20" s="137"/>
    </row>
    <row r="21" spans="1:17" ht="14.4" customHeight="1">
      <c r="A21" s="253"/>
      <c r="B21" s="244"/>
      <c r="C21" s="249"/>
      <c r="D21" s="132" t="s">
        <v>1194</v>
      </c>
      <c r="E21" s="158"/>
      <c r="F21" s="125" t="s">
        <v>1252</v>
      </c>
      <c r="G21" s="126"/>
      <c r="H21" s="127">
        <v>0.33333333333333298</v>
      </c>
      <c r="I21" s="134">
        <f t="shared" si="0"/>
        <v>1</v>
      </c>
      <c r="J21" s="134">
        <v>0.9</v>
      </c>
      <c r="K21" s="135"/>
      <c r="L21" s="136"/>
    </row>
    <row r="22" spans="1:17" ht="14.4" customHeight="1">
      <c r="A22" s="253"/>
      <c r="B22" s="244"/>
      <c r="C22" s="250"/>
      <c r="D22" s="132" t="s">
        <v>1194</v>
      </c>
      <c r="E22" s="133"/>
      <c r="F22" s="128" t="s">
        <v>1253</v>
      </c>
      <c r="G22" s="126">
        <v>0.27083333333333331</v>
      </c>
      <c r="H22" s="127">
        <v>0.33333333333333298</v>
      </c>
      <c r="I22" s="134">
        <f t="shared" si="0"/>
        <v>0.18749999999999922</v>
      </c>
      <c r="J22" s="134">
        <v>0.9</v>
      </c>
      <c r="K22" s="133" t="s">
        <v>1326</v>
      </c>
      <c r="L22" s="136"/>
      <c r="N22" s="255" t="s">
        <v>1287</v>
      </c>
      <c r="O22" s="255" t="s">
        <v>1288</v>
      </c>
      <c r="P22" s="255" t="s">
        <v>1292</v>
      </c>
      <c r="Q22" s="255" t="s">
        <v>1290</v>
      </c>
    </row>
    <row r="23" spans="1:17" ht="14.4" customHeight="1">
      <c r="A23" s="253"/>
      <c r="B23" s="244"/>
      <c r="C23" s="243" t="s">
        <v>1196</v>
      </c>
      <c r="D23" s="78" t="s">
        <v>1193</v>
      </c>
      <c r="E23" s="159"/>
      <c r="F23" s="111" t="s">
        <v>1251</v>
      </c>
      <c r="G23" s="107"/>
      <c r="H23" s="108">
        <v>0.33333333333333298</v>
      </c>
      <c r="I23" s="109">
        <f t="shared" si="0"/>
        <v>1</v>
      </c>
      <c r="J23" s="109">
        <v>0.9</v>
      </c>
      <c r="K23" s="82"/>
      <c r="L23" s="112"/>
      <c r="N23" s="255"/>
      <c r="O23" s="255"/>
      <c r="P23" s="255"/>
      <c r="Q23" s="255"/>
    </row>
    <row r="24" spans="1:17" ht="14.4" customHeight="1">
      <c r="A24" s="253"/>
      <c r="B24" s="244"/>
      <c r="C24" s="244"/>
      <c r="D24" s="78" t="s">
        <v>1193</v>
      </c>
      <c r="E24" s="159"/>
      <c r="F24" s="111" t="s">
        <v>1252</v>
      </c>
      <c r="G24" s="107"/>
      <c r="H24" s="108">
        <v>0.33333333333333298</v>
      </c>
      <c r="I24" s="109">
        <f t="shared" si="0"/>
        <v>1</v>
      </c>
      <c r="J24" s="109">
        <v>0.9</v>
      </c>
      <c r="K24" s="82"/>
      <c r="L24" s="82"/>
      <c r="N24" s="161" t="s">
        <v>1251</v>
      </c>
      <c r="O24" s="162">
        <f>(AVERAGEIFS(I11:I64,D11:D64,P24,F11:F64,N24)+AVERAGEIFS(I77:I139,D77:D139,P24,F77:F139,N24)+AVERAGEIFS(I143:I205,D143:D205,P24,F143:F205,N24)+AVERAGEIFS(I209:I271,D209:D271,P24,F209:F271,N24)+AVERAGEIFS(I275:I292,D275:D292,P24,F275:F292,N24))/5</f>
        <v>0.93166666666666664</v>
      </c>
      <c r="P24" s="260" t="s">
        <v>1191</v>
      </c>
      <c r="Q24" s="259" t="s">
        <v>1552</v>
      </c>
    </row>
    <row r="25" spans="1:17" ht="14.4" customHeight="1">
      <c r="A25" s="253"/>
      <c r="B25" s="244"/>
      <c r="C25" s="245"/>
      <c r="D25" s="78" t="s">
        <v>1193</v>
      </c>
      <c r="E25" s="113"/>
      <c r="F25" s="114" t="s">
        <v>1253</v>
      </c>
      <c r="G25" s="107"/>
      <c r="H25" s="108">
        <v>0.33333333333333298</v>
      </c>
      <c r="I25" s="109">
        <f t="shared" si="0"/>
        <v>1</v>
      </c>
      <c r="J25" s="109">
        <v>0.9</v>
      </c>
      <c r="K25" s="82"/>
      <c r="L25" s="82"/>
      <c r="N25" s="161" t="s">
        <v>1252</v>
      </c>
      <c r="O25" s="162">
        <f>(AVERAGEIFS(I11:I64,D11:D64,P24,F11:F64,N25)+AVERAGEIFS(I77:I139,D77:D139,P24,F77:F139,N25)+AVERAGEIFS(I143:I205,D143:D205,P24,F143:F205,N25)+AVERAGEIFS(I209:I271,D209:D271,P24,F209:F271,N25)+AVERAGEIFS(I275:I292,D275:D292,P24,F275:F292,N25))/5</f>
        <v>0.83708333333333318</v>
      </c>
      <c r="P25" s="261"/>
      <c r="Q25" s="259"/>
    </row>
    <row r="26" spans="1:17" ht="14.4" customHeight="1">
      <c r="A26" s="253"/>
      <c r="B26" s="244"/>
      <c r="C26" s="248" t="s">
        <v>1197</v>
      </c>
      <c r="D26" s="132" t="s">
        <v>1191</v>
      </c>
      <c r="E26" s="158"/>
      <c r="F26" s="125" t="s">
        <v>1251</v>
      </c>
      <c r="G26" s="126">
        <v>0.16666666666666666</v>
      </c>
      <c r="H26" s="127">
        <v>0.33333333333333298</v>
      </c>
      <c r="I26" s="134">
        <f t="shared" si="0"/>
        <v>0.49999999999999944</v>
      </c>
      <c r="J26" s="134">
        <v>0.9</v>
      </c>
      <c r="K26" s="133" t="s">
        <v>1517</v>
      </c>
      <c r="L26" s="137"/>
      <c r="N26" s="161" t="s">
        <v>1253</v>
      </c>
      <c r="O26" s="162">
        <f>(AVERAGEIFS(I11:I64,D11:D64,P24,F11:F64,N26)+AVERAGEIFS(I77:I139,D77:D139,P24,F77:F139,N26)+AVERAGEIFS(I143:I205,D143:D205,P24,F143:F205,N26)+AVERAGEIFS(I209:I271,D209:D271,P24,F209:F271,N26)+AVERAGEIFS(I275:I292,D275:D292,P24,F275:F292,N26))/5</f>
        <v>0.91499999999999981</v>
      </c>
      <c r="P26" s="261"/>
      <c r="Q26" s="259"/>
    </row>
    <row r="27" spans="1:17" ht="14.4" customHeight="1">
      <c r="A27" s="253"/>
      <c r="B27" s="244"/>
      <c r="C27" s="249"/>
      <c r="D27" s="132" t="s">
        <v>1191</v>
      </c>
      <c r="E27" s="158"/>
      <c r="F27" s="129" t="s">
        <v>1252</v>
      </c>
      <c r="G27" s="126">
        <v>0.16666666666666666</v>
      </c>
      <c r="H27" s="127">
        <v>0.33333333333333298</v>
      </c>
      <c r="I27" s="134">
        <f t="shared" si="0"/>
        <v>0.49999999999999944</v>
      </c>
      <c r="J27" s="134">
        <v>0.9</v>
      </c>
      <c r="K27" s="133" t="s">
        <v>1534</v>
      </c>
      <c r="L27" s="136"/>
      <c r="N27" s="161" t="s">
        <v>1293</v>
      </c>
      <c r="O27" s="162">
        <f>(O24+O25+O26)/3</f>
        <v>0.89458333333333329</v>
      </c>
      <c r="P27" s="261"/>
      <c r="Q27" s="259"/>
    </row>
    <row r="28" spans="1:17" ht="14.4" customHeight="1" thickBot="1">
      <c r="A28" s="253"/>
      <c r="B28" s="245"/>
      <c r="C28" s="250"/>
      <c r="D28" s="132" t="s">
        <v>1191</v>
      </c>
      <c r="E28" s="133"/>
      <c r="F28" s="128" t="s">
        <v>1253</v>
      </c>
      <c r="G28" s="126">
        <v>0.16666666666666666</v>
      </c>
      <c r="H28" s="131">
        <v>0.33333333333333298</v>
      </c>
      <c r="I28" s="138">
        <f t="shared" si="0"/>
        <v>0.49999999999999944</v>
      </c>
      <c r="J28" s="134">
        <v>0.9</v>
      </c>
      <c r="K28" s="133" t="s">
        <v>1517</v>
      </c>
      <c r="L28" s="136"/>
    </row>
    <row r="29" spans="1:17" ht="15" customHeight="1">
      <c r="A29" s="253"/>
      <c r="B29" s="251">
        <v>45903</v>
      </c>
      <c r="C29" s="243" t="s">
        <v>1198</v>
      </c>
      <c r="D29" s="78" t="s">
        <v>1194</v>
      </c>
      <c r="E29" s="159"/>
      <c r="F29" s="111" t="s">
        <v>1251</v>
      </c>
      <c r="G29" s="107">
        <v>0.16666666666666666</v>
      </c>
      <c r="H29" s="108">
        <v>0.33333333333333298</v>
      </c>
      <c r="I29" s="109">
        <f t="shared" si="0"/>
        <v>0.49999999999999944</v>
      </c>
      <c r="J29" s="109">
        <v>0.9</v>
      </c>
      <c r="K29" s="82" t="s">
        <v>1517</v>
      </c>
      <c r="L29" s="112"/>
      <c r="N29" s="255" t="s">
        <v>1287</v>
      </c>
      <c r="O29" s="255" t="s">
        <v>1288</v>
      </c>
      <c r="P29" s="255" t="s">
        <v>1292</v>
      </c>
      <c r="Q29" s="255" t="s">
        <v>1290</v>
      </c>
    </row>
    <row r="30" spans="1:17" ht="15" customHeight="1">
      <c r="A30" s="253"/>
      <c r="B30" s="244"/>
      <c r="C30" s="244"/>
      <c r="D30" s="78" t="s">
        <v>1194</v>
      </c>
      <c r="E30" s="159"/>
      <c r="F30" s="106" t="s">
        <v>1252</v>
      </c>
      <c r="G30" s="107">
        <v>0.16666666666666666</v>
      </c>
      <c r="H30" s="108">
        <v>0.33333333333333298</v>
      </c>
      <c r="I30" s="109">
        <f t="shared" si="0"/>
        <v>0.49999999999999944</v>
      </c>
      <c r="J30" s="109">
        <v>0.9</v>
      </c>
      <c r="K30" s="82" t="s">
        <v>1535</v>
      </c>
      <c r="L30" s="82"/>
      <c r="N30" s="255"/>
      <c r="O30" s="255"/>
      <c r="P30" s="255"/>
      <c r="Q30" s="255"/>
    </row>
    <row r="31" spans="1:17" ht="15" customHeight="1">
      <c r="A31" s="253"/>
      <c r="B31" s="244"/>
      <c r="C31" s="245"/>
      <c r="D31" s="78" t="s">
        <v>1194</v>
      </c>
      <c r="E31" s="113"/>
      <c r="F31" s="114" t="s">
        <v>1253</v>
      </c>
      <c r="G31" s="107">
        <v>0.16666666666666666</v>
      </c>
      <c r="H31" s="108">
        <v>0.33333333333333298</v>
      </c>
      <c r="I31" s="109">
        <f t="shared" si="0"/>
        <v>0.49999999999999944</v>
      </c>
      <c r="J31" s="109">
        <v>0.9</v>
      </c>
      <c r="K31" s="82" t="s">
        <v>1536</v>
      </c>
      <c r="L31" s="82"/>
      <c r="N31" s="161" t="s">
        <v>1251</v>
      </c>
      <c r="O31" s="162">
        <f>(AVERAGEIFS(I11:I64,D11:D64,P31,F11:F64,N31)+AVERAGEIFS(I77:I139,D77:D139,P31,F77:F139,N31)+AVERAGEIFS(I143:I205,D143:D205,P31,F143:F205,N31)+AVERAGEIFS(I209:I271,D209:D271,P31,F209:F271,N31)+AVERAGEIFS(I275:I292,D275:D292,P31,F275:F292,N31))/5</f>
        <v>0.88937499999999992</v>
      </c>
      <c r="P31" s="254" t="s">
        <v>1194</v>
      </c>
      <c r="Q31" s="259" t="s">
        <v>1552</v>
      </c>
    </row>
    <row r="32" spans="1:17" ht="15" customHeight="1">
      <c r="A32" s="253"/>
      <c r="B32" s="244"/>
      <c r="C32" s="248" t="s">
        <v>1196</v>
      </c>
      <c r="D32" s="132" t="s">
        <v>1193</v>
      </c>
      <c r="E32" s="158"/>
      <c r="F32" s="125" t="s">
        <v>1251</v>
      </c>
      <c r="G32" s="126"/>
      <c r="H32" s="127">
        <v>0.33333333333333298</v>
      </c>
      <c r="I32" s="134">
        <f t="shared" si="0"/>
        <v>1</v>
      </c>
      <c r="J32" s="134">
        <v>0.9</v>
      </c>
      <c r="K32" s="135"/>
      <c r="L32" s="137"/>
      <c r="N32" s="161" t="s">
        <v>1252</v>
      </c>
      <c r="O32" s="162">
        <f>(AVERAGEIFS(I11:I64,D11:D64,P31,F11:F64,N32)+AVERAGEIFS(I77:I139,D77:D139,P31,F77:F139,N32)+AVERAGEIFS(I143:I205,D143:D205,P31,F143:F205,N32)+AVERAGEIFS(I209:I271,D209:D271,P31,F209:F271,N32)+AVERAGEIFS(I275:I292,D275:D292,P31,F275:F292,N32))/5</f>
        <v>0.83125000000000004</v>
      </c>
      <c r="P32" s="254"/>
      <c r="Q32" s="259"/>
    </row>
    <row r="33" spans="1:17" ht="15" customHeight="1">
      <c r="A33" s="253"/>
      <c r="B33" s="244"/>
      <c r="C33" s="249"/>
      <c r="D33" s="132" t="s">
        <v>1193</v>
      </c>
      <c r="E33" s="158"/>
      <c r="F33" s="129" t="s">
        <v>1252</v>
      </c>
      <c r="G33" s="126"/>
      <c r="H33" s="127">
        <v>0.33333333333333298</v>
      </c>
      <c r="I33" s="134">
        <f t="shared" si="0"/>
        <v>1</v>
      </c>
      <c r="J33" s="134">
        <v>0.9</v>
      </c>
      <c r="K33" s="135"/>
      <c r="L33" s="136"/>
      <c r="N33" s="161" t="s">
        <v>1253</v>
      </c>
      <c r="O33" s="162">
        <f>(AVERAGEIFS(I11:I64,D11:D64,P31,F11:F64,N33)+AVERAGEIFS(I77:I139,D77:D139,P31,F77:F139,N33)+AVERAGEIFS(I143:I205,D143:D205,P31,F143:F205,N33)+AVERAGEIFS(I209:I271,D209:D271,P31,F209:F271,N33)+AVERAGEIFS(I275:I292,D275:D292,P31,F275:F292,N33))/5</f>
        <v>0.92656249999999996</v>
      </c>
      <c r="P33" s="254"/>
      <c r="Q33" s="259"/>
    </row>
    <row r="34" spans="1:17" ht="15" customHeight="1">
      <c r="A34" s="253"/>
      <c r="B34" s="244"/>
      <c r="C34" s="250"/>
      <c r="D34" s="132" t="s">
        <v>1193</v>
      </c>
      <c r="E34" s="133"/>
      <c r="F34" s="128" t="s">
        <v>1253</v>
      </c>
      <c r="G34" s="126">
        <v>0.11458333333333333</v>
      </c>
      <c r="H34" s="127">
        <v>0.33333333333333298</v>
      </c>
      <c r="I34" s="134">
        <f t="shared" si="0"/>
        <v>0.65624999999999967</v>
      </c>
      <c r="J34" s="134">
        <v>0.9</v>
      </c>
      <c r="K34" s="133" t="s">
        <v>1307</v>
      </c>
      <c r="L34" s="136"/>
      <c r="N34" s="161" t="s">
        <v>1293</v>
      </c>
      <c r="O34" s="162">
        <f>(O31+O32+O33)/3</f>
        <v>0.88239583333333338</v>
      </c>
      <c r="P34" s="254"/>
      <c r="Q34" s="259"/>
    </row>
    <row r="35" spans="1:17" ht="15" customHeight="1">
      <c r="A35" s="253"/>
      <c r="B35" s="244"/>
      <c r="C35" s="243" t="s">
        <v>1197</v>
      </c>
      <c r="D35" s="78" t="s">
        <v>1191</v>
      </c>
      <c r="E35" s="159"/>
      <c r="F35" s="111" t="s">
        <v>1251</v>
      </c>
      <c r="G35" s="107"/>
      <c r="H35" s="108">
        <v>0.33333333333333298</v>
      </c>
      <c r="I35" s="109">
        <f t="shared" si="0"/>
        <v>1</v>
      </c>
      <c r="J35" s="109">
        <v>0.9</v>
      </c>
      <c r="K35" s="82"/>
      <c r="L35" s="112"/>
    </row>
    <row r="36" spans="1:17" ht="15" customHeight="1">
      <c r="A36" s="253"/>
      <c r="B36" s="244"/>
      <c r="C36" s="244"/>
      <c r="D36" s="78" t="s">
        <v>1191</v>
      </c>
      <c r="E36" s="159"/>
      <c r="F36" s="106" t="s">
        <v>1252</v>
      </c>
      <c r="G36" s="107"/>
      <c r="H36" s="108">
        <v>0.33333333333333298</v>
      </c>
      <c r="I36" s="109">
        <f t="shared" si="0"/>
        <v>1</v>
      </c>
      <c r="J36" s="109">
        <v>0.9</v>
      </c>
      <c r="K36" s="82"/>
      <c r="L36" s="82"/>
      <c r="N36" s="255" t="s">
        <v>1287</v>
      </c>
      <c r="O36" s="255" t="s">
        <v>1288</v>
      </c>
      <c r="P36" s="255" t="s">
        <v>1292</v>
      </c>
      <c r="Q36" s="255" t="s">
        <v>1290</v>
      </c>
    </row>
    <row r="37" spans="1:17" ht="15.6" customHeight="1" thickBot="1">
      <c r="A37" s="253"/>
      <c r="B37" s="245"/>
      <c r="C37" s="245"/>
      <c r="D37" s="78" t="s">
        <v>1191</v>
      </c>
      <c r="E37" s="113"/>
      <c r="F37" s="114" t="s">
        <v>1253</v>
      </c>
      <c r="G37" s="107"/>
      <c r="H37" s="108">
        <v>0.33333333333333298</v>
      </c>
      <c r="I37" s="109">
        <f t="shared" si="0"/>
        <v>1</v>
      </c>
      <c r="J37" s="109">
        <v>0.9</v>
      </c>
      <c r="K37" s="82"/>
      <c r="L37" s="82"/>
      <c r="N37" s="255"/>
      <c r="O37" s="255"/>
      <c r="P37" s="255"/>
      <c r="Q37" s="255"/>
    </row>
    <row r="38" spans="1:17" ht="15" customHeight="1">
      <c r="A38" s="253"/>
      <c r="B38" s="251">
        <v>45904</v>
      </c>
      <c r="C38" s="248" t="s">
        <v>1198</v>
      </c>
      <c r="D38" s="132" t="s">
        <v>1192</v>
      </c>
      <c r="E38" s="158"/>
      <c r="F38" s="125" t="s">
        <v>1251</v>
      </c>
      <c r="G38" s="126"/>
      <c r="H38" s="127">
        <v>0.33333333333333298</v>
      </c>
      <c r="I38" s="134">
        <f t="shared" si="0"/>
        <v>1</v>
      </c>
      <c r="J38" s="134">
        <v>0.9</v>
      </c>
      <c r="K38" s="135"/>
      <c r="L38" s="137"/>
      <c r="N38" s="161" t="s">
        <v>1251</v>
      </c>
      <c r="O38" s="162">
        <f>(AVERAGEIFS(I11:I64,D11:D64,P38,F11:F64,N38)+AVERAGEIFS(I77:I139,D77:D139,P38,F77:F139,N38)+AVERAGEIFS(I143:I205,D143:D205,P38,F143:F205,N38))/3</f>
        <v>0.98333333333333339</v>
      </c>
      <c r="P38" s="254" t="s">
        <v>1193</v>
      </c>
      <c r="Q38" s="259" t="s">
        <v>1551</v>
      </c>
    </row>
    <row r="39" spans="1:17" ht="15" customHeight="1">
      <c r="A39" s="253"/>
      <c r="B39" s="244"/>
      <c r="C39" s="249"/>
      <c r="D39" s="132" t="s">
        <v>1192</v>
      </c>
      <c r="E39" s="158"/>
      <c r="F39" s="129" t="s">
        <v>1252</v>
      </c>
      <c r="G39" s="126"/>
      <c r="H39" s="127">
        <v>0.33333333333333298</v>
      </c>
      <c r="I39" s="134">
        <f t="shared" si="0"/>
        <v>1</v>
      </c>
      <c r="J39" s="134">
        <v>0.9</v>
      </c>
      <c r="K39" s="135"/>
      <c r="L39" s="136"/>
      <c r="N39" s="161" t="s">
        <v>1252</v>
      </c>
      <c r="O39" s="162">
        <f>(AVERAGEIFS(I11:I64,D11:D64,P38,F11:F64,N39)+AVERAGEIFS(I77:I139,D77:D139,P38,F77:F139,N39)+AVERAGEIFS(I143:I205,D143:D205,P38,F143:F205,N39))/3</f>
        <v>0.98333333333333339</v>
      </c>
      <c r="P39" s="254"/>
      <c r="Q39" s="259"/>
    </row>
    <row r="40" spans="1:17" ht="15" customHeight="1">
      <c r="A40" s="253"/>
      <c r="B40" s="244"/>
      <c r="C40" s="250"/>
      <c r="D40" s="132" t="s">
        <v>1192</v>
      </c>
      <c r="E40" s="133"/>
      <c r="F40" s="128" t="s">
        <v>1253</v>
      </c>
      <c r="G40" s="126"/>
      <c r="H40" s="127">
        <v>0.33333333333333298</v>
      </c>
      <c r="I40" s="134">
        <f t="shared" si="0"/>
        <v>1</v>
      </c>
      <c r="J40" s="134">
        <v>0.9</v>
      </c>
      <c r="K40" s="135"/>
      <c r="L40" s="136"/>
      <c r="N40" s="161" t="s">
        <v>1253</v>
      </c>
      <c r="O40" s="162">
        <f>(AVERAGEIFS(I11:I64,D11:D64,P38,F11:F64,N40)+AVERAGEIFS(I77:I139,D77:D139,P38,F77:F139,N40)+AVERAGEIFS(I143:I205,D143:D205,P38,F143:F205,N40))/3</f>
        <v>0.94513888888888875</v>
      </c>
      <c r="P40" s="254"/>
      <c r="Q40" s="259"/>
    </row>
    <row r="41" spans="1:17" ht="15" customHeight="1">
      <c r="A41" s="253"/>
      <c r="B41" s="244"/>
      <c r="C41" s="243" t="s">
        <v>1196</v>
      </c>
      <c r="D41" s="78" t="s">
        <v>1194</v>
      </c>
      <c r="E41" s="159"/>
      <c r="F41" s="111" t="s">
        <v>1251</v>
      </c>
      <c r="G41" s="107"/>
      <c r="H41" s="108">
        <v>0.33333333333333298</v>
      </c>
      <c r="I41" s="109">
        <f t="shared" si="0"/>
        <v>1</v>
      </c>
      <c r="J41" s="109">
        <v>0.9</v>
      </c>
      <c r="K41" s="82"/>
      <c r="L41" s="112"/>
      <c r="N41" s="161" t="s">
        <v>1293</v>
      </c>
      <c r="O41" s="162">
        <f>(O38+O39+O40)/3</f>
        <v>0.97060185185185188</v>
      </c>
      <c r="P41" s="254"/>
      <c r="Q41" s="259"/>
    </row>
    <row r="42" spans="1:17" ht="15" customHeight="1">
      <c r="A42" s="253"/>
      <c r="B42" s="244"/>
      <c r="C42" s="244"/>
      <c r="D42" s="78" t="s">
        <v>1194</v>
      </c>
      <c r="E42" s="159"/>
      <c r="F42" s="106" t="s">
        <v>1252</v>
      </c>
      <c r="G42" s="107"/>
      <c r="H42" s="108">
        <v>0.33333333333333298</v>
      </c>
      <c r="I42" s="109">
        <f t="shared" si="0"/>
        <v>1</v>
      </c>
      <c r="J42" s="109">
        <v>0.9</v>
      </c>
      <c r="K42" s="82"/>
      <c r="L42" s="82"/>
    </row>
    <row r="43" spans="1:17" ht="15" customHeight="1">
      <c r="A43" s="253"/>
      <c r="B43" s="244"/>
      <c r="C43" s="245"/>
      <c r="D43" s="78" t="s">
        <v>1194</v>
      </c>
      <c r="E43" s="113"/>
      <c r="F43" s="114" t="s">
        <v>1253</v>
      </c>
      <c r="G43" s="107">
        <v>3.125E-2</v>
      </c>
      <c r="H43" s="108">
        <v>0.33333333333333298</v>
      </c>
      <c r="I43" s="109">
        <f t="shared" si="0"/>
        <v>0.90624999999999989</v>
      </c>
      <c r="J43" s="109">
        <v>0.9</v>
      </c>
      <c r="K43" s="82" t="s">
        <v>1326</v>
      </c>
      <c r="L43" s="82"/>
      <c r="N43" s="255" t="s">
        <v>1287</v>
      </c>
      <c r="O43" s="255" t="s">
        <v>1288</v>
      </c>
      <c r="P43" s="255" t="s">
        <v>1292</v>
      </c>
      <c r="Q43" s="255" t="s">
        <v>1290</v>
      </c>
    </row>
    <row r="44" spans="1:17" ht="15" customHeight="1">
      <c r="A44" s="253"/>
      <c r="B44" s="244"/>
      <c r="C44" s="248" t="s">
        <v>1197</v>
      </c>
      <c r="D44" s="132" t="s">
        <v>1193</v>
      </c>
      <c r="E44" s="158"/>
      <c r="F44" s="125" t="s">
        <v>1251</v>
      </c>
      <c r="G44" s="126"/>
      <c r="H44" s="127">
        <v>0.33333333333333298</v>
      </c>
      <c r="I44" s="134">
        <f t="shared" si="0"/>
        <v>1</v>
      </c>
      <c r="J44" s="134">
        <v>0.9</v>
      </c>
      <c r="K44" s="135"/>
      <c r="L44" s="137"/>
      <c r="N44" s="255"/>
      <c r="O44" s="255"/>
      <c r="P44" s="255"/>
      <c r="Q44" s="255"/>
    </row>
    <row r="45" spans="1:17" ht="15" customHeight="1">
      <c r="A45" s="253"/>
      <c r="B45" s="244"/>
      <c r="C45" s="249"/>
      <c r="D45" s="132" t="s">
        <v>1193</v>
      </c>
      <c r="E45" s="158"/>
      <c r="F45" s="129" t="s">
        <v>1252</v>
      </c>
      <c r="G45" s="126"/>
      <c r="H45" s="127">
        <v>0.33333333333333298</v>
      </c>
      <c r="I45" s="134">
        <f t="shared" si="0"/>
        <v>1</v>
      </c>
      <c r="J45" s="134">
        <v>0.9</v>
      </c>
      <c r="K45" s="135"/>
      <c r="L45" s="136"/>
      <c r="N45" s="161" t="s">
        <v>1251</v>
      </c>
      <c r="O45" s="162">
        <f>(AVERAGEIFS(I11:I64,D11:D64,P45,F11:F64,N45)+AVERAGEIFS(I77:I139,D77:D139,P45,F77:F139,N45)+AVERAGEIFS(I143:I205,D143:D205,P45,F143:F205,N45))/3</f>
        <v>1</v>
      </c>
      <c r="P45" s="254" t="s">
        <v>1192</v>
      </c>
      <c r="Q45" s="259" t="s">
        <v>1553</v>
      </c>
    </row>
    <row r="46" spans="1:17" ht="15.6" customHeight="1" thickBot="1">
      <c r="A46" s="253"/>
      <c r="B46" s="245"/>
      <c r="C46" s="250"/>
      <c r="D46" s="132" t="s">
        <v>1193</v>
      </c>
      <c r="E46" s="133"/>
      <c r="F46" s="128" t="s">
        <v>1253</v>
      </c>
      <c r="G46" s="126"/>
      <c r="H46" s="127">
        <v>0.33333333333333298</v>
      </c>
      <c r="I46" s="134">
        <f t="shared" si="0"/>
        <v>1</v>
      </c>
      <c r="J46" s="134">
        <v>0.9</v>
      </c>
      <c r="K46" s="135"/>
      <c r="L46" s="136"/>
      <c r="N46" s="161" t="s">
        <v>1252</v>
      </c>
      <c r="O46" s="162">
        <f>(AVERAGEIFS(I11:I64,D11:D64,P45,F11:F64,N46)+AVERAGEIFS(I77:I139,D77:D139,P45,F77:F139,N46)+AVERAGEIFS(I143:I205,D143:D205,P45,F143:F205,N46))/3</f>
        <v>1</v>
      </c>
      <c r="P46" s="254"/>
      <c r="Q46" s="259"/>
    </row>
    <row r="47" spans="1:17" ht="15" customHeight="1">
      <c r="A47" s="253"/>
      <c r="B47" s="251">
        <v>45905</v>
      </c>
      <c r="C47" s="243" t="s">
        <v>1198</v>
      </c>
      <c r="D47" s="78"/>
      <c r="E47" s="159"/>
      <c r="F47" s="111" t="s">
        <v>1251</v>
      </c>
      <c r="G47" s="107"/>
      <c r="H47" s="108">
        <v>0.33333333333333298</v>
      </c>
      <c r="I47" s="109">
        <f t="shared" si="0"/>
        <v>1</v>
      </c>
      <c r="J47" s="109">
        <v>0.9</v>
      </c>
      <c r="K47" s="82" t="s">
        <v>1464</v>
      </c>
      <c r="L47" s="112"/>
      <c r="N47" s="161" t="s">
        <v>1253</v>
      </c>
      <c r="O47" s="162">
        <f>(AVERAGEIFS(I11:I64,D11:D64,P45,F11:F64,N47)+AVERAGEIFS(I77:I139,D77:D139,P45,F77:F139,N47)+AVERAGEIFS(I143:I205,D143:D205,P45,F143:F205,N47))/3</f>
        <v>0.88888888888888884</v>
      </c>
      <c r="P47" s="254"/>
      <c r="Q47" s="259"/>
    </row>
    <row r="48" spans="1:17" ht="15" customHeight="1">
      <c r="A48" s="253"/>
      <c r="B48" s="244"/>
      <c r="C48" s="244"/>
      <c r="D48" s="78"/>
      <c r="E48" s="159"/>
      <c r="F48" s="106" t="s">
        <v>1252</v>
      </c>
      <c r="G48" s="107"/>
      <c r="H48" s="108">
        <v>0.33333333333333298</v>
      </c>
      <c r="I48" s="109">
        <f t="shared" si="0"/>
        <v>1</v>
      </c>
      <c r="J48" s="109">
        <v>0.9</v>
      </c>
      <c r="K48" s="82" t="s">
        <v>1464</v>
      </c>
      <c r="L48" s="82"/>
      <c r="N48" s="161" t="s">
        <v>1293</v>
      </c>
      <c r="O48" s="162">
        <f>(O45+O46+O47)/3</f>
        <v>0.96296296296296291</v>
      </c>
      <c r="P48" s="254"/>
      <c r="Q48" s="259"/>
    </row>
    <row r="49" spans="1:12" ht="15" customHeight="1">
      <c r="A49" s="253"/>
      <c r="B49" s="244"/>
      <c r="C49" s="245"/>
      <c r="D49" s="78"/>
      <c r="E49" s="113"/>
      <c r="F49" s="114" t="s">
        <v>1253</v>
      </c>
      <c r="G49" s="107"/>
      <c r="H49" s="108">
        <v>0.33333333333333298</v>
      </c>
      <c r="I49" s="109">
        <f t="shared" si="0"/>
        <v>1</v>
      </c>
      <c r="J49" s="109">
        <v>0.9</v>
      </c>
      <c r="K49" s="82" t="s">
        <v>1464</v>
      </c>
      <c r="L49" s="82"/>
    </row>
    <row r="50" spans="1:12" ht="15" customHeight="1">
      <c r="A50" s="253"/>
      <c r="B50" s="244"/>
      <c r="C50" s="248" t="s">
        <v>1196</v>
      </c>
      <c r="D50" s="132"/>
      <c r="E50" s="158"/>
      <c r="F50" s="125" t="s">
        <v>1251</v>
      </c>
      <c r="G50" s="126"/>
      <c r="H50" s="127">
        <v>0.33333333333333298</v>
      </c>
      <c r="I50" s="134">
        <f t="shared" si="0"/>
        <v>1</v>
      </c>
      <c r="J50" s="134">
        <v>0.9</v>
      </c>
      <c r="K50" s="135" t="s">
        <v>1464</v>
      </c>
      <c r="L50" s="137"/>
    </row>
    <row r="51" spans="1:12" ht="15" customHeight="1">
      <c r="A51" s="253"/>
      <c r="B51" s="244"/>
      <c r="C51" s="249"/>
      <c r="D51" s="132"/>
      <c r="E51" s="158"/>
      <c r="F51" s="129" t="s">
        <v>1252</v>
      </c>
      <c r="G51" s="126"/>
      <c r="H51" s="127">
        <v>0.33333333333333298</v>
      </c>
      <c r="I51" s="134">
        <f t="shared" si="0"/>
        <v>1</v>
      </c>
      <c r="J51" s="134">
        <v>0.9</v>
      </c>
      <c r="K51" s="135" t="s">
        <v>1464</v>
      </c>
      <c r="L51" s="136"/>
    </row>
    <row r="52" spans="1:12" ht="15" customHeight="1">
      <c r="A52" s="253"/>
      <c r="B52" s="244"/>
      <c r="C52" s="250"/>
      <c r="D52" s="132"/>
      <c r="E52" s="133"/>
      <c r="F52" s="128" t="s">
        <v>1253</v>
      </c>
      <c r="G52" s="127"/>
      <c r="H52" s="127">
        <v>0.33333333333333298</v>
      </c>
      <c r="I52" s="134">
        <f t="shared" si="0"/>
        <v>1</v>
      </c>
      <c r="J52" s="134">
        <v>0.9</v>
      </c>
      <c r="K52" s="135" t="s">
        <v>1464</v>
      </c>
      <c r="L52" s="136"/>
    </row>
    <row r="53" spans="1:12" ht="15" customHeight="1">
      <c r="A53" s="253"/>
      <c r="B53" s="244"/>
      <c r="C53" s="243" t="s">
        <v>1197</v>
      </c>
      <c r="D53" s="78"/>
      <c r="E53" s="159"/>
      <c r="F53" s="111" t="s">
        <v>1251</v>
      </c>
      <c r="G53" s="108"/>
      <c r="H53" s="108">
        <v>0.33333333333333298</v>
      </c>
      <c r="I53" s="109">
        <f t="shared" si="0"/>
        <v>1</v>
      </c>
      <c r="J53" s="109">
        <v>0.9</v>
      </c>
      <c r="K53" s="82" t="s">
        <v>1464</v>
      </c>
      <c r="L53" s="82"/>
    </row>
    <row r="54" spans="1:12" ht="15" customHeight="1">
      <c r="A54" s="253"/>
      <c r="B54" s="244"/>
      <c r="C54" s="244"/>
      <c r="D54" s="78"/>
      <c r="E54" s="159"/>
      <c r="F54" s="106" t="s">
        <v>1252</v>
      </c>
      <c r="G54" s="108"/>
      <c r="H54" s="108">
        <v>0.33333333333333298</v>
      </c>
      <c r="I54" s="109">
        <f t="shared" si="0"/>
        <v>1</v>
      </c>
      <c r="J54" s="109">
        <v>0.9</v>
      </c>
      <c r="K54" s="82" t="s">
        <v>1464</v>
      </c>
      <c r="L54" s="82"/>
    </row>
    <row r="55" spans="1:12" ht="15.6" customHeight="1" thickBot="1">
      <c r="A55" s="253"/>
      <c r="B55" s="245"/>
      <c r="C55" s="245"/>
      <c r="D55" s="78"/>
      <c r="E55" s="113"/>
      <c r="F55" s="114" t="s">
        <v>1253</v>
      </c>
      <c r="G55" s="108"/>
      <c r="H55" s="123">
        <v>0.33333333333333298</v>
      </c>
      <c r="I55" s="109">
        <f t="shared" si="0"/>
        <v>1</v>
      </c>
      <c r="J55" s="109">
        <v>0.9</v>
      </c>
      <c r="K55" s="82" t="s">
        <v>1464</v>
      </c>
      <c r="L55" s="82"/>
    </row>
    <row r="56" spans="1:12" ht="15.6" customHeight="1">
      <c r="A56" s="253"/>
      <c r="B56" s="251">
        <v>45906</v>
      </c>
      <c r="C56" s="243" t="s">
        <v>1198</v>
      </c>
      <c r="D56" s="78" t="s">
        <v>1192</v>
      </c>
      <c r="E56" s="159"/>
      <c r="F56" s="111" t="s">
        <v>1251</v>
      </c>
      <c r="G56" s="108"/>
      <c r="H56" s="108">
        <v>0.33333333333333298</v>
      </c>
      <c r="I56" s="109">
        <f t="shared" si="0"/>
        <v>1</v>
      </c>
      <c r="J56" s="109">
        <v>0.9</v>
      </c>
      <c r="K56" s="82"/>
      <c r="L56" s="112"/>
    </row>
    <row r="57" spans="1:12" ht="15.6" customHeight="1">
      <c r="A57" s="253"/>
      <c r="B57" s="244"/>
      <c r="C57" s="244"/>
      <c r="D57" s="78" t="s">
        <v>1192</v>
      </c>
      <c r="E57" s="159"/>
      <c r="F57" s="106" t="s">
        <v>1252</v>
      </c>
      <c r="G57" s="108"/>
      <c r="H57" s="108">
        <v>0.33333333333333298</v>
      </c>
      <c r="I57" s="109">
        <f t="shared" si="0"/>
        <v>1</v>
      </c>
      <c r="J57" s="109">
        <v>0.9</v>
      </c>
      <c r="K57" s="82"/>
      <c r="L57" s="82"/>
    </row>
    <row r="58" spans="1:12" ht="15.6" customHeight="1">
      <c r="A58" s="253"/>
      <c r="B58" s="244"/>
      <c r="C58" s="245"/>
      <c r="D58" s="78" t="s">
        <v>1192</v>
      </c>
      <c r="E58" s="113"/>
      <c r="F58" s="114" t="s">
        <v>1253</v>
      </c>
      <c r="G58" s="108"/>
      <c r="H58" s="123">
        <v>0.33333333333333298</v>
      </c>
      <c r="I58" s="109">
        <f t="shared" si="0"/>
        <v>1</v>
      </c>
      <c r="J58" s="109">
        <v>0.9</v>
      </c>
      <c r="K58" s="82"/>
      <c r="L58" s="82"/>
    </row>
    <row r="59" spans="1:12" ht="15.6" customHeight="1">
      <c r="A59" s="253"/>
      <c r="B59" s="244"/>
      <c r="C59" s="248" t="s">
        <v>1196</v>
      </c>
      <c r="D59" s="132" t="s">
        <v>1191</v>
      </c>
      <c r="E59" s="158"/>
      <c r="F59" s="125" t="s">
        <v>1251</v>
      </c>
      <c r="G59" s="126"/>
      <c r="H59" s="108">
        <v>0.33333333333333298</v>
      </c>
      <c r="I59" s="109">
        <f t="shared" si="0"/>
        <v>1</v>
      </c>
      <c r="J59" s="134">
        <v>0.9</v>
      </c>
      <c r="K59" s="135"/>
      <c r="L59" s="137"/>
    </row>
    <row r="60" spans="1:12" ht="15.6" customHeight="1">
      <c r="A60" s="253"/>
      <c r="B60" s="244"/>
      <c r="C60" s="249"/>
      <c r="D60" s="132" t="s">
        <v>1191</v>
      </c>
      <c r="E60" s="158"/>
      <c r="F60" s="129" t="s">
        <v>1252</v>
      </c>
      <c r="G60" s="126"/>
      <c r="H60" s="108">
        <v>0.33333333333333298</v>
      </c>
      <c r="I60" s="109">
        <f t="shared" si="0"/>
        <v>1</v>
      </c>
      <c r="J60" s="134">
        <v>0.9</v>
      </c>
      <c r="K60" s="135"/>
      <c r="L60" s="136"/>
    </row>
    <row r="61" spans="1:12" ht="15.6" customHeight="1">
      <c r="A61" s="253"/>
      <c r="B61" s="244"/>
      <c r="C61" s="250"/>
      <c r="D61" s="132" t="s">
        <v>1191</v>
      </c>
      <c r="E61" s="133"/>
      <c r="F61" s="128" t="s">
        <v>1253</v>
      </c>
      <c r="G61" s="126"/>
      <c r="H61" s="123">
        <v>0.33333333333333298</v>
      </c>
      <c r="I61" s="109">
        <f t="shared" si="0"/>
        <v>1</v>
      </c>
      <c r="J61" s="134">
        <v>0.9</v>
      </c>
      <c r="K61" s="135"/>
      <c r="L61" s="136"/>
    </row>
    <row r="62" spans="1:12" ht="15.6" customHeight="1">
      <c r="A62" s="253"/>
      <c r="B62" s="244"/>
      <c r="C62" s="243" t="s">
        <v>1197</v>
      </c>
      <c r="D62" s="78" t="s">
        <v>1194</v>
      </c>
      <c r="E62" s="159"/>
      <c r="F62" s="111" t="s">
        <v>1251</v>
      </c>
      <c r="G62" s="107"/>
      <c r="H62" s="108">
        <v>0.33333333333333298</v>
      </c>
      <c r="I62" s="109">
        <f t="shared" si="0"/>
        <v>1</v>
      </c>
      <c r="J62" s="109">
        <v>0.9</v>
      </c>
      <c r="K62" s="82"/>
      <c r="L62" s="82"/>
    </row>
    <row r="63" spans="1:12" ht="15.6" customHeight="1">
      <c r="A63" s="253"/>
      <c r="B63" s="244"/>
      <c r="C63" s="244"/>
      <c r="D63" s="78" t="s">
        <v>1194</v>
      </c>
      <c r="E63" s="159"/>
      <c r="F63" s="106" t="s">
        <v>1252</v>
      </c>
      <c r="G63" s="107"/>
      <c r="H63" s="108">
        <v>0.33333333333333298</v>
      </c>
      <c r="I63" s="109">
        <f t="shared" si="0"/>
        <v>1</v>
      </c>
      <c r="J63" s="109">
        <v>0.9</v>
      </c>
      <c r="K63" s="82"/>
      <c r="L63" s="82"/>
    </row>
    <row r="64" spans="1:12" ht="15.6" customHeight="1" thickBot="1">
      <c r="A64" s="253"/>
      <c r="B64" s="245"/>
      <c r="C64" s="245"/>
      <c r="D64" s="78" t="s">
        <v>1194</v>
      </c>
      <c r="E64" s="113"/>
      <c r="F64" s="114" t="s">
        <v>1253</v>
      </c>
      <c r="G64" s="107">
        <v>2.0833333333333332E-2</v>
      </c>
      <c r="H64" s="123">
        <v>0.33333333333333331</v>
      </c>
      <c r="I64" s="109">
        <f t="shared" si="0"/>
        <v>0.9375</v>
      </c>
      <c r="J64" s="109">
        <v>0.9</v>
      </c>
      <c r="K64" s="82" t="s">
        <v>1326</v>
      </c>
      <c r="L64" s="82"/>
    </row>
    <row r="65" spans="1:12" ht="15.6" customHeight="1">
      <c r="A65" s="253"/>
      <c r="B65" s="251">
        <v>45907</v>
      </c>
      <c r="C65" s="243" t="s">
        <v>1198</v>
      </c>
      <c r="D65" s="78" t="s">
        <v>1191</v>
      </c>
      <c r="E65" s="159"/>
      <c r="F65" s="111" t="s">
        <v>1251</v>
      </c>
      <c r="G65" s="108"/>
      <c r="H65" s="108">
        <v>0.33333333333333298</v>
      </c>
      <c r="I65" s="109">
        <f t="shared" ref="I65:I73" si="1">1-(G65/H65)</f>
        <v>1</v>
      </c>
      <c r="J65" s="109">
        <v>0.9</v>
      </c>
      <c r="K65" s="82"/>
      <c r="L65" s="112"/>
    </row>
    <row r="66" spans="1:12" ht="15.6" customHeight="1">
      <c r="A66" s="253"/>
      <c r="B66" s="244"/>
      <c r="C66" s="244"/>
      <c r="D66" s="78" t="s">
        <v>1191</v>
      </c>
      <c r="E66" s="159"/>
      <c r="F66" s="106" t="s">
        <v>1252</v>
      </c>
      <c r="G66" s="108"/>
      <c r="H66" s="108">
        <v>0.33333333333333298</v>
      </c>
      <c r="I66" s="109">
        <f t="shared" si="1"/>
        <v>1</v>
      </c>
      <c r="J66" s="109">
        <v>0.9</v>
      </c>
      <c r="K66" s="82"/>
      <c r="L66" s="82"/>
    </row>
    <row r="67" spans="1:12" ht="15.6" customHeight="1">
      <c r="A67" s="253"/>
      <c r="B67" s="244"/>
      <c r="C67" s="245"/>
      <c r="D67" s="78" t="s">
        <v>1191</v>
      </c>
      <c r="E67" s="113"/>
      <c r="F67" s="114" t="s">
        <v>1253</v>
      </c>
      <c r="G67" s="108"/>
      <c r="H67" s="123">
        <v>0.33333333333333298</v>
      </c>
      <c r="I67" s="109">
        <f t="shared" si="1"/>
        <v>1</v>
      </c>
      <c r="J67" s="109">
        <v>0.9</v>
      </c>
      <c r="K67" s="82"/>
      <c r="L67" s="82"/>
    </row>
    <row r="68" spans="1:12" ht="15.6" customHeight="1">
      <c r="A68" s="253"/>
      <c r="B68" s="244"/>
      <c r="C68" s="248" t="s">
        <v>1196</v>
      </c>
      <c r="D68" s="132" t="s">
        <v>1192</v>
      </c>
      <c r="E68" s="158"/>
      <c r="F68" s="125" t="s">
        <v>1251</v>
      </c>
      <c r="G68" s="126"/>
      <c r="H68" s="108">
        <v>0.33333333333333298</v>
      </c>
      <c r="I68" s="109">
        <f t="shared" si="1"/>
        <v>1</v>
      </c>
      <c r="J68" s="134">
        <v>0.9</v>
      </c>
      <c r="K68" s="135"/>
      <c r="L68" s="137"/>
    </row>
    <row r="69" spans="1:12" ht="15.6" customHeight="1">
      <c r="A69" s="253"/>
      <c r="B69" s="244"/>
      <c r="C69" s="249"/>
      <c r="D69" s="132" t="s">
        <v>1192</v>
      </c>
      <c r="E69" s="158"/>
      <c r="F69" s="129" t="s">
        <v>1252</v>
      </c>
      <c r="G69" s="126"/>
      <c r="H69" s="108">
        <v>0.33333333333333298</v>
      </c>
      <c r="I69" s="109">
        <f t="shared" si="1"/>
        <v>1</v>
      </c>
      <c r="J69" s="134">
        <v>0.9</v>
      </c>
      <c r="K69" s="135"/>
      <c r="L69" s="136"/>
    </row>
    <row r="70" spans="1:12" ht="15.6" customHeight="1">
      <c r="A70" s="253"/>
      <c r="B70" s="244"/>
      <c r="C70" s="250"/>
      <c r="D70" s="132" t="s">
        <v>1192</v>
      </c>
      <c r="E70" s="133"/>
      <c r="F70" s="128" t="s">
        <v>1253</v>
      </c>
      <c r="G70" s="126"/>
      <c r="H70" s="123">
        <v>0.33333333333333298</v>
      </c>
      <c r="I70" s="109">
        <f t="shared" si="1"/>
        <v>1</v>
      </c>
      <c r="J70" s="134">
        <v>0.9</v>
      </c>
      <c r="K70" s="135"/>
      <c r="L70" s="136"/>
    </row>
    <row r="71" spans="1:12" ht="15.6" customHeight="1">
      <c r="A71" s="253"/>
      <c r="B71" s="244"/>
      <c r="C71" s="243" t="s">
        <v>1197</v>
      </c>
      <c r="D71" s="78"/>
      <c r="E71" s="159"/>
      <c r="F71" s="111" t="s">
        <v>1251</v>
      </c>
      <c r="G71" s="107"/>
      <c r="H71" s="108">
        <v>0.33333333333333298</v>
      </c>
      <c r="I71" s="109">
        <f t="shared" si="1"/>
        <v>1</v>
      </c>
      <c r="J71" s="109">
        <v>0.9</v>
      </c>
      <c r="K71" s="82"/>
      <c r="L71" s="82"/>
    </row>
    <row r="72" spans="1:12" ht="15.6" customHeight="1">
      <c r="A72" s="253"/>
      <c r="B72" s="244"/>
      <c r="C72" s="244"/>
      <c r="D72" s="78"/>
      <c r="E72" s="159"/>
      <c r="F72" s="106" t="s">
        <v>1252</v>
      </c>
      <c r="G72" s="107"/>
      <c r="H72" s="108">
        <v>0.33333333333333298</v>
      </c>
      <c r="I72" s="109">
        <f t="shared" si="1"/>
        <v>1</v>
      </c>
      <c r="J72" s="109">
        <v>0.9</v>
      </c>
      <c r="K72" s="82"/>
      <c r="L72" s="82"/>
    </row>
    <row r="73" spans="1:12" ht="15.6" customHeight="1">
      <c r="A73" s="253"/>
      <c r="B73" s="245"/>
      <c r="C73" s="245"/>
      <c r="D73" s="78"/>
      <c r="E73" s="113"/>
      <c r="F73" s="114" t="s">
        <v>1253</v>
      </c>
      <c r="G73" s="107"/>
      <c r="H73" s="123">
        <v>0.33333333333333331</v>
      </c>
      <c r="I73" s="109">
        <f t="shared" si="1"/>
        <v>1</v>
      </c>
      <c r="J73" s="109">
        <v>0.9</v>
      </c>
      <c r="K73" s="82"/>
      <c r="L73" s="82"/>
    </row>
    <row r="74" spans="1:12" ht="15.6" customHeight="1">
      <c r="A74" s="253"/>
      <c r="B74" s="117"/>
      <c r="C74" s="117"/>
      <c r="D74" s="118"/>
      <c r="E74" s="118"/>
      <c r="F74" s="119" t="s">
        <v>1251</v>
      </c>
      <c r="G74" s="124"/>
      <c r="H74" s="124"/>
      <c r="I74" s="120">
        <f>AVERAGEIF(F11:F64,F74,I11:I64)</f>
        <v>0.94444444444444442</v>
      </c>
      <c r="J74" s="121">
        <v>0.9</v>
      </c>
      <c r="K74" s="118"/>
      <c r="L74" s="116"/>
    </row>
    <row r="75" spans="1:12" ht="15.6" customHeight="1">
      <c r="A75" s="253"/>
      <c r="B75" s="117"/>
      <c r="C75" s="117"/>
      <c r="D75" s="118"/>
      <c r="E75" s="118"/>
      <c r="F75" s="119" t="s">
        <v>1252</v>
      </c>
      <c r="G75" s="124"/>
      <c r="H75" s="124"/>
      <c r="I75" s="120">
        <f>AVERAGEIF(F11:F64,F75,I11:I64)</f>
        <v>0.94444444444444442</v>
      </c>
      <c r="J75" s="121">
        <v>0.9</v>
      </c>
      <c r="K75" s="118"/>
      <c r="L75" s="116"/>
    </row>
    <row r="76" spans="1:12" ht="15.6" customHeight="1" thickBot="1">
      <c r="A76" s="253"/>
      <c r="B76" s="117"/>
      <c r="C76" s="117"/>
      <c r="D76" s="118"/>
      <c r="E76" s="118"/>
      <c r="F76" s="119" t="s">
        <v>1253</v>
      </c>
      <c r="G76" s="124"/>
      <c r="H76" s="124"/>
      <c r="I76" s="120">
        <f>AVERAGEIF(F11:F64,F76,I11:I64)</f>
        <v>0.76041666666666652</v>
      </c>
      <c r="J76" s="121">
        <v>0.9</v>
      </c>
      <c r="K76" s="118"/>
      <c r="L76" s="116"/>
    </row>
    <row r="77" spans="1:12" ht="14.4" customHeight="1">
      <c r="A77" s="252"/>
      <c r="B77" s="251">
        <v>45908</v>
      </c>
      <c r="C77" s="243" t="s">
        <v>1198</v>
      </c>
      <c r="D77" s="110" t="s">
        <v>1201</v>
      </c>
      <c r="E77" s="156"/>
      <c r="F77" s="111" t="s">
        <v>1251</v>
      </c>
      <c r="G77" s="107"/>
      <c r="H77" s="108">
        <v>0.33333333333333331</v>
      </c>
      <c r="I77" s="109">
        <f>1-(G77/H77)</f>
        <v>1</v>
      </c>
      <c r="J77" s="109">
        <v>0.9</v>
      </c>
      <c r="K77" s="82"/>
      <c r="L77" s="82"/>
    </row>
    <row r="78" spans="1:12" ht="14.4" customHeight="1">
      <c r="A78" s="253"/>
      <c r="B78" s="244"/>
      <c r="C78" s="244"/>
      <c r="D78" s="110" t="s">
        <v>1201</v>
      </c>
      <c r="E78" s="156"/>
      <c r="F78" s="111" t="s">
        <v>1252</v>
      </c>
      <c r="G78" s="107"/>
      <c r="H78" s="108">
        <v>0.33333333333333331</v>
      </c>
      <c r="I78" s="109">
        <f>1-(G78/H78)</f>
        <v>1</v>
      </c>
      <c r="J78" s="109">
        <v>0.9</v>
      </c>
      <c r="K78" s="82"/>
      <c r="L78" s="82"/>
    </row>
    <row r="79" spans="1:12" ht="14.4" customHeight="1">
      <c r="A79" s="253"/>
      <c r="B79" s="244"/>
      <c r="C79" s="245"/>
      <c r="D79" s="110" t="s">
        <v>1201</v>
      </c>
      <c r="E79" s="157"/>
      <c r="F79" s="114" t="s">
        <v>1253</v>
      </c>
      <c r="G79" s="107"/>
      <c r="H79" s="108">
        <v>0.33333333333333298</v>
      </c>
      <c r="I79" s="109">
        <f t="shared" ref="I79:I121" si="2">1-(G79/H79)</f>
        <v>1</v>
      </c>
      <c r="J79" s="109">
        <v>0.9</v>
      </c>
      <c r="K79" s="82"/>
      <c r="L79" s="82"/>
    </row>
    <row r="80" spans="1:12" ht="14.4" customHeight="1">
      <c r="A80" s="253"/>
      <c r="B80" s="244"/>
      <c r="C80" s="248" t="s">
        <v>1196</v>
      </c>
      <c r="D80" s="132" t="s">
        <v>1191</v>
      </c>
      <c r="E80" s="158"/>
      <c r="F80" s="125" t="s">
        <v>1251</v>
      </c>
      <c r="G80" s="126"/>
      <c r="H80" s="127">
        <v>0.33333333333333298</v>
      </c>
      <c r="I80" s="109">
        <f t="shared" si="2"/>
        <v>1</v>
      </c>
      <c r="J80" s="134">
        <v>0.9</v>
      </c>
      <c r="K80" s="135"/>
      <c r="L80" s="136"/>
    </row>
    <row r="81" spans="1:12" ht="14.4" customHeight="1">
      <c r="A81" s="253"/>
      <c r="B81" s="244"/>
      <c r="C81" s="249"/>
      <c r="D81" s="132" t="s">
        <v>1191</v>
      </c>
      <c r="E81" s="158"/>
      <c r="F81" s="125" t="s">
        <v>1252</v>
      </c>
      <c r="G81" s="126"/>
      <c r="H81" s="127">
        <v>0.33333333333333298</v>
      </c>
      <c r="I81" s="109">
        <f t="shared" si="2"/>
        <v>1</v>
      </c>
      <c r="J81" s="134">
        <v>0.9</v>
      </c>
      <c r="K81" s="135"/>
      <c r="L81" s="136"/>
    </row>
    <row r="82" spans="1:12" ht="14.4" customHeight="1">
      <c r="A82" s="253"/>
      <c r="B82" s="244"/>
      <c r="C82" s="250"/>
      <c r="D82" s="132" t="s">
        <v>1191</v>
      </c>
      <c r="E82" s="133"/>
      <c r="F82" s="128" t="s">
        <v>1253</v>
      </c>
      <c r="G82" s="126"/>
      <c r="H82" s="127">
        <v>0.33333333333333298</v>
      </c>
      <c r="I82" s="109">
        <f t="shared" si="2"/>
        <v>1</v>
      </c>
      <c r="J82" s="134">
        <v>0.9</v>
      </c>
      <c r="K82" s="135"/>
      <c r="L82" s="136"/>
    </row>
    <row r="83" spans="1:12" ht="14.4" customHeight="1">
      <c r="A83" s="253"/>
      <c r="B83" s="244"/>
      <c r="C83" s="243" t="s">
        <v>1197</v>
      </c>
      <c r="D83" s="78" t="s">
        <v>1192</v>
      </c>
      <c r="E83" s="159"/>
      <c r="F83" s="111" t="s">
        <v>1251</v>
      </c>
      <c r="G83" s="107"/>
      <c r="H83" s="108">
        <v>0.33333333333333298</v>
      </c>
      <c r="I83" s="109">
        <f t="shared" si="2"/>
        <v>1</v>
      </c>
      <c r="J83" s="109">
        <v>0.9</v>
      </c>
      <c r="K83" s="82"/>
      <c r="L83" s="82"/>
    </row>
    <row r="84" spans="1:12" ht="14.4" customHeight="1">
      <c r="A84" s="253"/>
      <c r="B84" s="244"/>
      <c r="C84" s="244"/>
      <c r="D84" s="78" t="s">
        <v>1192</v>
      </c>
      <c r="E84" s="159"/>
      <c r="F84" s="111" t="s">
        <v>1252</v>
      </c>
      <c r="G84" s="107"/>
      <c r="H84" s="108">
        <v>0.33333333333333298</v>
      </c>
      <c r="I84" s="109">
        <f t="shared" si="2"/>
        <v>1</v>
      </c>
      <c r="J84" s="109">
        <v>0.9</v>
      </c>
      <c r="K84" s="82"/>
      <c r="L84" s="82"/>
    </row>
    <row r="85" spans="1:12" ht="15" customHeight="1" thickBot="1">
      <c r="A85" s="253"/>
      <c r="B85" s="245"/>
      <c r="C85" s="245"/>
      <c r="D85" s="78" t="s">
        <v>1192</v>
      </c>
      <c r="E85" s="113"/>
      <c r="F85" s="114" t="s">
        <v>1253</v>
      </c>
      <c r="G85" s="108"/>
      <c r="H85" s="108">
        <v>0.33333333333333298</v>
      </c>
      <c r="I85" s="109">
        <f t="shared" si="2"/>
        <v>1</v>
      </c>
      <c r="J85" s="109">
        <v>0.9</v>
      </c>
      <c r="K85" s="82"/>
      <c r="L85" s="82"/>
    </row>
    <row r="86" spans="1:12" ht="14.4" customHeight="1">
      <c r="A86" s="253"/>
      <c r="B86" s="251">
        <v>45909</v>
      </c>
      <c r="C86" s="248" t="s">
        <v>1198</v>
      </c>
      <c r="D86" s="132" t="s">
        <v>1193</v>
      </c>
      <c r="E86" s="158"/>
      <c r="F86" s="125" t="s">
        <v>1251</v>
      </c>
      <c r="G86" s="126"/>
      <c r="H86" s="127">
        <v>0.33333333333333298</v>
      </c>
      <c r="I86" s="109">
        <f t="shared" si="2"/>
        <v>1</v>
      </c>
      <c r="J86" s="134">
        <v>0.9</v>
      </c>
      <c r="K86" s="135"/>
      <c r="L86" s="137"/>
    </row>
    <row r="87" spans="1:12" ht="14.4" customHeight="1">
      <c r="A87" s="253"/>
      <c r="B87" s="244"/>
      <c r="C87" s="249"/>
      <c r="D87" s="132" t="s">
        <v>1193</v>
      </c>
      <c r="E87" s="158"/>
      <c r="F87" s="125" t="s">
        <v>1252</v>
      </c>
      <c r="G87" s="126"/>
      <c r="H87" s="127">
        <v>0.33333333333333298</v>
      </c>
      <c r="I87" s="109">
        <f t="shared" si="2"/>
        <v>1</v>
      </c>
      <c r="J87" s="134">
        <v>0.9</v>
      </c>
      <c r="K87" s="135"/>
      <c r="L87" s="136"/>
    </row>
    <row r="88" spans="1:12" ht="14.4" customHeight="1">
      <c r="A88" s="253"/>
      <c r="B88" s="244"/>
      <c r="C88" s="250"/>
      <c r="D88" s="132" t="s">
        <v>1193</v>
      </c>
      <c r="E88" s="133"/>
      <c r="F88" s="128" t="s">
        <v>1253</v>
      </c>
      <c r="G88" s="127"/>
      <c r="H88" s="127">
        <v>0.33333333333333298</v>
      </c>
      <c r="I88" s="109">
        <f t="shared" si="2"/>
        <v>1</v>
      </c>
      <c r="J88" s="134">
        <v>0.9</v>
      </c>
      <c r="K88" s="133"/>
      <c r="L88" s="136"/>
    </row>
    <row r="89" spans="1:12" ht="14.4" customHeight="1">
      <c r="A89" s="253"/>
      <c r="B89" s="244"/>
      <c r="C89" s="243" t="s">
        <v>1196</v>
      </c>
      <c r="D89" s="78" t="s">
        <v>1191</v>
      </c>
      <c r="E89" s="159"/>
      <c r="F89" s="111" t="s">
        <v>1251</v>
      </c>
      <c r="G89" s="107"/>
      <c r="H89" s="108">
        <v>0.33333333333333298</v>
      </c>
      <c r="I89" s="109">
        <f t="shared" si="2"/>
        <v>1</v>
      </c>
      <c r="J89" s="109">
        <v>0.9</v>
      </c>
      <c r="K89" s="112"/>
      <c r="L89" s="112"/>
    </row>
    <row r="90" spans="1:12" ht="14.4" customHeight="1">
      <c r="A90" s="253"/>
      <c r="B90" s="244"/>
      <c r="C90" s="244"/>
      <c r="D90" s="78" t="s">
        <v>1191</v>
      </c>
      <c r="E90" s="159"/>
      <c r="F90" s="111" t="s">
        <v>1252</v>
      </c>
      <c r="G90" s="107"/>
      <c r="H90" s="108">
        <v>0.33333333333333298</v>
      </c>
      <c r="I90" s="109">
        <f t="shared" si="2"/>
        <v>1</v>
      </c>
      <c r="J90" s="109">
        <v>0.9</v>
      </c>
      <c r="K90" s="82"/>
      <c r="L90" s="82"/>
    </row>
    <row r="91" spans="1:12" ht="14.4" customHeight="1">
      <c r="A91" s="253"/>
      <c r="B91" s="244"/>
      <c r="C91" s="245"/>
      <c r="D91" s="78" t="s">
        <v>1191</v>
      </c>
      <c r="E91" s="113"/>
      <c r="F91" s="114" t="s">
        <v>1253</v>
      </c>
      <c r="G91" s="107"/>
      <c r="H91" s="108">
        <v>0.33333333333333331</v>
      </c>
      <c r="I91" s="109">
        <f t="shared" si="2"/>
        <v>1</v>
      </c>
      <c r="J91" s="109">
        <v>0.9</v>
      </c>
      <c r="K91" s="82"/>
      <c r="L91" s="82"/>
    </row>
    <row r="92" spans="1:12" ht="14.4" customHeight="1">
      <c r="A92" s="253"/>
      <c r="B92" s="244"/>
      <c r="C92" s="248" t="s">
        <v>1197</v>
      </c>
      <c r="D92" s="132" t="s">
        <v>1192</v>
      </c>
      <c r="E92" s="158"/>
      <c r="F92" s="125" t="s">
        <v>1251</v>
      </c>
      <c r="G92" s="126"/>
      <c r="H92" s="127">
        <v>0.33333333333333298</v>
      </c>
      <c r="I92" s="109">
        <f t="shared" si="2"/>
        <v>1</v>
      </c>
      <c r="J92" s="134">
        <v>0.9</v>
      </c>
      <c r="K92" s="146"/>
      <c r="L92" s="136"/>
    </row>
    <row r="93" spans="1:12" ht="14.4" customHeight="1">
      <c r="A93" s="253"/>
      <c r="B93" s="244"/>
      <c r="C93" s="249"/>
      <c r="D93" s="132" t="s">
        <v>1192</v>
      </c>
      <c r="E93" s="158"/>
      <c r="F93" s="129" t="s">
        <v>1252</v>
      </c>
      <c r="G93" s="126"/>
      <c r="H93" s="127">
        <v>0.33333333333333298</v>
      </c>
      <c r="I93" s="109">
        <f t="shared" si="2"/>
        <v>1</v>
      </c>
      <c r="J93" s="134">
        <v>0.9</v>
      </c>
      <c r="K93" s="136"/>
      <c r="L93" s="136"/>
    </row>
    <row r="94" spans="1:12" ht="15" customHeight="1" thickBot="1">
      <c r="A94" s="253"/>
      <c r="B94" s="245"/>
      <c r="C94" s="250"/>
      <c r="D94" s="132" t="s">
        <v>1192</v>
      </c>
      <c r="E94" s="133"/>
      <c r="F94" s="128" t="s">
        <v>1253</v>
      </c>
      <c r="G94" s="126"/>
      <c r="H94" s="131">
        <v>0.33333333333333298</v>
      </c>
      <c r="I94" s="115">
        <f t="shared" si="2"/>
        <v>1</v>
      </c>
      <c r="J94" s="134">
        <v>0.9</v>
      </c>
      <c r="K94" s="136"/>
      <c r="L94" s="136"/>
    </row>
    <row r="95" spans="1:12" ht="14.4" customHeight="1">
      <c r="A95" s="253"/>
      <c r="B95" s="251">
        <v>45910</v>
      </c>
      <c r="C95" s="243" t="s">
        <v>1198</v>
      </c>
      <c r="D95" s="78" t="s">
        <v>1194</v>
      </c>
      <c r="E95" s="159"/>
      <c r="F95" s="111" t="s">
        <v>1251</v>
      </c>
      <c r="G95" s="107"/>
      <c r="H95" s="108">
        <v>0.33333333333333298</v>
      </c>
      <c r="I95" s="109">
        <f t="shared" si="2"/>
        <v>1</v>
      </c>
      <c r="J95" s="109">
        <v>0.9</v>
      </c>
      <c r="K95" s="82"/>
      <c r="L95" s="112"/>
    </row>
    <row r="96" spans="1:12" ht="14.4" customHeight="1">
      <c r="A96" s="253"/>
      <c r="B96" s="244"/>
      <c r="C96" s="244"/>
      <c r="D96" s="78" t="s">
        <v>1194</v>
      </c>
      <c r="E96" s="159"/>
      <c r="F96" s="106" t="s">
        <v>1252</v>
      </c>
      <c r="G96" s="107"/>
      <c r="H96" s="108">
        <v>0.33333333333333298</v>
      </c>
      <c r="I96" s="109">
        <f t="shared" si="2"/>
        <v>1</v>
      </c>
      <c r="J96" s="109">
        <v>0.9</v>
      </c>
      <c r="K96" s="82"/>
      <c r="L96" s="82"/>
    </row>
    <row r="97" spans="1:12" ht="14.4" customHeight="1">
      <c r="A97" s="253"/>
      <c r="B97" s="244"/>
      <c r="C97" s="245"/>
      <c r="D97" s="78" t="s">
        <v>1194</v>
      </c>
      <c r="E97" s="113"/>
      <c r="F97" s="114" t="s">
        <v>1253</v>
      </c>
      <c r="G97" s="107"/>
      <c r="H97" s="108">
        <v>0.33333333333333298</v>
      </c>
      <c r="I97" s="109">
        <f t="shared" si="2"/>
        <v>1</v>
      </c>
      <c r="J97" s="109">
        <v>0.9</v>
      </c>
      <c r="K97" s="82"/>
      <c r="L97" s="82"/>
    </row>
    <row r="98" spans="1:12" ht="14.4" customHeight="1">
      <c r="A98" s="253"/>
      <c r="B98" s="244"/>
      <c r="C98" s="248" t="s">
        <v>1196</v>
      </c>
      <c r="D98" s="132" t="s">
        <v>1193</v>
      </c>
      <c r="E98" s="158"/>
      <c r="F98" s="125" t="s">
        <v>1251</v>
      </c>
      <c r="G98" s="126">
        <v>8.3333333333333329E-2</v>
      </c>
      <c r="H98" s="127">
        <v>0.33333333333333331</v>
      </c>
      <c r="I98" s="109">
        <f t="shared" si="2"/>
        <v>0.75</v>
      </c>
      <c r="J98" s="134">
        <v>0.9</v>
      </c>
      <c r="K98" s="135" t="s">
        <v>1536</v>
      </c>
      <c r="L98" s="136"/>
    </row>
    <row r="99" spans="1:12" ht="14.4" customHeight="1">
      <c r="A99" s="253"/>
      <c r="B99" s="244"/>
      <c r="C99" s="249"/>
      <c r="D99" s="132" t="s">
        <v>1193</v>
      </c>
      <c r="E99" s="158"/>
      <c r="F99" s="129" t="s">
        <v>1252</v>
      </c>
      <c r="G99" s="126">
        <v>8.3333333333333329E-2</v>
      </c>
      <c r="H99" s="127">
        <v>0.33333333333333298</v>
      </c>
      <c r="I99" s="109">
        <f t="shared" si="2"/>
        <v>0.74999999999999978</v>
      </c>
      <c r="J99" s="134">
        <v>0.9</v>
      </c>
      <c r="K99" s="135"/>
      <c r="L99" s="136"/>
    </row>
    <row r="100" spans="1:12" ht="14.4" customHeight="1">
      <c r="A100" s="253"/>
      <c r="B100" s="244"/>
      <c r="C100" s="250"/>
      <c r="D100" s="132" t="s">
        <v>1193</v>
      </c>
      <c r="E100" s="133"/>
      <c r="F100" s="128" t="s">
        <v>1253</v>
      </c>
      <c r="G100" s="126">
        <v>8.3333333333333329E-2</v>
      </c>
      <c r="H100" s="127">
        <v>0.33333333333333298</v>
      </c>
      <c r="I100" s="109">
        <f t="shared" si="2"/>
        <v>0.74999999999999978</v>
      </c>
      <c r="J100" s="134">
        <v>0.9</v>
      </c>
      <c r="K100" s="133"/>
      <c r="L100" s="136"/>
    </row>
    <row r="101" spans="1:12" ht="14.4" customHeight="1">
      <c r="A101" s="253"/>
      <c r="B101" s="244"/>
      <c r="C101" s="243" t="s">
        <v>1197</v>
      </c>
      <c r="D101" s="78" t="s">
        <v>1191</v>
      </c>
      <c r="E101" s="159"/>
      <c r="F101" s="111" t="s">
        <v>1251</v>
      </c>
      <c r="G101" s="107"/>
      <c r="H101" s="108">
        <v>0.33333333333333298</v>
      </c>
      <c r="I101" s="109">
        <f t="shared" si="2"/>
        <v>1</v>
      </c>
      <c r="J101" s="109">
        <v>0.9</v>
      </c>
      <c r="K101" s="82"/>
      <c r="L101" s="82"/>
    </row>
    <row r="102" spans="1:12" ht="14.4" customHeight="1">
      <c r="A102" s="253"/>
      <c r="B102" s="244"/>
      <c r="C102" s="244"/>
      <c r="D102" s="78" t="s">
        <v>1191</v>
      </c>
      <c r="E102" s="159"/>
      <c r="F102" s="106" t="s">
        <v>1252</v>
      </c>
      <c r="G102" s="107">
        <v>4.1666666666666664E-2</v>
      </c>
      <c r="H102" s="108">
        <v>0.33333333333333298</v>
      </c>
      <c r="I102" s="109">
        <f t="shared" si="2"/>
        <v>0.87499999999999989</v>
      </c>
      <c r="J102" s="109">
        <v>0.9</v>
      </c>
      <c r="K102" s="82" t="s">
        <v>1307</v>
      </c>
      <c r="L102" s="82"/>
    </row>
    <row r="103" spans="1:12" ht="15" customHeight="1" thickBot="1">
      <c r="A103" s="253"/>
      <c r="B103" s="245"/>
      <c r="C103" s="245"/>
      <c r="D103" s="78" t="s">
        <v>1191</v>
      </c>
      <c r="E103" s="113"/>
      <c r="F103" s="114" t="s">
        <v>1253</v>
      </c>
      <c r="G103" s="107"/>
      <c r="H103" s="108">
        <v>0.33333333333333298</v>
      </c>
      <c r="I103" s="109">
        <f t="shared" si="2"/>
        <v>1</v>
      </c>
      <c r="J103" s="109">
        <v>0.9</v>
      </c>
      <c r="K103" s="82"/>
      <c r="L103" s="82"/>
    </row>
    <row r="104" spans="1:12" ht="14.4" customHeight="1">
      <c r="A104" s="253"/>
      <c r="B104" s="251">
        <v>45911</v>
      </c>
      <c r="C104" s="248" t="s">
        <v>1198</v>
      </c>
      <c r="D104" s="132" t="s">
        <v>1194</v>
      </c>
      <c r="E104" s="158"/>
      <c r="F104" s="125" t="s">
        <v>1251</v>
      </c>
      <c r="G104" s="126">
        <v>0.125</v>
      </c>
      <c r="H104" s="127">
        <v>0.33333333333333298</v>
      </c>
      <c r="I104" s="109">
        <f>1-(G104/H104)</f>
        <v>0.62499999999999956</v>
      </c>
      <c r="J104" s="134">
        <v>0.9</v>
      </c>
      <c r="K104" s="135" t="s">
        <v>1307</v>
      </c>
      <c r="L104" s="137"/>
    </row>
    <row r="105" spans="1:12" ht="14.4" customHeight="1">
      <c r="A105" s="253"/>
      <c r="B105" s="244"/>
      <c r="C105" s="249"/>
      <c r="D105" s="132" t="s">
        <v>1194</v>
      </c>
      <c r="E105" s="158"/>
      <c r="F105" s="129" t="s">
        <v>1252</v>
      </c>
      <c r="G105" s="126"/>
      <c r="H105" s="127">
        <v>0.33333333333333298</v>
      </c>
      <c r="I105" s="109">
        <f>1-(G105/H105)</f>
        <v>1</v>
      </c>
      <c r="J105" s="134">
        <v>0.9</v>
      </c>
      <c r="K105" s="135"/>
      <c r="L105" s="136"/>
    </row>
    <row r="106" spans="1:12" ht="14.4" customHeight="1">
      <c r="A106" s="253"/>
      <c r="B106" s="244"/>
      <c r="C106" s="250"/>
      <c r="D106" s="132" t="s">
        <v>1194</v>
      </c>
      <c r="E106" s="133"/>
      <c r="F106" s="128" t="s">
        <v>1253</v>
      </c>
      <c r="G106" s="126"/>
      <c r="H106" s="127">
        <v>0.33333333333333298</v>
      </c>
      <c r="I106" s="109">
        <f t="shared" si="2"/>
        <v>1</v>
      </c>
      <c r="J106" s="134">
        <v>0.9</v>
      </c>
      <c r="K106" s="133"/>
      <c r="L106" s="136"/>
    </row>
    <row r="107" spans="1:12" ht="14.4" customHeight="1">
      <c r="A107" s="253"/>
      <c r="B107" s="244"/>
      <c r="C107" s="243" t="s">
        <v>1196</v>
      </c>
      <c r="D107" s="78" t="s">
        <v>1193</v>
      </c>
      <c r="E107" s="159"/>
      <c r="F107" s="111" t="s">
        <v>1251</v>
      </c>
      <c r="G107" s="107"/>
      <c r="H107" s="108">
        <v>0.33333333333333298</v>
      </c>
      <c r="I107" s="109">
        <f t="shared" si="2"/>
        <v>1</v>
      </c>
      <c r="J107" s="109">
        <v>0.9</v>
      </c>
      <c r="K107" s="82"/>
      <c r="L107" s="112"/>
    </row>
    <row r="108" spans="1:12" ht="14.4" customHeight="1">
      <c r="A108" s="253"/>
      <c r="B108" s="244"/>
      <c r="C108" s="244"/>
      <c r="D108" s="78" t="s">
        <v>1193</v>
      </c>
      <c r="E108" s="159"/>
      <c r="F108" s="106" t="s">
        <v>1252</v>
      </c>
      <c r="G108" s="107"/>
      <c r="H108" s="108">
        <v>0.33333333333333298</v>
      </c>
      <c r="I108" s="109">
        <f t="shared" si="2"/>
        <v>1</v>
      </c>
      <c r="J108" s="109">
        <v>0.9</v>
      </c>
      <c r="K108" s="82"/>
      <c r="L108" s="82"/>
    </row>
    <row r="109" spans="1:12" ht="14.4" customHeight="1">
      <c r="A109" s="253"/>
      <c r="B109" s="244"/>
      <c r="C109" s="245"/>
      <c r="D109" s="78" t="s">
        <v>1193</v>
      </c>
      <c r="E109" s="113"/>
      <c r="F109" s="114" t="s">
        <v>1253</v>
      </c>
      <c r="G109" s="107"/>
      <c r="H109" s="108">
        <v>0.33333333333333298</v>
      </c>
      <c r="I109" s="109">
        <f t="shared" si="2"/>
        <v>1</v>
      </c>
      <c r="J109" s="109">
        <v>0.9</v>
      </c>
      <c r="K109" s="82"/>
      <c r="L109" s="82"/>
    </row>
    <row r="110" spans="1:12" ht="14.4" customHeight="1">
      <c r="A110" s="253"/>
      <c r="B110" s="244"/>
      <c r="C110" s="248" t="s">
        <v>1197</v>
      </c>
      <c r="D110" s="132" t="s">
        <v>1191</v>
      </c>
      <c r="E110" s="158"/>
      <c r="F110" s="125" t="s">
        <v>1251</v>
      </c>
      <c r="G110" s="126"/>
      <c r="H110" s="127">
        <v>0.33333333333333298</v>
      </c>
      <c r="I110" s="109">
        <f t="shared" si="2"/>
        <v>1</v>
      </c>
      <c r="J110" s="134">
        <v>0.9</v>
      </c>
      <c r="K110" s="135"/>
      <c r="L110" s="136"/>
    </row>
    <row r="111" spans="1:12" ht="14.4" customHeight="1">
      <c r="A111" s="253"/>
      <c r="B111" s="244"/>
      <c r="C111" s="249"/>
      <c r="D111" s="132" t="s">
        <v>1191</v>
      </c>
      <c r="E111" s="158"/>
      <c r="F111" s="129" t="s">
        <v>1252</v>
      </c>
      <c r="G111" s="126">
        <v>5.2083333333333336E-2</v>
      </c>
      <c r="H111" s="127">
        <v>0.33333333333333298</v>
      </c>
      <c r="I111" s="109">
        <f t="shared" si="2"/>
        <v>0.84374999999999978</v>
      </c>
      <c r="J111" s="134">
        <v>0.9</v>
      </c>
      <c r="K111" s="135" t="s">
        <v>1307</v>
      </c>
      <c r="L111" s="136"/>
    </row>
    <row r="112" spans="1:12" ht="15" customHeight="1" thickBot="1">
      <c r="A112" s="253"/>
      <c r="B112" s="245"/>
      <c r="C112" s="250"/>
      <c r="D112" s="132" t="s">
        <v>1191</v>
      </c>
      <c r="E112" s="133"/>
      <c r="F112" s="128" t="s">
        <v>1253</v>
      </c>
      <c r="G112" s="126"/>
      <c r="H112" s="127">
        <v>0.33333333333333298</v>
      </c>
      <c r="I112" s="109">
        <f t="shared" si="2"/>
        <v>1</v>
      </c>
      <c r="J112" s="134">
        <v>0.9</v>
      </c>
      <c r="K112" s="133"/>
      <c r="L112" s="136"/>
    </row>
    <row r="113" spans="1:12" ht="14.4" customHeight="1">
      <c r="A113" s="253"/>
      <c r="B113" s="251">
        <v>45912</v>
      </c>
      <c r="C113" s="243" t="s">
        <v>1198</v>
      </c>
      <c r="D113" s="78" t="s">
        <v>1192</v>
      </c>
      <c r="E113" s="159"/>
      <c r="F113" s="111" t="s">
        <v>1251</v>
      </c>
      <c r="G113" s="107"/>
      <c r="H113" s="108">
        <v>0.33333333333333298</v>
      </c>
      <c r="I113" s="109">
        <f t="shared" si="2"/>
        <v>1</v>
      </c>
      <c r="J113" s="109">
        <v>0.9</v>
      </c>
      <c r="K113" s="82"/>
      <c r="L113" s="112"/>
    </row>
    <row r="114" spans="1:12" ht="14.4" customHeight="1">
      <c r="A114" s="253"/>
      <c r="B114" s="244"/>
      <c r="C114" s="244"/>
      <c r="D114" s="78" t="s">
        <v>1192</v>
      </c>
      <c r="E114" s="159"/>
      <c r="F114" s="106" t="s">
        <v>1252</v>
      </c>
      <c r="G114" s="107"/>
      <c r="H114" s="108">
        <v>0.33333333333333298</v>
      </c>
      <c r="I114" s="109">
        <f t="shared" si="2"/>
        <v>1</v>
      </c>
      <c r="J114" s="109">
        <v>0.9</v>
      </c>
      <c r="K114" s="82"/>
      <c r="L114" s="82"/>
    </row>
    <row r="115" spans="1:12" ht="14.4" customHeight="1">
      <c r="A115" s="253"/>
      <c r="B115" s="244"/>
      <c r="C115" s="245"/>
      <c r="D115" s="78" t="s">
        <v>1192</v>
      </c>
      <c r="E115" s="113"/>
      <c r="F115" s="114" t="s">
        <v>1253</v>
      </c>
      <c r="G115" s="107"/>
      <c r="H115" s="108">
        <v>0.33333333333333298</v>
      </c>
      <c r="I115" s="109">
        <f t="shared" si="2"/>
        <v>1</v>
      </c>
      <c r="J115" s="109">
        <v>0.9</v>
      </c>
      <c r="K115" s="82"/>
      <c r="L115" s="82"/>
    </row>
    <row r="116" spans="1:12" ht="14.4" customHeight="1">
      <c r="A116" s="253"/>
      <c r="B116" s="244"/>
      <c r="C116" s="248" t="s">
        <v>1196</v>
      </c>
      <c r="D116" s="132" t="s">
        <v>1194</v>
      </c>
      <c r="E116" s="158"/>
      <c r="F116" s="125" t="s">
        <v>1251</v>
      </c>
      <c r="G116" s="126"/>
      <c r="H116" s="127">
        <v>0.33333333333333298</v>
      </c>
      <c r="I116" s="109">
        <f t="shared" si="2"/>
        <v>1</v>
      </c>
      <c r="J116" s="134">
        <v>0.9</v>
      </c>
      <c r="K116" s="137"/>
      <c r="L116" s="137"/>
    </row>
    <row r="117" spans="1:12" ht="14.4" customHeight="1">
      <c r="A117" s="253"/>
      <c r="B117" s="244"/>
      <c r="C117" s="249"/>
      <c r="D117" s="132" t="s">
        <v>1194</v>
      </c>
      <c r="E117" s="158"/>
      <c r="F117" s="129" t="s">
        <v>1252</v>
      </c>
      <c r="G117" s="126"/>
      <c r="H117" s="127">
        <v>0.33333333333333298</v>
      </c>
      <c r="I117" s="109">
        <f t="shared" si="2"/>
        <v>1</v>
      </c>
      <c r="J117" s="134">
        <v>0.9</v>
      </c>
      <c r="K117" s="135"/>
      <c r="L117" s="136"/>
    </row>
    <row r="118" spans="1:12" ht="14.4" customHeight="1">
      <c r="A118" s="253"/>
      <c r="B118" s="244"/>
      <c r="C118" s="250"/>
      <c r="D118" s="132" t="s">
        <v>1194</v>
      </c>
      <c r="E118" s="133"/>
      <c r="F118" s="128" t="s">
        <v>1253</v>
      </c>
      <c r="G118" s="126"/>
      <c r="H118" s="127">
        <v>0.33333333333333298</v>
      </c>
      <c r="I118" s="109">
        <f t="shared" si="2"/>
        <v>1</v>
      </c>
      <c r="J118" s="134">
        <v>0.9</v>
      </c>
      <c r="K118" s="133"/>
      <c r="L118" s="136"/>
    </row>
    <row r="119" spans="1:12" ht="14.4" customHeight="1">
      <c r="A119" s="253"/>
      <c r="B119" s="244"/>
      <c r="C119" s="243" t="s">
        <v>1197</v>
      </c>
      <c r="D119" s="78" t="s">
        <v>1193</v>
      </c>
      <c r="E119" s="159"/>
      <c r="F119" s="111" t="s">
        <v>1251</v>
      </c>
      <c r="G119" s="107"/>
      <c r="H119" s="108">
        <v>0.33333333333333298</v>
      </c>
      <c r="I119" s="109">
        <f t="shared" si="2"/>
        <v>1</v>
      </c>
      <c r="J119" s="109">
        <v>0.9</v>
      </c>
      <c r="K119" s="82"/>
      <c r="L119" s="82"/>
    </row>
    <row r="120" spans="1:12" ht="14.4" customHeight="1">
      <c r="A120" s="253"/>
      <c r="B120" s="244"/>
      <c r="C120" s="244"/>
      <c r="D120" s="78" t="s">
        <v>1193</v>
      </c>
      <c r="E120" s="159"/>
      <c r="F120" s="106" t="s">
        <v>1252</v>
      </c>
      <c r="G120" s="107"/>
      <c r="H120" s="108">
        <v>0.33333333333333298</v>
      </c>
      <c r="I120" s="109">
        <f t="shared" si="2"/>
        <v>1</v>
      </c>
      <c r="J120" s="109">
        <v>0.9</v>
      </c>
      <c r="K120" s="82"/>
      <c r="L120" s="82"/>
    </row>
    <row r="121" spans="1:12" ht="14.4" customHeight="1" thickBot="1">
      <c r="A121" s="253"/>
      <c r="B121" s="245"/>
      <c r="C121" s="245"/>
      <c r="D121" s="78" t="s">
        <v>1193</v>
      </c>
      <c r="E121" s="113"/>
      <c r="F121" s="114" t="s">
        <v>1253</v>
      </c>
      <c r="G121" s="122"/>
      <c r="H121" s="123">
        <v>0.33333333333333298</v>
      </c>
      <c r="I121" s="109">
        <f t="shared" si="2"/>
        <v>1</v>
      </c>
      <c r="J121" s="109">
        <v>0.9</v>
      </c>
      <c r="K121" s="82"/>
      <c r="L121" s="82"/>
    </row>
    <row r="122" spans="1:12" ht="14.4" customHeight="1">
      <c r="A122" s="253"/>
      <c r="B122" s="251">
        <v>45913</v>
      </c>
      <c r="C122" s="248" t="s">
        <v>1198</v>
      </c>
      <c r="D122" s="132" t="s">
        <v>1192</v>
      </c>
      <c r="E122" s="158"/>
      <c r="F122" s="125" t="s">
        <v>1251</v>
      </c>
      <c r="G122" s="126"/>
      <c r="H122" s="127">
        <v>0.33333333333333298</v>
      </c>
      <c r="I122" s="109">
        <f>1-(G122/H122)</f>
        <v>1</v>
      </c>
      <c r="J122" s="134">
        <v>0.9</v>
      </c>
      <c r="K122" s="135"/>
      <c r="L122" s="137"/>
    </row>
    <row r="123" spans="1:12" ht="14.4" customHeight="1">
      <c r="A123" s="253"/>
      <c r="B123" s="244"/>
      <c r="C123" s="249"/>
      <c r="D123" s="132" t="s">
        <v>1192</v>
      </c>
      <c r="E123" s="158"/>
      <c r="F123" s="129" t="s">
        <v>1252</v>
      </c>
      <c r="G123" s="126"/>
      <c r="H123" s="127">
        <v>0.33333333333333298</v>
      </c>
      <c r="I123" s="109">
        <f>1-(G123/H123)</f>
        <v>1</v>
      </c>
      <c r="J123" s="134">
        <v>0.9</v>
      </c>
      <c r="K123" s="135"/>
      <c r="L123" s="136"/>
    </row>
    <row r="124" spans="1:12" ht="14.4" customHeight="1">
      <c r="A124" s="253"/>
      <c r="B124" s="244"/>
      <c r="C124" s="250"/>
      <c r="D124" s="132" t="s">
        <v>1192</v>
      </c>
      <c r="E124" s="133"/>
      <c r="F124" s="128" t="s">
        <v>1253</v>
      </c>
      <c r="G124" s="126"/>
      <c r="H124" s="127">
        <v>0.33333333333333298</v>
      </c>
      <c r="I124" s="109">
        <f t="shared" ref="I124:I139" si="3">1-(G124/H124)</f>
        <v>1</v>
      </c>
      <c r="J124" s="134">
        <v>0.9</v>
      </c>
      <c r="K124" s="133"/>
      <c r="L124" s="136"/>
    </row>
    <row r="125" spans="1:12" ht="14.4" customHeight="1">
      <c r="A125" s="253"/>
      <c r="B125" s="244"/>
      <c r="C125" s="243" t="s">
        <v>1196</v>
      </c>
      <c r="D125" s="78" t="s">
        <v>1194</v>
      </c>
      <c r="E125" s="159"/>
      <c r="F125" s="111" t="s">
        <v>1251</v>
      </c>
      <c r="G125" s="107"/>
      <c r="H125" s="108">
        <v>0.33333333333333298</v>
      </c>
      <c r="I125" s="109">
        <f t="shared" si="3"/>
        <v>1</v>
      </c>
      <c r="J125" s="109">
        <v>0.9</v>
      </c>
      <c r="K125" s="82"/>
      <c r="L125" s="112"/>
    </row>
    <row r="126" spans="1:12" ht="14.4" customHeight="1">
      <c r="A126" s="253"/>
      <c r="B126" s="244"/>
      <c r="C126" s="244"/>
      <c r="D126" s="78" t="s">
        <v>1194</v>
      </c>
      <c r="E126" s="159"/>
      <c r="F126" s="106" t="s">
        <v>1252</v>
      </c>
      <c r="G126" s="107"/>
      <c r="H126" s="108">
        <v>0.33333333333333298</v>
      </c>
      <c r="I126" s="109">
        <f t="shared" si="3"/>
        <v>1</v>
      </c>
      <c r="J126" s="109">
        <v>0.9</v>
      </c>
      <c r="K126" s="82"/>
      <c r="L126" s="82"/>
    </row>
    <row r="127" spans="1:12" ht="14.4" customHeight="1">
      <c r="A127" s="253"/>
      <c r="B127" s="244"/>
      <c r="C127" s="245"/>
      <c r="D127" s="78" t="s">
        <v>1194</v>
      </c>
      <c r="E127" s="113"/>
      <c r="F127" s="114" t="s">
        <v>1253</v>
      </c>
      <c r="G127" s="107"/>
      <c r="H127" s="108">
        <v>0.33333333333333298</v>
      </c>
      <c r="I127" s="109">
        <f t="shared" si="3"/>
        <v>1</v>
      </c>
      <c r="J127" s="109">
        <v>0.9</v>
      </c>
      <c r="K127" s="82"/>
      <c r="L127" s="82"/>
    </row>
    <row r="128" spans="1:12" ht="14.4" customHeight="1">
      <c r="A128" s="253"/>
      <c r="B128" s="244"/>
      <c r="C128" s="248" t="s">
        <v>1197</v>
      </c>
      <c r="D128" s="132" t="s">
        <v>1193</v>
      </c>
      <c r="E128" s="158"/>
      <c r="F128" s="125" t="s">
        <v>1251</v>
      </c>
      <c r="G128" s="126"/>
      <c r="H128" s="127">
        <v>0.33333333333333298</v>
      </c>
      <c r="I128" s="109">
        <f t="shared" si="3"/>
        <v>1</v>
      </c>
      <c r="J128" s="134">
        <v>0.9</v>
      </c>
      <c r="K128" s="135"/>
      <c r="L128" s="136"/>
    </row>
    <row r="129" spans="1:12" ht="14.4" customHeight="1">
      <c r="A129" s="253"/>
      <c r="B129" s="244"/>
      <c r="C129" s="249"/>
      <c r="D129" s="132" t="s">
        <v>1193</v>
      </c>
      <c r="E129" s="158"/>
      <c r="F129" s="129" t="s">
        <v>1252</v>
      </c>
      <c r="G129" s="126"/>
      <c r="H129" s="127">
        <v>0.33333333333333298</v>
      </c>
      <c r="I129" s="109">
        <f t="shared" si="3"/>
        <v>1</v>
      </c>
      <c r="J129" s="134">
        <v>0.9</v>
      </c>
      <c r="K129" s="135"/>
      <c r="L129" s="136"/>
    </row>
    <row r="130" spans="1:12" ht="14.4" customHeight="1" thickBot="1">
      <c r="A130" s="253"/>
      <c r="B130" s="245"/>
      <c r="C130" s="250"/>
      <c r="D130" s="132" t="s">
        <v>1193</v>
      </c>
      <c r="E130" s="133"/>
      <c r="F130" s="128" t="s">
        <v>1253</v>
      </c>
      <c r="G130" s="126"/>
      <c r="H130" s="127">
        <v>0.33333333333333298</v>
      </c>
      <c r="I130" s="109">
        <f t="shared" si="3"/>
        <v>1</v>
      </c>
      <c r="J130" s="134">
        <v>0.9</v>
      </c>
      <c r="K130" s="133"/>
      <c r="L130" s="136"/>
    </row>
    <row r="131" spans="1:12" ht="14.4" customHeight="1">
      <c r="A131" s="253"/>
      <c r="B131" s="251">
        <v>45914</v>
      </c>
      <c r="C131" s="243" t="s">
        <v>1198</v>
      </c>
      <c r="D131" s="78" t="s">
        <v>1191</v>
      </c>
      <c r="E131" s="159"/>
      <c r="F131" s="111" t="s">
        <v>1251</v>
      </c>
      <c r="G131" s="107">
        <v>8.3333333333333329E-2</v>
      </c>
      <c r="H131" s="108">
        <v>0.33333333333333298</v>
      </c>
      <c r="I131" s="109">
        <f t="shared" si="3"/>
        <v>0.74999999999999978</v>
      </c>
      <c r="J131" s="109">
        <v>0.9</v>
      </c>
      <c r="K131" s="82" t="s">
        <v>1537</v>
      </c>
      <c r="L131" s="112"/>
    </row>
    <row r="132" spans="1:12" ht="14.4" customHeight="1">
      <c r="A132" s="253"/>
      <c r="B132" s="244"/>
      <c r="C132" s="244"/>
      <c r="D132" s="78" t="s">
        <v>1191</v>
      </c>
      <c r="E132" s="159"/>
      <c r="F132" s="106" t="s">
        <v>1252</v>
      </c>
      <c r="G132" s="107">
        <v>8.3333333333333329E-2</v>
      </c>
      <c r="H132" s="108">
        <v>0.33333333333333298</v>
      </c>
      <c r="I132" s="109">
        <f t="shared" si="3"/>
        <v>0.74999999999999978</v>
      </c>
      <c r="J132" s="109">
        <v>0.9</v>
      </c>
      <c r="K132" s="82"/>
      <c r="L132" s="82"/>
    </row>
    <row r="133" spans="1:12" ht="14.4" customHeight="1">
      <c r="A133" s="253"/>
      <c r="B133" s="244"/>
      <c r="C133" s="245"/>
      <c r="D133" s="78" t="s">
        <v>1191</v>
      </c>
      <c r="E133" s="113"/>
      <c r="F133" s="114" t="s">
        <v>1253</v>
      </c>
      <c r="G133" s="107">
        <v>8.3333333333333329E-2</v>
      </c>
      <c r="H133" s="108">
        <v>0.33333333333333298</v>
      </c>
      <c r="I133" s="109">
        <f t="shared" si="3"/>
        <v>0.74999999999999978</v>
      </c>
      <c r="J133" s="109">
        <v>0.9</v>
      </c>
      <c r="K133" s="82"/>
      <c r="L133" s="82"/>
    </row>
    <row r="134" spans="1:12" ht="14.4" customHeight="1">
      <c r="A134" s="253"/>
      <c r="B134" s="244"/>
      <c r="C134" s="248" t="s">
        <v>1196</v>
      </c>
      <c r="D134" s="132"/>
      <c r="E134" s="158"/>
      <c r="F134" s="125" t="s">
        <v>1251</v>
      </c>
      <c r="G134" s="126"/>
      <c r="H134" s="127">
        <v>0.33333333333333298</v>
      </c>
      <c r="I134" s="109">
        <f t="shared" si="3"/>
        <v>1</v>
      </c>
      <c r="J134" s="134">
        <v>0.9</v>
      </c>
      <c r="K134" s="137"/>
      <c r="L134" s="137"/>
    </row>
    <row r="135" spans="1:12" ht="14.4" customHeight="1">
      <c r="A135" s="253"/>
      <c r="B135" s="244"/>
      <c r="C135" s="249"/>
      <c r="D135" s="132"/>
      <c r="E135" s="158"/>
      <c r="F135" s="129" t="s">
        <v>1252</v>
      </c>
      <c r="G135" s="126"/>
      <c r="H135" s="127">
        <v>0.33333333333333298</v>
      </c>
      <c r="I135" s="109">
        <f t="shared" si="3"/>
        <v>1</v>
      </c>
      <c r="J135" s="134">
        <v>0.9</v>
      </c>
      <c r="K135" s="135"/>
      <c r="L135" s="136"/>
    </row>
    <row r="136" spans="1:12" ht="14.4" customHeight="1">
      <c r="A136" s="253"/>
      <c r="B136" s="244"/>
      <c r="C136" s="250"/>
      <c r="D136" s="132"/>
      <c r="E136" s="133"/>
      <c r="F136" s="128" t="s">
        <v>1253</v>
      </c>
      <c r="G136" s="126"/>
      <c r="H136" s="127">
        <v>0.33333333333333298</v>
      </c>
      <c r="I136" s="109">
        <f t="shared" si="3"/>
        <v>1</v>
      </c>
      <c r="J136" s="134">
        <v>0.9</v>
      </c>
      <c r="K136" s="133"/>
      <c r="L136" s="136"/>
    </row>
    <row r="137" spans="1:12" ht="14.4" customHeight="1">
      <c r="A137" s="253"/>
      <c r="B137" s="244"/>
      <c r="C137" s="243" t="s">
        <v>1197</v>
      </c>
      <c r="D137" s="78" t="s">
        <v>1194</v>
      </c>
      <c r="E137" s="159"/>
      <c r="F137" s="111" t="s">
        <v>1251</v>
      </c>
      <c r="G137" s="107"/>
      <c r="H137" s="108">
        <v>0.33333333333333298</v>
      </c>
      <c r="I137" s="109">
        <f t="shared" si="3"/>
        <v>1</v>
      </c>
      <c r="J137" s="109">
        <v>0.9</v>
      </c>
      <c r="K137" s="82"/>
      <c r="L137" s="82"/>
    </row>
    <row r="138" spans="1:12" ht="14.4" customHeight="1">
      <c r="A138" s="253"/>
      <c r="B138" s="244"/>
      <c r="C138" s="244"/>
      <c r="D138" s="78" t="s">
        <v>1194</v>
      </c>
      <c r="E138" s="159"/>
      <c r="F138" s="106" t="s">
        <v>1252</v>
      </c>
      <c r="G138" s="107"/>
      <c r="H138" s="108">
        <v>0.33333333333333298</v>
      </c>
      <c r="I138" s="109">
        <f t="shared" si="3"/>
        <v>1</v>
      </c>
      <c r="J138" s="109">
        <v>0.9</v>
      </c>
      <c r="K138" s="82"/>
      <c r="L138" s="82"/>
    </row>
    <row r="139" spans="1:12" ht="14.4" customHeight="1">
      <c r="A139" s="253"/>
      <c r="B139" s="245"/>
      <c r="C139" s="245"/>
      <c r="D139" s="78" t="s">
        <v>1194</v>
      </c>
      <c r="E139" s="113"/>
      <c r="F139" s="114" t="s">
        <v>1253</v>
      </c>
      <c r="G139" s="122"/>
      <c r="H139" s="123">
        <v>0.33333333333333298</v>
      </c>
      <c r="I139" s="109">
        <f t="shared" si="3"/>
        <v>1</v>
      </c>
      <c r="J139" s="109">
        <v>0.9</v>
      </c>
      <c r="K139" s="82"/>
      <c r="L139" s="82"/>
    </row>
    <row r="140" spans="1:12" ht="14.4" customHeight="1">
      <c r="A140" s="253"/>
      <c r="B140" s="117"/>
      <c r="C140" s="117"/>
      <c r="D140" s="118"/>
      <c r="E140" s="118"/>
      <c r="F140" s="119" t="s">
        <v>1251</v>
      </c>
      <c r="G140" s="124"/>
      <c r="H140" s="124"/>
      <c r="I140" s="120">
        <f>AVERAGEIF(F77:F139,F140,I77:I139)</f>
        <v>0.95833333333333337</v>
      </c>
      <c r="J140" s="121">
        <v>0.9</v>
      </c>
      <c r="K140" s="118"/>
      <c r="L140" s="116"/>
    </row>
    <row r="141" spans="1:12" ht="14.4" customHeight="1">
      <c r="A141" s="253"/>
      <c r="B141" s="117"/>
      <c r="C141" s="117"/>
      <c r="D141" s="118"/>
      <c r="E141" s="118"/>
      <c r="F141" s="119" t="s">
        <v>1252</v>
      </c>
      <c r="G141" s="124"/>
      <c r="H141" s="124"/>
      <c r="I141" s="120">
        <f>AVERAGEIF(F77:F139,F141,I77:I139)</f>
        <v>0.96279761904761907</v>
      </c>
      <c r="J141" s="121">
        <v>0.9</v>
      </c>
      <c r="K141" s="118"/>
      <c r="L141" s="116"/>
    </row>
    <row r="142" spans="1:12" ht="15" customHeight="1" thickBot="1">
      <c r="A142" s="253"/>
      <c r="B142" s="117"/>
      <c r="C142" s="117"/>
      <c r="D142" s="118"/>
      <c r="E142" s="118"/>
      <c r="F142" s="119" t="s">
        <v>1253</v>
      </c>
      <c r="G142" s="124"/>
      <c r="H142" s="124"/>
      <c r="I142" s="120">
        <f>AVERAGEIF(F77:F139,F142,I77:I139)</f>
        <v>0.97619047619047616</v>
      </c>
      <c r="J142" s="121">
        <v>0.9</v>
      </c>
      <c r="K142" s="118"/>
      <c r="L142" s="116"/>
    </row>
    <row r="143" spans="1:12" ht="14.4" customHeight="1">
      <c r="A143" s="252" t="s">
        <v>1538</v>
      </c>
      <c r="B143" s="251">
        <v>45915</v>
      </c>
      <c r="C143" s="243" t="s">
        <v>1198</v>
      </c>
      <c r="D143" s="110" t="s">
        <v>1201</v>
      </c>
      <c r="E143" s="156"/>
      <c r="F143" s="111" t="s">
        <v>1251</v>
      </c>
      <c r="G143" s="107"/>
      <c r="H143" s="108">
        <v>0.33333333333333331</v>
      </c>
      <c r="I143" s="109">
        <f>1-(G143/H143)</f>
        <v>1</v>
      </c>
      <c r="J143" s="109">
        <v>0.9</v>
      </c>
      <c r="K143" s="82"/>
      <c r="L143" s="82"/>
    </row>
    <row r="144" spans="1:12" ht="14.4" customHeight="1">
      <c r="A144" s="253"/>
      <c r="B144" s="244"/>
      <c r="C144" s="244"/>
      <c r="D144" s="110" t="s">
        <v>1201</v>
      </c>
      <c r="E144" s="156"/>
      <c r="F144" s="111" t="s">
        <v>1252</v>
      </c>
      <c r="G144" s="107"/>
      <c r="H144" s="108">
        <v>0.33333333333333331</v>
      </c>
      <c r="I144" s="109">
        <f>1-(G144/H144)</f>
        <v>1</v>
      </c>
      <c r="J144" s="109">
        <v>0.9</v>
      </c>
      <c r="K144" s="82"/>
      <c r="L144" s="82"/>
    </row>
    <row r="145" spans="1:12" ht="14.4" customHeight="1">
      <c r="A145" s="253"/>
      <c r="B145" s="244"/>
      <c r="C145" s="245"/>
      <c r="D145" s="110" t="s">
        <v>1201</v>
      </c>
      <c r="E145" s="157"/>
      <c r="F145" s="114" t="s">
        <v>1253</v>
      </c>
      <c r="G145" s="107"/>
      <c r="H145" s="108">
        <v>0.33333333333333298</v>
      </c>
      <c r="I145" s="109">
        <f t="shared" ref="I145:I205" si="4">1-(G145/H145)</f>
        <v>1</v>
      </c>
      <c r="J145" s="109">
        <v>0.9</v>
      </c>
      <c r="K145" s="82"/>
      <c r="L145" s="82"/>
    </row>
    <row r="146" spans="1:12" ht="14.4" customHeight="1">
      <c r="A146" s="253"/>
      <c r="B146" s="244"/>
      <c r="C146" s="248" t="s">
        <v>1196</v>
      </c>
      <c r="D146" s="132"/>
      <c r="E146" s="158"/>
      <c r="F146" s="125" t="s">
        <v>1251</v>
      </c>
      <c r="G146" s="126"/>
      <c r="H146" s="127">
        <v>0.33333333333333298</v>
      </c>
      <c r="I146" s="109">
        <f t="shared" si="4"/>
        <v>1</v>
      </c>
      <c r="J146" s="134">
        <v>0.9</v>
      </c>
      <c r="K146" s="82"/>
      <c r="L146" s="136"/>
    </row>
    <row r="147" spans="1:12" ht="14.4" customHeight="1">
      <c r="A147" s="253"/>
      <c r="B147" s="244"/>
      <c r="C147" s="249"/>
      <c r="D147" s="132"/>
      <c r="E147" s="158"/>
      <c r="F147" s="125" t="s">
        <v>1252</v>
      </c>
      <c r="G147" s="126"/>
      <c r="H147" s="127">
        <v>0.33333333333333298</v>
      </c>
      <c r="I147" s="109">
        <f t="shared" si="4"/>
        <v>1</v>
      </c>
      <c r="J147" s="134">
        <v>0.9</v>
      </c>
      <c r="K147" s="135"/>
      <c r="L147" s="136"/>
    </row>
    <row r="148" spans="1:12" ht="14.4" customHeight="1">
      <c r="A148" s="253"/>
      <c r="B148" s="244"/>
      <c r="C148" s="250"/>
      <c r="D148" s="132"/>
      <c r="E148" s="133"/>
      <c r="F148" s="128" t="s">
        <v>1253</v>
      </c>
      <c r="G148" s="126"/>
      <c r="H148" s="127">
        <v>0.33333333333333298</v>
      </c>
      <c r="I148" s="109">
        <f t="shared" si="4"/>
        <v>1</v>
      </c>
      <c r="J148" s="134">
        <v>0.9</v>
      </c>
      <c r="K148" s="133"/>
      <c r="L148" s="136"/>
    </row>
    <row r="149" spans="1:12" ht="14.4" customHeight="1">
      <c r="A149" s="253"/>
      <c r="B149" s="244"/>
      <c r="C149" s="243" t="s">
        <v>1197</v>
      </c>
      <c r="D149" s="78" t="s">
        <v>1194</v>
      </c>
      <c r="E149" s="159"/>
      <c r="F149" s="111" t="s">
        <v>1251</v>
      </c>
      <c r="G149" s="108"/>
      <c r="H149" s="108">
        <v>0.33333333333333298</v>
      </c>
      <c r="I149" s="109">
        <f t="shared" si="4"/>
        <v>1</v>
      </c>
      <c r="J149" s="109">
        <v>0.9</v>
      </c>
      <c r="K149" s="82"/>
      <c r="L149" s="112"/>
    </row>
    <row r="150" spans="1:12" ht="14.4" customHeight="1">
      <c r="A150" s="253"/>
      <c r="B150" s="244"/>
      <c r="C150" s="244"/>
      <c r="D150" s="78" t="s">
        <v>1194</v>
      </c>
      <c r="E150" s="159"/>
      <c r="F150" s="111" t="s">
        <v>1252</v>
      </c>
      <c r="G150" s="108"/>
      <c r="H150" s="108">
        <v>0.33333333333333298</v>
      </c>
      <c r="I150" s="109">
        <f t="shared" si="4"/>
        <v>1</v>
      </c>
      <c r="J150" s="109">
        <v>0.9</v>
      </c>
      <c r="K150" s="82"/>
      <c r="L150" s="82"/>
    </row>
    <row r="151" spans="1:12" ht="15" customHeight="1" thickBot="1">
      <c r="A151" s="253"/>
      <c r="B151" s="245"/>
      <c r="C151" s="245"/>
      <c r="D151" s="78" t="s">
        <v>1194</v>
      </c>
      <c r="E151" s="113"/>
      <c r="F151" s="114" t="s">
        <v>1253</v>
      </c>
      <c r="G151" s="108"/>
      <c r="H151" s="108">
        <v>0.33333333333333298</v>
      </c>
      <c r="I151" s="109">
        <f t="shared" si="4"/>
        <v>1</v>
      </c>
      <c r="J151" s="109">
        <v>0.9</v>
      </c>
      <c r="K151" s="82"/>
      <c r="L151" s="82"/>
    </row>
    <row r="152" spans="1:12" ht="14.4" customHeight="1">
      <c r="A152" s="253"/>
      <c r="B152" s="251">
        <v>45916</v>
      </c>
      <c r="C152" s="248" t="s">
        <v>1198</v>
      </c>
      <c r="D152" s="132" t="s">
        <v>1193</v>
      </c>
      <c r="E152" s="158"/>
      <c r="F152" s="125" t="s">
        <v>1251</v>
      </c>
      <c r="G152" s="126"/>
      <c r="H152" s="127">
        <v>0.33333333333333331</v>
      </c>
      <c r="I152" s="109">
        <f t="shared" si="4"/>
        <v>1</v>
      </c>
      <c r="J152" s="134">
        <v>0.9</v>
      </c>
      <c r="K152" s="135"/>
      <c r="L152" s="137"/>
    </row>
    <row r="153" spans="1:12" ht="14.4" customHeight="1">
      <c r="A153" s="253"/>
      <c r="B153" s="244"/>
      <c r="C153" s="249"/>
      <c r="D153" s="132" t="s">
        <v>1193</v>
      </c>
      <c r="E153" s="158"/>
      <c r="F153" s="125" t="s">
        <v>1252</v>
      </c>
      <c r="G153" s="126"/>
      <c r="H153" s="127">
        <v>0.33333333333333298</v>
      </c>
      <c r="I153" s="109">
        <f t="shared" si="4"/>
        <v>1</v>
      </c>
      <c r="J153" s="134">
        <v>0.9</v>
      </c>
      <c r="K153" s="135"/>
      <c r="L153" s="136"/>
    </row>
    <row r="154" spans="1:12" ht="14.4" customHeight="1">
      <c r="A154" s="253"/>
      <c r="B154" s="244"/>
      <c r="C154" s="250"/>
      <c r="D154" s="132" t="s">
        <v>1193</v>
      </c>
      <c r="E154" s="133"/>
      <c r="F154" s="128" t="s">
        <v>1253</v>
      </c>
      <c r="G154" s="126"/>
      <c r="H154" s="127">
        <v>0.33333333333333331</v>
      </c>
      <c r="I154" s="109">
        <f t="shared" si="4"/>
        <v>1</v>
      </c>
      <c r="J154" s="134">
        <v>0.9</v>
      </c>
      <c r="K154" s="133"/>
      <c r="L154" s="136"/>
    </row>
    <row r="155" spans="1:12" ht="14.4" customHeight="1">
      <c r="A155" s="253"/>
      <c r="B155" s="244"/>
      <c r="C155" s="243" t="s">
        <v>1196</v>
      </c>
      <c r="D155" s="78" t="s">
        <v>1191</v>
      </c>
      <c r="E155" s="159"/>
      <c r="F155" s="111" t="s">
        <v>1251</v>
      </c>
      <c r="G155" s="107">
        <v>0.16666666666666666</v>
      </c>
      <c r="H155" s="108">
        <v>0.33333333333333298</v>
      </c>
      <c r="I155" s="109">
        <f t="shared" si="4"/>
        <v>0.49999999999999944</v>
      </c>
      <c r="J155" s="109">
        <v>0.9</v>
      </c>
      <c r="K155" s="82" t="s">
        <v>1307</v>
      </c>
      <c r="L155" s="112"/>
    </row>
    <row r="156" spans="1:12" ht="14.4" customHeight="1">
      <c r="A156" s="253"/>
      <c r="B156" s="244"/>
      <c r="C156" s="244"/>
      <c r="D156" s="78" t="s">
        <v>1191</v>
      </c>
      <c r="E156" s="159"/>
      <c r="F156" s="111" t="s">
        <v>1252</v>
      </c>
      <c r="G156" s="107"/>
      <c r="H156" s="108">
        <v>0.33333333333333298</v>
      </c>
      <c r="I156" s="109">
        <f t="shared" si="4"/>
        <v>1</v>
      </c>
      <c r="J156" s="109">
        <v>0.9</v>
      </c>
      <c r="K156" s="82"/>
      <c r="L156" s="82"/>
    </row>
    <row r="157" spans="1:12" ht="14.4" customHeight="1">
      <c r="A157" s="253"/>
      <c r="B157" s="244"/>
      <c r="C157" s="245"/>
      <c r="D157" s="78" t="s">
        <v>1191</v>
      </c>
      <c r="E157" s="113"/>
      <c r="F157" s="114" t="s">
        <v>1253</v>
      </c>
      <c r="G157" s="107"/>
      <c r="H157" s="108">
        <v>0.33333333333333298</v>
      </c>
      <c r="I157" s="109">
        <f t="shared" si="4"/>
        <v>1</v>
      </c>
      <c r="J157" s="109">
        <v>0.9</v>
      </c>
      <c r="K157" s="82"/>
      <c r="L157" s="82"/>
    </row>
    <row r="158" spans="1:12" ht="14.4" customHeight="1">
      <c r="A158" s="253"/>
      <c r="B158" s="244"/>
      <c r="C158" s="248" t="s">
        <v>1197</v>
      </c>
      <c r="D158" s="132" t="s">
        <v>1192</v>
      </c>
      <c r="E158" s="158"/>
      <c r="F158" s="125" t="s">
        <v>1251</v>
      </c>
      <c r="G158" s="126"/>
      <c r="H158" s="127">
        <v>0.33333333333333298</v>
      </c>
      <c r="I158" s="109">
        <f t="shared" si="4"/>
        <v>1</v>
      </c>
      <c r="J158" s="134">
        <v>0.9</v>
      </c>
      <c r="K158" s="135"/>
      <c r="L158" s="137"/>
    </row>
    <row r="159" spans="1:12" ht="14.4" customHeight="1">
      <c r="A159" s="253"/>
      <c r="B159" s="244"/>
      <c r="C159" s="249"/>
      <c r="D159" s="132" t="s">
        <v>1192</v>
      </c>
      <c r="E159" s="158"/>
      <c r="F159" s="129" t="s">
        <v>1252</v>
      </c>
      <c r="G159" s="126"/>
      <c r="H159" s="127">
        <v>0.33333333333333298</v>
      </c>
      <c r="I159" s="109">
        <f t="shared" si="4"/>
        <v>1</v>
      </c>
      <c r="J159" s="134">
        <v>0.9</v>
      </c>
      <c r="K159" s="135"/>
      <c r="L159" s="136"/>
    </row>
    <row r="160" spans="1:12" ht="15" customHeight="1" thickBot="1">
      <c r="A160" s="253"/>
      <c r="B160" s="245"/>
      <c r="C160" s="250"/>
      <c r="D160" s="132" t="s">
        <v>1192</v>
      </c>
      <c r="E160" s="133"/>
      <c r="F160" s="128" t="s">
        <v>1253</v>
      </c>
      <c r="G160" s="126"/>
      <c r="H160" s="131">
        <v>0.33333333333333298</v>
      </c>
      <c r="I160" s="115">
        <f t="shared" si="4"/>
        <v>1</v>
      </c>
      <c r="J160" s="134">
        <v>0.9</v>
      </c>
      <c r="K160" s="135"/>
      <c r="L160" s="136"/>
    </row>
    <row r="161" spans="1:12" ht="14.4" customHeight="1">
      <c r="A161" s="253"/>
      <c r="B161" s="251">
        <v>45917</v>
      </c>
      <c r="C161" s="243" t="s">
        <v>1198</v>
      </c>
      <c r="D161" s="78" t="s">
        <v>1193</v>
      </c>
      <c r="E161" s="159"/>
      <c r="F161" s="111" t="s">
        <v>1251</v>
      </c>
      <c r="G161" s="107"/>
      <c r="H161" s="108">
        <v>0.33333333333333331</v>
      </c>
      <c r="I161" s="109">
        <f>1-(G162/H161)</f>
        <v>1</v>
      </c>
      <c r="J161" s="109">
        <v>0.9</v>
      </c>
      <c r="K161" s="82"/>
      <c r="L161" s="112"/>
    </row>
    <row r="162" spans="1:12" ht="14.4" customHeight="1">
      <c r="A162" s="253"/>
      <c r="B162" s="244"/>
      <c r="C162" s="244"/>
      <c r="D162" s="78" t="s">
        <v>1193</v>
      </c>
      <c r="E162" s="159"/>
      <c r="F162" s="106" t="s">
        <v>1252</v>
      </c>
      <c r="G162" s="107"/>
      <c r="H162" s="108">
        <v>0.33333333333333331</v>
      </c>
      <c r="I162" s="109">
        <f>1-(G163/H162)</f>
        <v>1</v>
      </c>
      <c r="J162" s="109">
        <v>0.9</v>
      </c>
      <c r="K162" s="82"/>
      <c r="L162" s="82"/>
    </row>
    <row r="163" spans="1:12" ht="14.4" customHeight="1">
      <c r="A163" s="253"/>
      <c r="B163" s="244"/>
      <c r="C163" s="245"/>
      <c r="D163" s="78" t="s">
        <v>1193</v>
      </c>
      <c r="E163" s="113"/>
      <c r="F163" s="114" t="s">
        <v>1253</v>
      </c>
      <c r="G163" s="107"/>
      <c r="H163" s="108">
        <v>0.33333333333333298</v>
      </c>
      <c r="I163" s="109">
        <f t="shared" si="4"/>
        <v>1</v>
      </c>
      <c r="J163" s="109">
        <v>0.9</v>
      </c>
      <c r="K163" s="82"/>
      <c r="L163" s="82"/>
    </row>
    <row r="164" spans="1:12" ht="14.4" customHeight="1">
      <c r="A164" s="253"/>
      <c r="B164" s="244"/>
      <c r="C164" s="248" t="s">
        <v>1196</v>
      </c>
      <c r="D164" s="132" t="s">
        <v>1191</v>
      </c>
      <c r="E164" s="158"/>
      <c r="F164" s="125" t="s">
        <v>1251</v>
      </c>
      <c r="G164" s="126"/>
      <c r="H164" s="127">
        <v>0.33333333333333298</v>
      </c>
      <c r="I164" s="109">
        <f t="shared" si="4"/>
        <v>1</v>
      </c>
      <c r="J164" s="134">
        <v>0.9</v>
      </c>
      <c r="K164" s="135"/>
      <c r="L164" s="137"/>
    </row>
    <row r="165" spans="1:12" ht="14.4" customHeight="1">
      <c r="A165" s="253"/>
      <c r="B165" s="244"/>
      <c r="C165" s="249"/>
      <c r="D165" s="132" t="s">
        <v>1191</v>
      </c>
      <c r="E165" s="158"/>
      <c r="F165" s="129" t="s">
        <v>1252</v>
      </c>
      <c r="G165" s="126"/>
      <c r="H165" s="127">
        <v>0.33333333333333331</v>
      </c>
      <c r="I165" s="109">
        <f t="shared" si="4"/>
        <v>1</v>
      </c>
      <c r="J165" s="134">
        <v>0.9</v>
      </c>
      <c r="K165" s="135"/>
      <c r="L165" s="136"/>
    </row>
    <row r="166" spans="1:12" ht="14.4" customHeight="1">
      <c r="A166" s="253"/>
      <c r="B166" s="244"/>
      <c r="C166" s="250"/>
      <c r="D166" s="132" t="s">
        <v>1191</v>
      </c>
      <c r="E166" s="133"/>
      <c r="F166" s="128" t="s">
        <v>1253</v>
      </c>
      <c r="G166" s="127"/>
      <c r="H166" s="127">
        <v>0.33333333333333298</v>
      </c>
      <c r="I166" s="109">
        <f t="shared" si="4"/>
        <v>1</v>
      </c>
      <c r="J166" s="134">
        <v>0.9</v>
      </c>
      <c r="K166" s="133"/>
      <c r="L166" s="136"/>
    </row>
    <row r="167" spans="1:12" ht="14.4" customHeight="1">
      <c r="A167" s="253"/>
      <c r="B167" s="244"/>
      <c r="C167" s="243" t="s">
        <v>1197</v>
      </c>
      <c r="D167" s="78"/>
      <c r="E167" s="159"/>
      <c r="F167" s="111" t="s">
        <v>1251</v>
      </c>
      <c r="G167" s="107"/>
      <c r="H167" s="108">
        <v>0.33333333333333298</v>
      </c>
      <c r="I167" s="109">
        <f t="shared" si="4"/>
        <v>1</v>
      </c>
      <c r="J167" s="109">
        <v>0.9</v>
      </c>
      <c r="K167" s="82"/>
      <c r="L167" s="112"/>
    </row>
    <row r="168" spans="1:12" ht="14.4" customHeight="1">
      <c r="A168" s="253"/>
      <c r="B168" s="244"/>
      <c r="C168" s="244"/>
      <c r="D168" s="78"/>
      <c r="E168" s="159"/>
      <c r="F168" s="106" t="s">
        <v>1252</v>
      </c>
      <c r="G168" s="107"/>
      <c r="H168" s="108">
        <v>0.33333333333333298</v>
      </c>
      <c r="I168" s="109">
        <f t="shared" si="4"/>
        <v>1</v>
      </c>
      <c r="J168" s="109">
        <v>0.9</v>
      </c>
      <c r="K168" s="82"/>
      <c r="L168" s="82"/>
    </row>
    <row r="169" spans="1:12" ht="15" customHeight="1" thickBot="1">
      <c r="A169" s="253"/>
      <c r="B169" s="245"/>
      <c r="C169" s="245"/>
      <c r="D169" s="78"/>
      <c r="E169" s="113"/>
      <c r="F169" s="114" t="s">
        <v>1253</v>
      </c>
      <c r="G169" s="108">
        <v>0.16666666666666666</v>
      </c>
      <c r="H169" s="108">
        <v>0.33333333333333298</v>
      </c>
      <c r="I169" s="109">
        <f t="shared" si="4"/>
        <v>0.49999999999999944</v>
      </c>
      <c r="J169" s="109">
        <v>0.9</v>
      </c>
      <c r="K169" s="82" t="s">
        <v>1323</v>
      </c>
      <c r="L169" s="82"/>
    </row>
    <row r="170" spans="1:12" ht="14.4" customHeight="1">
      <c r="A170" s="253"/>
      <c r="B170" s="251">
        <v>45918</v>
      </c>
      <c r="C170" s="248" t="s">
        <v>1198</v>
      </c>
      <c r="D170" s="132" t="s">
        <v>1194</v>
      </c>
      <c r="E170" s="158"/>
      <c r="F170" s="125" t="s">
        <v>1251</v>
      </c>
      <c r="G170" s="126">
        <v>8.6805555555555552E-2</v>
      </c>
      <c r="H170" s="127">
        <v>0.33333333333333298</v>
      </c>
      <c r="I170" s="109">
        <f t="shared" si="4"/>
        <v>0.73958333333333304</v>
      </c>
      <c r="J170" s="134">
        <v>0.9</v>
      </c>
      <c r="K170" s="135" t="s">
        <v>1323</v>
      </c>
      <c r="L170" s="137"/>
    </row>
    <row r="171" spans="1:12" ht="14.4" customHeight="1">
      <c r="A171" s="253"/>
      <c r="B171" s="244"/>
      <c r="C171" s="249"/>
      <c r="D171" s="132" t="s">
        <v>1194</v>
      </c>
      <c r="E171" s="158"/>
      <c r="F171" s="129" t="s">
        <v>1252</v>
      </c>
      <c r="G171" s="126"/>
      <c r="H171" s="127">
        <v>0.33333333333333298</v>
      </c>
      <c r="I171" s="109">
        <f t="shared" si="4"/>
        <v>1</v>
      </c>
      <c r="J171" s="134">
        <v>0.9</v>
      </c>
      <c r="K171" s="135"/>
      <c r="L171" s="136"/>
    </row>
    <row r="172" spans="1:12" ht="14.4" customHeight="1">
      <c r="A172" s="253"/>
      <c r="B172" s="244"/>
      <c r="C172" s="250"/>
      <c r="D172" s="132" t="s">
        <v>1194</v>
      </c>
      <c r="E172" s="133"/>
      <c r="F172" s="128" t="s">
        <v>1253</v>
      </c>
      <c r="G172" s="127"/>
      <c r="H172" s="127">
        <v>0.33333333333333298</v>
      </c>
      <c r="I172" s="109">
        <f t="shared" si="4"/>
        <v>1</v>
      </c>
      <c r="J172" s="134">
        <v>0.9</v>
      </c>
      <c r="K172" s="133"/>
      <c r="L172" s="136"/>
    </row>
    <row r="173" spans="1:12" ht="14.4" customHeight="1">
      <c r="A173" s="253"/>
      <c r="B173" s="244"/>
      <c r="C173" s="243" t="s">
        <v>1196</v>
      </c>
      <c r="D173" s="78"/>
      <c r="E173" s="159"/>
      <c r="F173" s="111" t="s">
        <v>1251</v>
      </c>
      <c r="G173" s="108"/>
      <c r="H173" s="108">
        <v>0.33333333333333298</v>
      </c>
      <c r="I173" s="109">
        <f t="shared" si="4"/>
        <v>1</v>
      </c>
      <c r="J173" s="109">
        <v>0.9</v>
      </c>
      <c r="K173" s="112"/>
      <c r="L173" s="112"/>
    </row>
    <row r="174" spans="1:12" ht="14.4" customHeight="1">
      <c r="A174" s="253"/>
      <c r="B174" s="244"/>
      <c r="C174" s="244"/>
      <c r="D174" s="78"/>
      <c r="E174" s="159"/>
      <c r="F174" s="106" t="s">
        <v>1252</v>
      </c>
      <c r="G174" s="108"/>
      <c r="H174" s="108">
        <v>0.33333333333333298</v>
      </c>
      <c r="I174" s="109">
        <f t="shared" si="4"/>
        <v>1</v>
      </c>
      <c r="J174" s="109">
        <v>0.9</v>
      </c>
      <c r="K174" s="112"/>
      <c r="L174" s="82"/>
    </row>
    <row r="175" spans="1:12" ht="14.4" customHeight="1">
      <c r="A175" s="253"/>
      <c r="B175" s="244"/>
      <c r="C175" s="245"/>
      <c r="D175" s="78"/>
      <c r="E175" s="113"/>
      <c r="F175" s="114" t="s">
        <v>1253</v>
      </c>
      <c r="G175" s="108"/>
      <c r="H175" s="108">
        <v>0.33333333333333298</v>
      </c>
      <c r="I175" s="109">
        <f t="shared" si="4"/>
        <v>1</v>
      </c>
      <c r="J175" s="109">
        <v>0.9</v>
      </c>
      <c r="K175" s="82"/>
      <c r="L175" s="82"/>
    </row>
    <row r="176" spans="1:12" ht="14.4" customHeight="1">
      <c r="A176" s="253"/>
      <c r="B176" s="244"/>
      <c r="C176" s="248" t="s">
        <v>1197</v>
      </c>
      <c r="D176" s="132" t="s">
        <v>1191</v>
      </c>
      <c r="E176" s="158"/>
      <c r="F176" s="125" t="s">
        <v>1251</v>
      </c>
      <c r="G176" s="127"/>
      <c r="H176" s="127">
        <v>0.33333333333333298</v>
      </c>
      <c r="I176" s="109">
        <f t="shared" si="4"/>
        <v>1</v>
      </c>
      <c r="J176" s="134">
        <v>0.9</v>
      </c>
      <c r="K176" s="133"/>
      <c r="L176" s="137"/>
    </row>
    <row r="177" spans="1:12" ht="14.4" customHeight="1">
      <c r="A177" s="253"/>
      <c r="B177" s="244"/>
      <c r="C177" s="249"/>
      <c r="D177" s="132" t="s">
        <v>1191</v>
      </c>
      <c r="E177" s="158"/>
      <c r="F177" s="129" t="s">
        <v>1252</v>
      </c>
      <c r="G177" s="127"/>
      <c r="H177" s="127">
        <v>0.33333333333333298</v>
      </c>
      <c r="I177" s="109">
        <f t="shared" si="4"/>
        <v>1</v>
      </c>
      <c r="J177" s="134">
        <v>0.9</v>
      </c>
      <c r="K177" s="133"/>
      <c r="L177" s="136"/>
    </row>
    <row r="178" spans="1:12" ht="15" customHeight="1" thickBot="1">
      <c r="A178" s="253"/>
      <c r="B178" s="245"/>
      <c r="C178" s="250"/>
      <c r="D178" s="132" t="s">
        <v>1191</v>
      </c>
      <c r="E178" s="133"/>
      <c r="F178" s="128" t="s">
        <v>1253</v>
      </c>
      <c r="G178" s="127"/>
      <c r="H178" s="127">
        <v>0.33333333333333298</v>
      </c>
      <c r="I178" s="109">
        <f t="shared" si="4"/>
        <v>1</v>
      </c>
      <c r="J178" s="134">
        <v>0.9</v>
      </c>
      <c r="K178" s="133"/>
      <c r="L178" s="136"/>
    </row>
    <row r="179" spans="1:12" ht="14.4" customHeight="1">
      <c r="A179" s="253"/>
      <c r="B179" s="251">
        <v>45919</v>
      </c>
      <c r="C179" s="243" t="s">
        <v>1198</v>
      </c>
      <c r="D179" s="78"/>
      <c r="E179" s="159"/>
      <c r="F179" s="111" t="s">
        <v>1251</v>
      </c>
      <c r="G179" s="107"/>
      <c r="H179" s="108">
        <v>0.33333333333333298</v>
      </c>
      <c r="I179" s="109">
        <f t="shared" si="4"/>
        <v>1</v>
      </c>
      <c r="J179" s="109">
        <v>0.9</v>
      </c>
      <c r="K179" s="82"/>
      <c r="L179" s="112"/>
    </row>
    <row r="180" spans="1:12" ht="14.4" customHeight="1">
      <c r="A180" s="253"/>
      <c r="B180" s="244"/>
      <c r="C180" s="244"/>
      <c r="D180" s="78"/>
      <c r="E180" s="159"/>
      <c r="F180" s="106" t="s">
        <v>1252</v>
      </c>
      <c r="G180" s="107"/>
      <c r="H180" s="108">
        <v>0.33333333333333298</v>
      </c>
      <c r="I180" s="109">
        <f t="shared" si="4"/>
        <v>1</v>
      </c>
      <c r="J180" s="109">
        <v>0.9</v>
      </c>
      <c r="K180" s="82"/>
      <c r="L180" s="82"/>
    </row>
    <row r="181" spans="1:12" ht="14.4" customHeight="1">
      <c r="A181" s="253"/>
      <c r="B181" s="244"/>
      <c r="C181" s="245"/>
      <c r="D181" s="78"/>
      <c r="E181" s="113"/>
      <c r="F181" s="114" t="s">
        <v>1253</v>
      </c>
      <c r="G181" s="107"/>
      <c r="H181" s="108">
        <v>0.33333333333333331</v>
      </c>
      <c r="I181" s="109">
        <f t="shared" si="4"/>
        <v>1</v>
      </c>
      <c r="J181" s="109">
        <v>0.9</v>
      </c>
      <c r="K181" s="82"/>
      <c r="L181" s="82"/>
    </row>
    <row r="182" spans="1:12" ht="14.4" customHeight="1">
      <c r="A182" s="253"/>
      <c r="B182" s="244"/>
      <c r="C182" s="248" t="s">
        <v>1196</v>
      </c>
      <c r="D182" s="132" t="s">
        <v>1201</v>
      </c>
      <c r="E182" s="158"/>
      <c r="F182" s="125" t="s">
        <v>1251</v>
      </c>
      <c r="G182" s="126"/>
      <c r="H182" s="127">
        <v>0.33333333333333298</v>
      </c>
      <c r="I182" s="109">
        <f t="shared" si="4"/>
        <v>1</v>
      </c>
      <c r="J182" s="134">
        <v>0.9</v>
      </c>
      <c r="K182" s="135"/>
      <c r="L182" s="137"/>
    </row>
    <row r="183" spans="1:12" ht="14.4" customHeight="1">
      <c r="A183" s="253"/>
      <c r="B183" s="244"/>
      <c r="C183" s="249"/>
      <c r="D183" s="132" t="s">
        <v>1201</v>
      </c>
      <c r="E183" s="158"/>
      <c r="F183" s="129" t="s">
        <v>1252</v>
      </c>
      <c r="G183" s="126"/>
      <c r="H183" s="127">
        <v>0.33333333333333298</v>
      </c>
      <c r="I183" s="109">
        <f t="shared" si="4"/>
        <v>1</v>
      </c>
      <c r="J183" s="134">
        <v>0.9</v>
      </c>
      <c r="K183" s="135"/>
      <c r="L183" s="136"/>
    </row>
    <row r="184" spans="1:12" ht="14.4" customHeight="1">
      <c r="A184" s="253"/>
      <c r="B184" s="244"/>
      <c r="C184" s="250"/>
      <c r="D184" s="132" t="s">
        <v>1201</v>
      </c>
      <c r="E184" s="133"/>
      <c r="F184" s="128" t="s">
        <v>1253</v>
      </c>
      <c r="G184" s="126"/>
      <c r="H184" s="127">
        <v>0.33333333333333298</v>
      </c>
      <c r="I184" s="109">
        <f t="shared" si="4"/>
        <v>1</v>
      </c>
      <c r="J184" s="134">
        <v>0.9</v>
      </c>
      <c r="K184" s="133"/>
      <c r="L184" s="136"/>
    </row>
    <row r="185" spans="1:12" ht="14.4" customHeight="1">
      <c r="A185" s="253"/>
      <c r="B185" s="244"/>
      <c r="C185" s="243" t="s">
        <v>1197</v>
      </c>
      <c r="D185" s="78"/>
      <c r="E185" s="159"/>
      <c r="F185" s="111" t="s">
        <v>1251</v>
      </c>
      <c r="G185" s="107"/>
      <c r="H185" s="108">
        <v>0.33333333333333298</v>
      </c>
      <c r="I185" s="109">
        <f t="shared" si="4"/>
        <v>1</v>
      </c>
      <c r="J185" s="109">
        <v>0.9</v>
      </c>
      <c r="K185" s="82"/>
      <c r="L185" s="82"/>
    </row>
    <row r="186" spans="1:12" ht="14.4" customHeight="1">
      <c r="A186" s="253"/>
      <c r="B186" s="244"/>
      <c r="C186" s="244"/>
      <c r="D186" s="78"/>
      <c r="E186" s="159"/>
      <c r="F186" s="106" t="s">
        <v>1252</v>
      </c>
      <c r="G186" s="107"/>
      <c r="H186" s="108">
        <v>0.33333333333333298</v>
      </c>
      <c r="I186" s="109">
        <f t="shared" si="4"/>
        <v>1</v>
      </c>
      <c r="J186" s="109">
        <v>0.9</v>
      </c>
      <c r="K186" s="82"/>
      <c r="L186" s="82"/>
    </row>
    <row r="187" spans="1:12" ht="14.4" customHeight="1" thickBot="1">
      <c r="A187" s="253"/>
      <c r="B187" s="245"/>
      <c r="C187" s="245"/>
      <c r="D187" s="78"/>
      <c r="E187" s="113"/>
      <c r="F187" s="114" t="s">
        <v>1253</v>
      </c>
      <c r="G187" s="107"/>
      <c r="H187" s="123">
        <v>0.33333333333333298</v>
      </c>
      <c r="I187" s="109">
        <f t="shared" si="4"/>
        <v>1</v>
      </c>
      <c r="J187" s="109">
        <v>0.9</v>
      </c>
      <c r="K187" s="82"/>
      <c r="L187" s="82"/>
    </row>
    <row r="188" spans="1:12" ht="14.4" customHeight="1">
      <c r="A188" s="253"/>
      <c r="B188" s="251">
        <v>45920</v>
      </c>
      <c r="C188" s="243" t="s">
        <v>1198</v>
      </c>
      <c r="D188" s="78"/>
      <c r="E188" s="159"/>
      <c r="F188" s="111" t="s">
        <v>1251</v>
      </c>
      <c r="G188" s="107"/>
      <c r="H188" s="108">
        <v>0.33333333333333298</v>
      </c>
      <c r="I188" s="109">
        <f t="shared" si="4"/>
        <v>1</v>
      </c>
      <c r="J188" s="109">
        <v>0.9</v>
      </c>
      <c r="K188" s="82"/>
      <c r="L188" s="112"/>
    </row>
    <row r="189" spans="1:12" ht="14.4" customHeight="1">
      <c r="A189" s="253"/>
      <c r="B189" s="244"/>
      <c r="C189" s="244"/>
      <c r="D189" s="78"/>
      <c r="E189" s="159"/>
      <c r="F189" s="106" t="s">
        <v>1252</v>
      </c>
      <c r="G189" s="107"/>
      <c r="H189" s="108">
        <v>0.33333333333333298</v>
      </c>
      <c r="I189" s="109">
        <f t="shared" si="4"/>
        <v>1</v>
      </c>
      <c r="J189" s="109">
        <v>0.9</v>
      </c>
      <c r="K189" s="82"/>
      <c r="L189" s="82"/>
    </row>
    <row r="190" spans="1:12" ht="14.4" customHeight="1">
      <c r="A190" s="253"/>
      <c r="B190" s="244"/>
      <c r="C190" s="245"/>
      <c r="D190" s="78"/>
      <c r="E190" s="113"/>
      <c r="F190" s="114" t="s">
        <v>1253</v>
      </c>
      <c r="G190" s="107"/>
      <c r="H190" s="108">
        <v>0.33333333333333298</v>
      </c>
      <c r="I190" s="109">
        <f t="shared" si="4"/>
        <v>1</v>
      </c>
      <c r="J190" s="109">
        <v>0.9</v>
      </c>
      <c r="K190" s="82"/>
      <c r="L190" s="82"/>
    </row>
    <row r="191" spans="1:12" ht="14.4" customHeight="1">
      <c r="A191" s="253"/>
      <c r="B191" s="244"/>
      <c r="C191" s="248" t="s">
        <v>1196</v>
      </c>
      <c r="D191" s="132"/>
      <c r="E191" s="158"/>
      <c r="F191" s="125" t="s">
        <v>1251</v>
      </c>
      <c r="G191" s="126"/>
      <c r="H191" s="127">
        <v>0.33333333333333298</v>
      </c>
      <c r="I191" s="109">
        <f t="shared" si="4"/>
        <v>1</v>
      </c>
      <c r="J191" s="134">
        <v>0.9</v>
      </c>
      <c r="K191" s="135"/>
      <c r="L191" s="137"/>
    </row>
    <row r="192" spans="1:12" ht="14.4" customHeight="1">
      <c r="A192" s="253"/>
      <c r="B192" s="244"/>
      <c r="C192" s="249"/>
      <c r="D192" s="132"/>
      <c r="E192" s="158"/>
      <c r="F192" s="129" t="s">
        <v>1252</v>
      </c>
      <c r="G192" s="126"/>
      <c r="H192" s="127">
        <v>0.33333333333333298</v>
      </c>
      <c r="I192" s="109">
        <f t="shared" si="4"/>
        <v>1</v>
      </c>
      <c r="J192" s="134">
        <v>0.9</v>
      </c>
      <c r="K192" s="135"/>
      <c r="L192" s="136"/>
    </row>
    <row r="193" spans="1:12" ht="14.4" customHeight="1">
      <c r="A193" s="253"/>
      <c r="B193" s="244"/>
      <c r="C193" s="250"/>
      <c r="D193" s="132"/>
      <c r="E193" s="133"/>
      <c r="F193" s="128" t="s">
        <v>1253</v>
      </c>
      <c r="G193" s="126"/>
      <c r="H193" s="127">
        <v>0.33333333333333298</v>
      </c>
      <c r="I193" s="109">
        <f t="shared" si="4"/>
        <v>1</v>
      </c>
      <c r="J193" s="134">
        <v>0.9</v>
      </c>
      <c r="K193" s="133"/>
      <c r="L193" s="136"/>
    </row>
    <row r="194" spans="1:12" ht="14.4" customHeight="1">
      <c r="A194" s="253"/>
      <c r="B194" s="244"/>
      <c r="C194" s="243" t="s">
        <v>1197</v>
      </c>
      <c r="D194" s="78"/>
      <c r="E194" s="159"/>
      <c r="F194" s="111" t="s">
        <v>1251</v>
      </c>
      <c r="G194" s="107"/>
      <c r="H194" s="108">
        <v>0.33333333333333298</v>
      </c>
      <c r="I194" s="109">
        <f t="shared" si="4"/>
        <v>1</v>
      </c>
      <c r="J194" s="109">
        <v>0.9</v>
      </c>
      <c r="K194" s="82"/>
      <c r="L194" s="82"/>
    </row>
    <row r="195" spans="1:12" ht="14.4" customHeight="1">
      <c r="A195" s="253"/>
      <c r="B195" s="244"/>
      <c r="C195" s="244"/>
      <c r="D195" s="78"/>
      <c r="E195" s="159"/>
      <c r="F195" s="106" t="s">
        <v>1252</v>
      </c>
      <c r="G195" s="107"/>
      <c r="H195" s="108">
        <v>0.33333333333333298</v>
      </c>
      <c r="I195" s="109">
        <f t="shared" si="4"/>
        <v>1</v>
      </c>
      <c r="J195" s="109">
        <v>0.9</v>
      </c>
      <c r="K195" s="82"/>
      <c r="L195" s="82"/>
    </row>
    <row r="196" spans="1:12" ht="14.4" customHeight="1" thickBot="1">
      <c r="A196" s="253"/>
      <c r="B196" s="245"/>
      <c r="C196" s="245"/>
      <c r="D196" s="78"/>
      <c r="E196" s="113"/>
      <c r="F196" s="114" t="s">
        <v>1253</v>
      </c>
      <c r="G196" s="107"/>
      <c r="H196" s="123">
        <v>0.33333333333333298</v>
      </c>
      <c r="I196" s="109">
        <f t="shared" si="4"/>
        <v>1</v>
      </c>
      <c r="J196" s="109">
        <v>0.9</v>
      </c>
      <c r="K196" s="82"/>
      <c r="L196" s="82"/>
    </row>
    <row r="197" spans="1:12" ht="14.4" customHeight="1">
      <c r="A197" s="253"/>
      <c r="B197" s="251">
        <v>45921</v>
      </c>
      <c r="C197" s="243" t="s">
        <v>1198</v>
      </c>
      <c r="D197" s="78"/>
      <c r="E197" s="159"/>
      <c r="F197" s="111" t="s">
        <v>1251</v>
      </c>
      <c r="G197" s="107"/>
      <c r="H197" s="108">
        <v>0.33333333333333298</v>
      </c>
      <c r="I197" s="109">
        <f t="shared" si="4"/>
        <v>1</v>
      </c>
      <c r="J197" s="109">
        <v>0.9</v>
      </c>
      <c r="K197" s="82"/>
      <c r="L197" s="112"/>
    </row>
    <row r="198" spans="1:12" ht="14.4" customHeight="1">
      <c r="A198" s="253"/>
      <c r="B198" s="244"/>
      <c r="C198" s="244"/>
      <c r="D198" s="78"/>
      <c r="E198" s="159"/>
      <c r="F198" s="106" t="s">
        <v>1252</v>
      </c>
      <c r="G198" s="107"/>
      <c r="H198" s="108">
        <v>0.33333333333333298</v>
      </c>
      <c r="I198" s="109">
        <f t="shared" si="4"/>
        <v>1</v>
      </c>
      <c r="J198" s="109">
        <v>0.9</v>
      </c>
      <c r="K198" s="82"/>
      <c r="L198" s="82"/>
    </row>
    <row r="199" spans="1:12" ht="14.4" customHeight="1">
      <c r="A199" s="253"/>
      <c r="B199" s="244"/>
      <c r="C199" s="245"/>
      <c r="D199" s="78"/>
      <c r="E199" s="113"/>
      <c r="F199" s="114" t="s">
        <v>1253</v>
      </c>
      <c r="G199" s="107"/>
      <c r="H199" s="108">
        <v>0.33333333333333298</v>
      </c>
      <c r="I199" s="109">
        <f t="shared" si="4"/>
        <v>1</v>
      </c>
      <c r="J199" s="109">
        <v>0.9</v>
      </c>
      <c r="K199" s="82"/>
      <c r="L199" s="82"/>
    </row>
    <row r="200" spans="1:12" ht="14.4" customHeight="1">
      <c r="A200" s="253"/>
      <c r="B200" s="244"/>
      <c r="C200" s="248" t="s">
        <v>1196</v>
      </c>
      <c r="D200" s="132"/>
      <c r="E200" s="158"/>
      <c r="F200" s="125" t="s">
        <v>1251</v>
      </c>
      <c r="G200" s="126"/>
      <c r="H200" s="127">
        <v>0.33333333333333298</v>
      </c>
      <c r="I200" s="109">
        <f t="shared" si="4"/>
        <v>1</v>
      </c>
      <c r="J200" s="134">
        <v>0.9</v>
      </c>
      <c r="K200" s="135"/>
      <c r="L200" s="137"/>
    </row>
    <row r="201" spans="1:12" ht="14.4" customHeight="1">
      <c r="A201" s="253"/>
      <c r="B201" s="244"/>
      <c r="C201" s="249"/>
      <c r="D201" s="132"/>
      <c r="E201" s="158"/>
      <c r="F201" s="129" t="s">
        <v>1252</v>
      </c>
      <c r="G201" s="126"/>
      <c r="H201" s="127">
        <v>0.33333333333333298</v>
      </c>
      <c r="I201" s="109">
        <f t="shared" si="4"/>
        <v>1</v>
      </c>
      <c r="J201" s="134">
        <v>0.9</v>
      </c>
      <c r="K201" s="135"/>
      <c r="L201" s="136"/>
    </row>
    <row r="202" spans="1:12" ht="14.4" customHeight="1">
      <c r="A202" s="253"/>
      <c r="B202" s="244"/>
      <c r="C202" s="250"/>
      <c r="D202" s="132"/>
      <c r="E202" s="133"/>
      <c r="F202" s="128" t="s">
        <v>1253</v>
      </c>
      <c r="G202" s="126"/>
      <c r="H202" s="127">
        <v>0.33333333333333298</v>
      </c>
      <c r="I202" s="109">
        <f t="shared" si="4"/>
        <v>1</v>
      </c>
      <c r="J202" s="134">
        <v>0.9</v>
      </c>
      <c r="K202" s="133"/>
      <c r="L202" s="136"/>
    </row>
    <row r="203" spans="1:12" ht="14.4" customHeight="1">
      <c r="A203" s="253"/>
      <c r="B203" s="244"/>
      <c r="C203" s="243" t="s">
        <v>1197</v>
      </c>
      <c r="D203" s="78"/>
      <c r="E203" s="159"/>
      <c r="F203" s="111" t="s">
        <v>1251</v>
      </c>
      <c r="G203" s="107"/>
      <c r="H203" s="108">
        <v>0.33333333333333298</v>
      </c>
      <c r="I203" s="109">
        <f t="shared" si="4"/>
        <v>1</v>
      </c>
      <c r="J203" s="109">
        <v>0.9</v>
      </c>
      <c r="K203" s="82"/>
      <c r="L203" s="82"/>
    </row>
    <row r="204" spans="1:12" ht="14.4" customHeight="1">
      <c r="A204" s="253"/>
      <c r="B204" s="244"/>
      <c r="C204" s="244"/>
      <c r="D204" s="78"/>
      <c r="E204" s="159"/>
      <c r="F204" s="106" t="s">
        <v>1252</v>
      </c>
      <c r="G204" s="107"/>
      <c r="H204" s="108">
        <v>0.33333333333333298</v>
      </c>
      <c r="I204" s="109">
        <f t="shared" si="4"/>
        <v>1</v>
      </c>
      <c r="J204" s="109">
        <v>0.9</v>
      </c>
      <c r="K204" s="82"/>
      <c r="L204" s="82"/>
    </row>
    <row r="205" spans="1:12" ht="14.4" customHeight="1">
      <c r="A205" s="253"/>
      <c r="B205" s="245"/>
      <c r="C205" s="245"/>
      <c r="D205" s="78"/>
      <c r="E205" s="113"/>
      <c r="F205" s="114" t="s">
        <v>1253</v>
      </c>
      <c r="G205" s="107"/>
      <c r="H205" s="123">
        <v>0.33333333333333298</v>
      </c>
      <c r="I205" s="109">
        <f t="shared" si="4"/>
        <v>1</v>
      </c>
      <c r="J205" s="109">
        <v>0.9</v>
      </c>
      <c r="K205" s="82"/>
      <c r="L205" s="82"/>
    </row>
    <row r="206" spans="1:12" ht="14.4" customHeight="1">
      <c r="A206" s="253"/>
      <c r="B206" s="117"/>
      <c r="C206" s="117"/>
      <c r="D206" s="118"/>
      <c r="E206" s="118"/>
      <c r="F206" s="119" t="s">
        <v>1251</v>
      </c>
      <c r="G206" s="124"/>
      <c r="H206" s="124"/>
      <c r="I206" s="120">
        <f>AVERAGEIF(F143:F205,F206,I143:I205)</f>
        <v>0.96378968253968245</v>
      </c>
      <c r="J206" s="121">
        <v>0.9</v>
      </c>
      <c r="K206" s="118"/>
      <c r="L206" s="116"/>
    </row>
    <row r="207" spans="1:12" ht="14.4" customHeight="1">
      <c r="A207" s="253"/>
      <c r="B207" s="117"/>
      <c r="C207" s="117"/>
      <c r="D207" s="118"/>
      <c r="E207" s="118"/>
      <c r="F207" s="119" t="s">
        <v>1252</v>
      </c>
      <c r="G207" s="124"/>
      <c r="H207" s="124"/>
      <c r="I207" s="120">
        <f>AVERAGEIF(F143:F205,F207,I143:I205)</f>
        <v>1</v>
      </c>
      <c r="J207" s="121">
        <v>0.9</v>
      </c>
      <c r="K207" s="118"/>
      <c r="L207" s="116"/>
    </row>
    <row r="208" spans="1:12" ht="14.4" customHeight="1" thickBot="1">
      <c r="A208" s="253"/>
      <c r="B208" s="117"/>
      <c r="C208" s="117"/>
      <c r="D208" s="118"/>
      <c r="E208" s="118"/>
      <c r="F208" s="119" t="s">
        <v>1253</v>
      </c>
      <c r="G208" s="124"/>
      <c r="H208" s="124"/>
      <c r="I208" s="120">
        <f>AVERAGEIF(F143:F205,F208,I143:I205)</f>
        <v>0.97619047619047616</v>
      </c>
      <c r="J208" s="121">
        <v>0.9</v>
      </c>
      <c r="K208" s="118"/>
      <c r="L208" s="116"/>
    </row>
    <row r="209" spans="1:12">
      <c r="A209" s="252"/>
      <c r="B209" s="251">
        <v>45922</v>
      </c>
      <c r="C209" s="243" t="s">
        <v>1198</v>
      </c>
      <c r="D209" s="110" t="s">
        <v>1191</v>
      </c>
      <c r="E209" s="156"/>
      <c r="F209" s="111" t="s">
        <v>1251</v>
      </c>
      <c r="G209" s="107"/>
      <c r="H209" s="108">
        <v>0.33333333333333331</v>
      </c>
      <c r="I209" s="109">
        <f>1-(G209/H209)</f>
        <v>1</v>
      </c>
      <c r="J209" s="109">
        <v>0.9</v>
      </c>
      <c r="K209" s="82"/>
      <c r="L209" s="82"/>
    </row>
    <row r="210" spans="1:12">
      <c r="A210" s="253"/>
      <c r="B210" s="244"/>
      <c r="C210" s="244"/>
      <c r="D210" s="110" t="s">
        <v>1191</v>
      </c>
      <c r="E210" s="156"/>
      <c r="F210" s="111" t="s">
        <v>1252</v>
      </c>
      <c r="G210" s="107"/>
      <c r="H210" s="108">
        <v>0.33333333333333331</v>
      </c>
      <c r="I210" s="109">
        <f>1-(G210/H210)</f>
        <v>1</v>
      </c>
      <c r="J210" s="109">
        <v>0.9</v>
      </c>
      <c r="K210" s="82"/>
      <c r="L210" s="82"/>
    </row>
    <row r="211" spans="1:12">
      <c r="A211" s="253"/>
      <c r="B211" s="244"/>
      <c r="C211" s="245"/>
      <c r="D211" s="110" t="s">
        <v>1191</v>
      </c>
      <c r="E211" s="157"/>
      <c r="F211" s="114" t="s">
        <v>1253</v>
      </c>
      <c r="G211" s="107"/>
      <c r="H211" s="108">
        <v>0.33333333333333298</v>
      </c>
      <c r="I211" s="109">
        <f t="shared" ref="I211:I271" si="5">1-(G211/H211)</f>
        <v>1</v>
      </c>
      <c r="J211" s="109">
        <v>0.9</v>
      </c>
      <c r="K211" s="82"/>
      <c r="L211" s="82"/>
    </row>
    <row r="212" spans="1:12">
      <c r="A212" s="253"/>
      <c r="B212" s="244"/>
      <c r="C212" s="248" t="s">
        <v>1196</v>
      </c>
      <c r="D212" s="132" t="s">
        <v>1192</v>
      </c>
      <c r="E212" s="158"/>
      <c r="F212" s="125" t="s">
        <v>1251</v>
      </c>
      <c r="G212" s="126">
        <v>0.33333333333333331</v>
      </c>
      <c r="H212" s="127">
        <v>0.33333333333333331</v>
      </c>
      <c r="I212" s="109">
        <f t="shared" si="5"/>
        <v>0</v>
      </c>
      <c r="J212" s="134">
        <v>0.9</v>
      </c>
      <c r="K212" s="135" t="s">
        <v>1323</v>
      </c>
      <c r="L212" s="136"/>
    </row>
    <row r="213" spans="1:12">
      <c r="A213" s="253"/>
      <c r="B213" s="244"/>
      <c r="C213" s="249"/>
      <c r="D213" s="132" t="s">
        <v>1192</v>
      </c>
      <c r="E213" s="158"/>
      <c r="F213" s="125" t="s">
        <v>1252</v>
      </c>
      <c r="G213" s="126">
        <v>0.33333333333333331</v>
      </c>
      <c r="H213" s="127">
        <v>0.33333333333333298</v>
      </c>
      <c r="I213" s="109">
        <f t="shared" si="5"/>
        <v>0</v>
      </c>
      <c r="J213" s="134">
        <v>0.9</v>
      </c>
      <c r="K213" s="135" t="s">
        <v>1323</v>
      </c>
      <c r="L213" s="136"/>
    </row>
    <row r="214" spans="1:12">
      <c r="A214" s="253"/>
      <c r="B214" s="244"/>
      <c r="C214" s="250"/>
      <c r="D214" s="132" t="s">
        <v>1192</v>
      </c>
      <c r="E214" s="133"/>
      <c r="F214" s="128" t="s">
        <v>1253</v>
      </c>
      <c r="G214" s="126"/>
      <c r="H214" s="127">
        <v>0.33333333333333298</v>
      </c>
      <c r="I214" s="109">
        <f t="shared" si="5"/>
        <v>1</v>
      </c>
      <c r="J214" s="134">
        <v>0.9</v>
      </c>
      <c r="K214" s="133"/>
      <c r="L214" s="136"/>
    </row>
    <row r="215" spans="1:12">
      <c r="A215" s="253"/>
      <c r="B215" s="244"/>
      <c r="C215" s="243" t="s">
        <v>1197</v>
      </c>
      <c r="D215" s="78" t="s">
        <v>1194</v>
      </c>
      <c r="E215" s="159"/>
      <c r="F215" s="111" t="s">
        <v>1251</v>
      </c>
      <c r="G215" s="107">
        <v>0.33333333333333331</v>
      </c>
      <c r="H215" s="108">
        <v>0.33333333333333298</v>
      </c>
      <c r="I215" s="109">
        <f t="shared" si="5"/>
        <v>0</v>
      </c>
      <c r="J215" s="109">
        <v>0.9</v>
      </c>
      <c r="K215" s="82" t="s">
        <v>1323</v>
      </c>
      <c r="L215" s="112"/>
    </row>
    <row r="216" spans="1:12">
      <c r="A216" s="253"/>
      <c r="B216" s="244"/>
      <c r="C216" s="244"/>
      <c r="D216" s="78" t="s">
        <v>1194</v>
      </c>
      <c r="E216" s="159"/>
      <c r="F216" s="111" t="s">
        <v>1252</v>
      </c>
      <c r="G216" s="107">
        <v>0.29166666666666669</v>
      </c>
      <c r="H216" s="108">
        <v>0.33333333333333298</v>
      </c>
      <c r="I216" s="109">
        <f t="shared" si="5"/>
        <v>0.124999999999999</v>
      </c>
      <c r="J216" s="109">
        <v>0.9</v>
      </c>
      <c r="K216" s="82" t="s">
        <v>1323</v>
      </c>
      <c r="L216" s="82"/>
    </row>
    <row r="217" spans="1:12" ht="15" thickBot="1">
      <c r="A217" s="253"/>
      <c r="B217" s="245"/>
      <c r="C217" s="245"/>
      <c r="D217" s="78" t="s">
        <v>1194</v>
      </c>
      <c r="E217" s="113"/>
      <c r="F217" s="114" t="s">
        <v>1253</v>
      </c>
      <c r="G217" s="107"/>
      <c r="H217" s="108">
        <v>0.33333333333333298</v>
      </c>
      <c r="I217" s="109">
        <f t="shared" si="5"/>
        <v>1</v>
      </c>
      <c r="J217" s="109">
        <v>0.9</v>
      </c>
      <c r="K217" s="82"/>
      <c r="L217" s="82"/>
    </row>
    <row r="218" spans="1:12">
      <c r="A218" s="253"/>
      <c r="B218" s="251">
        <v>45923</v>
      </c>
      <c r="C218" s="248" t="s">
        <v>1198</v>
      </c>
      <c r="D218" s="132" t="s">
        <v>1191</v>
      </c>
      <c r="E218" s="158"/>
      <c r="F218" s="125" t="s">
        <v>1251</v>
      </c>
      <c r="G218" s="126"/>
      <c r="H218" s="127">
        <v>0.33333333333333298</v>
      </c>
      <c r="I218" s="109">
        <f t="shared" si="5"/>
        <v>1</v>
      </c>
      <c r="J218" s="134">
        <v>0.9</v>
      </c>
      <c r="K218" s="135"/>
      <c r="L218" s="137"/>
    </row>
    <row r="219" spans="1:12">
      <c r="A219" s="253"/>
      <c r="B219" s="244"/>
      <c r="C219" s="249"/>
      <c r="D219" s="132" t="s">
        <v>1191</v>
      </c>
      <c r="E219" s="158"/>
      <c r="F219" s="125" t="s">
        <v>1252</v>
      </c>
      <c r="G219" s="126">
        <v>4.1666666666666664E-2</v>
      </c>
      <c r="H219" s="127">
        <v>0.33333333333333298</v>
      </c>
      <c r="I219" s="109">
        <f t="shared" si="5"/>
        <v>0.87499999999999989</v>
      </c>
      <c r="J219" s="134">
        <v>0.9</v>
      </c>
      <c r="K219" s="135" t="s">
        <v>1323</v>
      </c>
      <c r="L219" s="136"/>
    </row>
    <row r="220" spans="1:12">
      <c r="A220" s="253"/>
      <c r="B220" s="244"/>
      <c r="C220" s="250"/>
      <c r="D220" s="132" t="s">
        <v>1191</v>
      </c>
      <c r="E220" s="133"/>
      <c r="F220" s="128" t="s">
        <v>1253</v>
      </c>
      <c r="G220" s="126"/>
      <c r="H220" s="127">
        <v>0.33333333333333298</v>
      </c>
      <c r="I220" s="109">
        <f t="shared" si="5"/>
        <v>1</v>
      </c>
      <c r="J220" s="134">
        <v>0.9</v>
      </c>
      <c r="K220" s="133"/>
      <c r="L220" s="136"/>
    </row>
    <row r="221" spans="1:12">
      <c r="A221" s="253"/>
      <c r="B221" s="244"/>
      <c r="C221" s="243" t="s">
        <v>1196</v>
      </c>
      <c r="D221" s="78" t="s">
        <v>1192</v>
      </c>
      <c r="E221" s="159"/>
      <c r="F221" s="111" t="s">
        <v>1251</v>
      </c>
      <c r="G221" s="107">
        <v>0.33333333333333331</v>
      </c>
      <c r="H221" s="108">
        <v>0.33333333333333298</v>
      </c>
      <c r="I221" s="109">
        <f t="shared" si="5"/>
        <v>0</v>
      </c>
      <c r="J221" s="109">
        <v>0.9</v>
      </c>
      <c r="K221" s="82" t="s">
        <v>1539</v>
      </c>
      <c r="L221" s="112"/>
    </row>
    <row r="222" spans="1:12">
      <c r="A222" s="253"/>
      <c r="B222" s="244"/>
      <c r="C222" s="244"/>
      <c r="D222" s="78" t="s">
        <v>1192</v>
      </c>
      <c r="E222" s="159"/>
      <c r="F222" s="111" t="s">
        <v>1252</v>
      </c>
      <c r="G222" s="107"/>
      <c r="H222" s="108">
        <v>0.33333333333333298</v>
      </c>
      <c r="I222" s="109">
        <f t="shared" si="5"/>
        <v>1</v>
      </c>
      <c r="J222" s="109">
        <v>0.9</v>
      </c>
      <c r="K222" s="82"/>
      <c r="L222" s="82"/>
    </row>
    <row r="223" spans="1:12">
      <c r="A223" s="253"/>
      <c r="B223" s="244"/>
      <c r="C223" s="245"/>
      <c r="D223" s="78" t="s">
        <v>1192</v>
      </c>
      <c r="E223" s="113"/>
      <c r="F223" s="114" t="s">
        <v>1253</v>
      </c>
      <c r="G223" s="107"/>
      <c r="H223" s="108">
        <v>0.33333333333333298</v>
      </c>
      <c r="I223" s="109">
        <f t="shared" si="5"/>
        <v>1</v>
      </c>
      <c r="J223" s="109">
        <v>0.9</v>
      </c>
      <c r="K223" s="82"/>
      <c r="L223" s="82"/>
    </row>
    <row r="224" spans="1:12">
      <c r="A224" s="253"/>
      <c r="B224" s="244"/>
      <c r="C224" s="248" t="s">
        <v>1197</v>
      </c>
      <c r="D224" s="132" t="s">
        <v>1194</v>
      </c>
      <c r="E224" s="158"/>
      <c r="F224" s="125" t="s">
        <v>1251</v>
      </c>
      <c r="G224" s="126"/>
      <c r="H224" s="127">
        <v>0.33333333333333298</v>
      </c>
      <c r="I224" s="109">
        <f t="shared" si="5"/>
        <v>1</v>
      </c>
      <c r="J224" s="134">
        <v>0.9</v>
      </c>
      <c r="K224" s="135"/>
      <c r="L224" s="137"/>
    </row>
    <row r="225" spans="1:12">
      <c r="A225" s="253"/>
      <c r="B225" s="244"/>
      <c r="C225" s="249"/>
      <c r="D225" s="132" t="s">
        <v>1194</v>
      </c>
      <c r="E225" s="158"/>
      <c r="F225" s="129" t="s">
        <v>1252</v>
      </c>
      <c r="G225" s="126"/>
      <c r="H225" s="127">
        <v>0.33333333333333298</v>
      </c>
      <c r="I225" s="109">
        <f t="shared" si="5"/>
        <v>1</v>
      </c>
      <c r="J225" s="134">
        <v>0.9</v>
      </c>
      <c r="K225" s="135"/>
      <c r="L225" s="136"/>
    </row>
    <row r="226" spans="1:12" ht="15" thickBot="1">
      <c r="A226" s="253"/>
      <c r="B226" s="245"/>
      <c r="C226" s="250"/>
      <c r="D226" s="132" t="s">
        <v>1194</v>
      </c>
      <c r="E226" s="133"/>
      <c r="F226" s="128" t="s">
        <v>1253</v>
      </c>
      <c r="G226" s="126"/>
      <c r="H226" s="131">
        <v>0.33333333333333298</v>
      </c>
      <c r="I226" s="115">
        <f t="shared" si="5"/>
        <v>1</v>
      </c>
      <c r="J226" s="134">
        <v>0.9</v>
      </c>
      <c r="K226" s="133"/>
      <c r="L226" s="136"/>
    </row>
    <row r="227" spans="1:12">
      <c r="A227" s="253"/>
      <c r="B227" s="251">
        <v>45924</v>
      </c>
      <c r="C227" s="243" t="s">
        <v>1198</v>
      </c>
      <c r="D227" s="78"/>
      <c r="E227" s="159"/>
      <c r="F227" s="111" t="s">
        <v>1251</v>
      </c>
      <c r="G227" s="107"/>
      <c r="H227" s="108">
        <v>0.33333333333333298</v>
      </c>
      <c r="I227" s="109">
        <f t="shared" si="5"/>
        <v>1</v>
      </c>
      <c r="J227" s="109">
        <v>0.9</v>
      </c>
      <c r="K227" s="82"/>
      <c r="L227" s="112"/>
    </row>
    <row r="228" spans="1:12">
      <c r="A228" s="253"/>
      <c r="B228" s="244"/>
      <c r="C228" s="244"/>
      <c r="D228" s="78"/>
      <c r="E228" s="159"/>
      <c r="F228" s="106" t="s">
        <v>1252</v>
      </c>
      <c r="G228" s="107"/>
      <c r="H228" s="108">
        <v>0.33333333333333298</v>
      </c>
      <c r="I228" s="109">
        <f t="shared" si="5"/>
        <v>1</v>
      </c>
      <c r="J228" s="109">
        <v>0.9</v>
      </c>
      <c r="K228" s="82"/>
      <c r="L228" s="82"/>
    </row>
    <row r="229" spans="1:12">
      <c r="A229" s="253"/>
      <c r="B229" s="244"/>
      <c r="C229" s="245"/>
      <c r="D229" s="78"/>
      <c r="E229" s="113"/>
      <c r="F229" s="114" t="s">
        <v>1253</v>
      </c>
      <c r="G229" s="107"/>
      <c r="H229" s="108">
        <v>0.33333333333333298</v>
      </c>
      <c r="I229" s="109">
        <f t="shared" si="5"/>
        <v>1</v>
      </c>
      <c r="J229" s="109">
        <v>0.9</v>
      </c>
      <c r="K229" s="82"/>
      <c r="L229" s="82"/>
    </row>
    <row r="230" spans="1:12">
      <c r="A230" s="253"/>
      <c r="B230" s="244"/>
      <c r="C230" s="248" t="s">
        <v>1196</v>
      </c>
      <c r="D230" s="132" t="s">
        <v>1191</v>
      </c>
      <c r="E230" s="158"/>
      <c r="F230" s="125" t="s">
        <v>1251</v>
      </c>
      <c r="G230" s="126"/>
      <c r="H230" s="127">
        <v>0.33333333333333298</v>
      </c>
      <c r="I230" s="109">
        <f t="shared" si="5"/>
        <v>1</v>
      </c>
      <c r="J230" s="134">
        <v>0.9</v>
      </c>
      <c r="K230" s="135"/>
      <c r="L230" s="137"/>
    </row>
    <row r="231" spans="1:12">
      <c r="A231" s="253"/>
      <c r="B231" s="244"/>
      <c r="C231" s="249"/>
      <c r="D231" s="132" t="s">
        <v>1191</v>
      </c>
      <c r="E231" s="158"/>
      <c r="F231" s="129" t="s">
        <v>1252</v>
      </c>
      <c r="G231" s="126"/>
      <c r="H231" s="127">
        <v>0.33333333333333298</v>
      </c>
      <c r="I231" s="109">
        <f t="shared" si="5"/>
        <v>1</v>
      </c>
      <c r="J231" s="134">
        <v>0.9</v>
      </c>
      <c r="K231" s="135"/>
      <c r="L231" s="136"/>
    </row>
    <row r="232" spans="1:12">
      <c r="A232" s="253"/>
      <c r="B232" s="244"/>
      <c r="C232" s="250"/>
      <c r="D232" s="132" t="s">
        <v>1191</v>
      </c>
      <c r="E232" s="133"/>
      <c r="F232" s="128" t="s">
        <v>1253</v>
      </c>
      <c r="G232" s="126"/>
      <c r="H232" s="127">
        <v>0.33333333333333298</v>
      </c>
      <c r="I232" s="109">
        <f t="shared" si="5"/>
        <v>1</v>
      </c>
      <c r="J232" s="134">
        <v>0.9</v>
      </c>
      <c r="K232" s="133"/>
      <c r="L232" s="136"/>
    </row>
    <row r="233" spans="1:12">
      <c r="A233" s="253"/>
      <c r="B233" s="244"/>
      <c r="C233" s="243" t="s">
        <v>1197</v>
      </c>
      <c r="D233" s="78" t="s">
        <v>1192</v>
      </c>
      <c r="E233" s="159"/>
      <c r="F233" s="111" t="s">
        <v>1251</v>
      </c>
      <c r="G233" s="107"/>
      <c r="H233" s="108">
        <v>0.33333333333333298</v>
      </c>
      <c r="I233" s="109">
        <f t="shared" si="5"/>
        <v>1</v>
      </c>
      <c r="J233" s="109">
        <v>0.9</v>
      </c>
      <c r="K233" s="82"/>
      <c r="L233" s="112"/>
    </row>
    <row r="234" spans="1:12">
      <c r="A234" s="253"/>
      <c r="B234" s="244"/>
      <c r="C234" s="244"/>
      <c r="D234" s="78" t="s">
        <v>1192</v>
      </c>
      <c r="E234" s="159"/>
      <c r="F234" s="106" t="s">
        <v>1252</v>
      </c>
      <c r="G234" s="107"/>
      <c r="H234" s="108">
        <v>0.33333333333333298</v>
      </c>
      <c r="I234" s="109">
        <f t="shared" si="5"/>
        <v>1</v>
      </c>
      <c r="J234" s="109">
        <v>0.9</v>
      </c>
      <c r="K234" s="82"/>
      <c r="L234" s="82"/>
    </row>
    <row r="235" spans="1:12" ht="15" thickBot="1">
      <c r="A235" s="253"/>
      <c r="B235" s="245"/>
      <c r="C235" s="245"/>
      <c r="D235" s="78" t="s">
        <v>1192</v>
      </c>
      <c r="E235" s="113"/>
      <c r="F235" s="114" t="s">
        <v>1253</v>
      </c>
      <c r="G235" s="107"/>
      <c r="H235" s="108">
        <v>0.33333333333333298</v>
      </c>
      <c r="I235" s="109">
        <f t="shared" si="5"/>
        <v>1</v>
      </c>
      <c r="J235" s="109">
        <v>0.9</v>
      </c>
      <c r="K235" s="82"/>
      <c r="L235" s="82"/>
    </row>
    <row r="236" spans="1:12">
      <c r="A236" s="253"/>
      <c r="B236" s="251">
        <v>45925</v>
      </c>
      <c r="C236" s="248" t="s">
        <v>1198</v>
      </c>
      <c r="D236" s="132"/>
      <c r="E236" s="158"/>
      <c r="F236" s="125" t="s">
        <v>1251</v>
      </c>
      <c r="G236" s="126"/>
      <c r="H236" s="127">
        <v>0.33333333333333298</v>
      </c>
      <c r="I236" s="109">
        <f t="shared" si="5"/>
        <v>1</v>
      </c>
      <c r="J236" s="134">
        <v>0.9</v>
      </c>
      <c r="K236" s="135"/>
      <c r="L236" s="137"/>
    </row>
    <row r="237" spans="1:12">
      <c r="A237" s="253"/>
      <c r="B237" s="244"/>
      <c r="C237" s="249"/>
      <c r="D237" s="132"/>
      <c r="E237" s="158"/>
      <c r="F237" s="129" t="s">
        <v>1252</v>
      </c>
      <c r="G237" s="126"/>
      <c r="H237" s="127">
        <v>0.33333333333333331</v>
      </c>
      <c r="I237" s="109">
        <f t="shared" si="5"/>
        <v>1</v>
      </c>
      <c r="J237" s="134">
        <v>0.9</v>
      </c>
      <c r="K237" s="135"/>
      <c r="L237" s="136"/>
    </row>
    <row r="238" spans="1:12">
      <c r="A238" s="253"/>
      <c r="B238" s="244"/>
      <c r="C238" s="250"/>
      <c r="D238" s="132"/>
      <c r="E238" s="133"/>
      <c r="F238" s="128" t="s">
        <v>1253</v>
      </c>
      <c r="G238" s="126"/>
      <c r="H238" s="127">
        <v>0.33333333333333298</v>
      </c>
      <c r="I238" s="109">
        <f t="shared" si="5"/>
        <v>1</v>
      </c>
      <c r="J238" s="134">
        <v>0.9</v>
      </c>
      <c r="K238" s="133"/>
      <c r="L238" s="136"/>
    </row>
    <row r="239" spans="1:12">
      <c r="A239" s="253"/>
      <c r="B239" s="244"/>
      <c r="C239" s="243" t="s">
        <v>1196</v>
      </c>
      <c r="D239" s="78" t="s">
        <v>1191</v>
      </c>
      <c r="E239" s="159"/>
      <c r="F239" s="111" t="s">
        <v>1251</v>
      </c>
      <c r="G239" s="107"/>
      <c r="H239" s="108">
        <v>0.33333333333333298</v>
      </c>
      <c r="I239" s="109">
        <f t="shared" si="5"/>
        <v>1</v>
      </c>
      <c r="J239" s="109">
        <v>0.9</v>
      </c>
      <c r="K239" s="82"/>
      <c r="L239" s="112"/>
    </row>
    <row r="240" spans="1:12">
      <c r="A240" s="253"/>
      <c r="B240" s="244"/>
      <c r="C240" s="244"/>
      <c r="D240" s="78" t="s">
        <v>1191</v>
      </c>
      <c r="E240" s="159"/>
      <c r="F240" s="106" t="s">
        <v>1252</v>
      </c>
      <c r="G240" s="107"/>
      <c r="H240" s="108">
        <v>0.33333333333333298</v>
      </c>
      <c r="I240" s="109">
        <f t="shared" si="5"/>
        <v>1</v>
      </c>
      <c r="J240" s="109">
        <v>0.9</v>
      </c>
      <c r="K240" s="82"/>
      <c r="L240" s="82"/>
    </row>
    <row r="241" spans="1:12">
      <c r="A241" s="253"/>
      <c r="B241" s="244"/>
      <c r="C241" s="245"/>
      <c r="D241" s="78" t="s">
        <v>1191</v>
      </c>
      <c r="E241" s="113"/>
      <c r="F241" s="114" t="s">
        <v>1253</v>
      </c>
      <c r="G241" s="107"/>
      <c r="H241" s="108">
        <v>0.33333333333333298</v>
      </c>
      <c r="I241" s="109">
        <f t="shared" si="5"/>
        <v>1</v>
      </c>
      <c r="J241" s="109">
        <v>0.9</v>
      </c>
      <c r="K241" s="82"/>
      <c r="L241" s="82"/>
    </row>
    <row r="242" spans="1:12">
      <c r="A242" s="253"/>
      <c r="B242" s="244"/>
      <c r="C242" s="248" t="s">
        <v>1197</v>
      </c>
      <c r="D242" s="132" t="s">
        <v>1192</v>
      </c>
      <c r="E242" s="158"/>
      <c r="F242" s="125" t="s">
        <v>1251</v>
      </c>
      <c r="G242" s="126"/>
      <c r="H242" s="127">
        <v>0.33333333333333298</v>
      </c>
      <c r="I242" s="109">
        <f t="shared" si="5"/>
        <v>1</v>
      </c>
      <c r="J242" s="134">
        <v>0.9</v>
      </c>
      <c r="K242" s="133"/>
      <c r="L242" s="137"/>
    </row>
    <row r="243" spans="1:12">
      <c r="A243" s="253"/>
      <c r="B243" s="244"/>
      <c r="C243" s="249"/>
      <c r="D243" s="132" t="s">
        <v>1192</v>
      </c>
      <c r="E243" s="158"/>
      <c r="F243" s="129" t="s">
        <v>1252</v>
      </c>
      <c r="G243" s="126"/>
      <c r="H243" s="127">
        <v>0.33333333333333298</v>
      </c>
      <c r="I243" s="109">
        <f t="shared" si="5"/>
        <v>1</v>
      </c>
      <c r="J243" s="134">
        <v>0.9</v>
      </c>
      <c r="K243" s="135"/>
      <c r="L243" s="136"/>
    </row>
    <row r="244" spans="1:12" ht="15" thickBot="1">
      <c r="A244" s="253"/>
      <c r="B244" s="245"/>
      <c r="C244" s="250"/>
      <c r="D244" s="132" t="s">
        <v>1192</v>
      </c>
      <c r="E244" s="133"/>
      <c r="F244" s="128" t="s">
        <v>1253</v>
      </c>
      <c r="G244" s="126"/>
      <c r="H244" s="127">
        <v>0.33333333333333298</v>
      </c>
      <c r="I244" s="109">
        <f t="shared" si="5"/>
        <v>1</v>
      </c>
      <c r="J244" s="134">
        <v>0.9</v>
      </c>
      <c r="K244" s="133"/>
      <c r="L244" s="136"/>
    </row>
    <row r="245" spans="1:12">
      <c r="A245" s="253"/>
      <c r="B245" s="251">
        <v>45926</v>
      </c>
      <c r="C245" s="248" t="s">
        <v>1198</v>
      </c>
      <c r="D245" s="132" t="s">
        <v>1194</v>
      </c>
      <c r="E245" s="158"/>
      <c r="F245" s="125" t="s">
        <v>1251</v>
      </c>
      <c r="G245" s="126">
        <v>3.8194444444444448E-2</v>
      </c>
      <c r="H245" s="127">
        <v>0.33333333333333298</v>
      </c>
      <c r="I245" s="109">
        <f t="shared" si="5"/>
        <v>0.88541666666666652</v>
      </c>
      <c r="J245" s="134">
        <v>0.9</v>
      </c>
      <c r="K245" s="135"/>
      <c r="L245" s="137"/>
    </row>
    <row r="246" spans="1:12">
      <c r="A246" s="253"/>
      <c r="B246" s="244"/>
      <c r="C246" s="249"/>
      <c r="D246" s="132" t="s">
        <v>1194</v>
      </c>
      <c r="E246" s="158"/>
      <c r="F246" s="129" t="s">
        <v>1252</v>
      </c>
      <c r="G246" s="126"/>
      <c r="H246" s="127">
        <v>0.33333333333333298</v>
      </c>
      <c r="I246" s="109">
        <f t="shared" si="5"/>
        <v>1</v>
      </c>
      <c r="J246" s="134">
        <v>0.9</v>
      </c>
      <c r="K246" s="135"/>
      <c r="L246" s="136"/>
    </row>
    <row r="247" spans="1:12">
      <c r="A247" s="253"/>
      <c r="B247" s="244"/>
      <c r="C247" s="250"/>
      <c r="D247" s="132" t="s">
        <v>1194</v>
      </c>
      <c r="E247" s="133"/>
      <c r="F247" s="128" t="s">
        <v>1253</v>
      </c>
      <c r="G247" s="126"/>
      <c r="H247" s="127">
        <v>0.33333333333333331</v>
      </c>
      <c r="I247" s="109">
        <f t="shared" si="5"/>
        <v>1</v>
      </c>
      <c r="J247" s="134">
        <v>0.9</v>
      </c>
      <c r="K247" s="133"/>
      <c r="L247" s="136"/>
    </row>
    <row r="248" spans="1:12">
      <c r="A248" s="253"/>
      <c r="B248" s="244"/>
      <c r="C248" s="243" t="s">
        <v>1196</v>
      </c>
      <c r="D248" s="78"/>
      <c r="E248" s="159"/>
      <c r="F248" s="111" t="s">
        <v>1251</v>
      </c>
      <c r="G248" s="107"/>
      <c r="H248" s="108">
        <v>0.33333333333333298</v>
      </c>
      <c r="I248" s="109">
        <f t="shared" si="5"/>
        <v>1</v>
      </c>
      <c r="J248" s="109">
        <v>0.9</v>
      </c>
      <c r="K248" s="82"/>
      <c r="L248" s="112"/>
    </row>
    <row r="249" spans="1:12">
      <c r="A249" s="253"/>
      <c r="B249" s="244"/>
      <c r="C249" s="244"/>
      <c r="D249" s="78"/>
      <c r="E249" s="159"/>
      <c r="F249" s="106" t="s">
        <v>1252</v>
      </c>
      <c r="G249" s="107"/>
      <c r="H249" s="108">
        <v>0.33333333333333298</v>
      </c>
      <c r="I249" s="109">
        <f t="shared" si="5"/>
        <v>1</v>
      </c>
      <c r="J249" s="109">
        <v>0.9</v>
      </c>
      <c r="K249" s="82"/>
      <c r="L249" s="82"/>
    </row>
    <row r="250" spans="1:12">
      <c r="A250" s="253"/>
      <c r="B250" s="244"/>
      <c r="C250" s="245"/>
      <c r="D250" s="78"/>
      <c r="E250" s="113"/>
      <c r="F250" s="114" t="s">
        <v>1253</v>
      </c>
      <c r="G250" s="107"/>
      <c r="H250" s="108">
        <v>0.33333333333333298</v>
      </c>
      <c r="I250" s="109">
        <f t="shared" si="5"/>
        <v>1</v>
      </c>
      <c r="J250" s="109">
        <v>0.9</v>
      </c>
      <c r="K250" s="82"/>
      <c r="L250" s="82"/>
    </row>
    <row r="251" spans="1:12">
      <c r="A251" s="253"/>
      <c r="B251" s="244"/>
      <c r="C251" s="248" t="s">
        <v>1197</v>
      </c>
      <c r="D251" s="132" t="s">
        <v>1191</v>
      </c>
      <c r="E251" s="158"/>
      <c r="F251" s="125" t="s">
        <v>1251</v>
      </c>
      <c r="G251" s="126"/>
      <c r="H251" s="127">
        <v>0.33333333333333298</v>
      </c>
      <c r="I251" s="109">
        <f t="shared" si="5"/>
        <v>1</v>
      </c>
      <c r="J251" s="134">
        <v>0.9</v>
      </c>
      <c r="K251" s="133"/>
      <c r="L251" s="137"/>
    </row>
    <row r="252" spans="1:12">
      <c r="A252" s="253"/>
      <c r="B252" s="244"/>
      <c r="C252" s="249"/>
      <c r="D252" s="132" t="s">
        <v>1191</v>
      </c>
      <c r="E252" s="158"/>
      <c r="F252" s="129" t="s">
        <v>1252</v>
      </c>
      <c r="G252" s="126"/>
      <c r="H252" s="127">
        <v>0.33333333333333298</v>
      </c>
      <c r="I252" s="109">
        <f t="shared" si="5"/>
        <v>1</v>
      </c>
      <c r="J252" s="134">
        <v>0.9</v>
      </c>
      <c r="K252" s="135"/>
      <c r="L252" s="136"/>
    </row>
    <row r="253" spans="1:12" ht="15" thickBot="1">
      <c r="A253" s="253"/>
      <c r="B253" s="245"/>
      <c r="C253" s="250"/>
      <c r="D253" s="132" t="s">
        <v>1191</v>
      </c>
      <c r="E253" s="133"/>
      <c r="F253" s="128" t="s">
        <v>1253</v>
      </c>
      <c r="G253" s="126"/>
      <c r="H253" s="127">
        <v>0.33333333333333298</v>
      </c>
      <c r="I253" s="109">
        <f t="shared" si="5"/>
        <v>1</v>
      </c>
      <c r="J253" s="134">
        <v>0.9</v>
      </c>
      <c r="K253" s="133"/>
      <c r="L253" s="136"/>
    </row>
    <row r="254" spans="1:12">
      <c r="A254" s="253"/>
      <c r="B254" s="251">
        <v>45927</v>
      </c>
      <c r="C254" s="248" t="s">
        <v>1198</v>
      </c>
      <c r="D254" s="132" t="s">
        <v>1194</v>
      </c>
      <c r="E254" s="158"/>
      <c r="F254" s="125" t="s">
        <v>1251</v>
      </c>
      <c r="G254" s="126"/>
      <c r="H254" s="127">
        <v>0.33333333333333298</v>
      </c>
      <c r="I254" s="109">
        <f t="shared" si="5"/>
        <v>1</v>
      </c>
      <c r="J254" s="134">
        <v>0.9</v>
      </c>
      <c r="K254" s="135"/>
      <c r="L254" s="137"/>
    </row>
    <row r="255" spans="1:12">
      <c r="A255" s="253"/>
      <c r="B255" s="244"/>
      <c r="C255" s="249"/>
      <c r="D255" s="132" t="s">
        <v>1194</v>
      </c>
      <c r="E255" s="158"/>
      <c r="F255" s="129" t="s">
        <v>1252</v>
      </c>
      <c r="G255" s="126"/>
      <c r="H255" s="127">
        <v>0.33333333333333298</v>
      </c>
      <c r="I255" s="109">
        <f t="shared" si="5"/>
        <v>1</v>
      </c>
      <c r="J255" s="134">
        <v>0.9</v>
      </c>
      <c r="K255" s="135"/>
      <c r="L255" s="136"/>
    </row>
    <row r="256" spans="1:12">
      <c r="A256" s="253"/>
      <c r="B256" s="244"/>
      <c r="C256" s="250"/>
      <c r="D256" s="132" t="s">
        <v>1194</v>
      </c>
      <c r="E256" s="133"/>
      <c r="F256" s="128" t="s">
        <v>1253</v>
      </c>
      <c r="G256" s="126"/>
      <c r="H256" s="127">
        <v>0.33333333333333298</v>
      </c>
      <c r="I256" s="109">
        <f t="shared" si="5"/>
        <v>1</v>
      </c>
      <c r="J256" s="134">
        <v>0.9</v>
      </c>
      <c r="K256" s="135"/>
      <c r="L256" s="136"/>
    </row>
    <row r="257" spans="1:12">
      <c r="A257" s="253"/>
      <c r="B257" s="244"/>
      <c r="C257" s="243" t="s">
        <v>1196</v>
      </c>
      <c r="D257" s="78"/>
      <c r="E257" s="159"/>
      <c r="F257" s="111" t="s">
        <v>1251</v>
      </c>
      <c r="G257" s="107"/>
      <c r="H257" s="108">
        <v>0.33333333333333298</v>
      </c>
      <c r="I257" s="109">
        <f t="shared" si="5"/>
        <v>1</v>
      </c>
      <c r="J257" s="109">
        <v>0.9</v>
      </c>
      <c r="K257" s="82"/>
      <c r="L257" s="112"/>
    </row>
    <row r="258" spans="1:12">
      <c r="A258" s="253"/>
      <c r="B258" s="244"/>
      <c r="C258" s="244"/>
      <c r="D258" s="78"/>
      <c r="E258" s="159"/>
      <c r="F258" s="106" t="s">
        <v>1252</v>
      </c>
      <c r="G258" s="107"/>
      <c r="H258" s="108">
        <v>0.33333333333333298</v>
      </c>
      <c r="I258" s="109">
        <f t="shared" si="5"/>
        <v>1</v>
      </c>
      <c r="J258" s="109">
        <v>0.9</v>
      </c>
      <c r="K258" s="82"/>
      <c r="L258" s="82"/>
    </row>
    <row r="259" spans="1:12">
      <c r="A259" s="253"/>
      <c r="B259" s="244"/>
      <c r="C259" s="245"/>
      <c r="D259" s="78"/>
      <c r="E259" s="113"/>
      <c r="F259" s="114" t="s">
        <v>1253</v>
      </c>
      <c r="G259" s="107"/>
      <c r="H259" s="108">
        <v>0.33333333333333298</v>
      </c>
      <c r="I259" s="109">
        <f t="shared" si="5"/>
        <v>1</v>
      </c>
      <c r="J259" s="109">
        <v>0.9</v>
      </c>
      <c r="K259" s="82"/>
      <c r="L259" s="82"/>
    </row>
    <row r="260" spans="1:12">
      <c r="A260" s="253"/>
      <c r="B260" s="244"/>
      <c r="C260" s="248" t="s">
        <v>1197</v>
      </c>
      <c r="D260" s="132" t="s">
        <v>1191</v>
      </c>
      <c r="E260" s="158"/>
      <c r="F260" s="125" t="s">
        <v>1251</v>
      </c>
      <c r="G260" s="126"/>
      <c r="H260" s="127">
        <v>0.33333333333333298</v>
      </c>
      <c r="I260" s="109">
        <f t="shared" si="5"/>
        <v>1</v>
      </c>
      <c r="J260" s="134">
        <v>0.9</v>
      </c>
      <c r="K260" s="133"/>
      <c r="L260" s="137"/>
    </row>
    <row r="261" spans="1:12">
      <c r="A261" s="253"/>
      <c r="B261" s="244"/>
      <c r="C261" s="249"/>
      <c r="D261" s="132" t="s">
        <v>1191</v>
      </c>
      <c r="E261" s="158"/>
      <c r="F261" s="129" t="s">
        <v>1252</v>
      </c>
      <c r="G261" s="126"/>
      <c r="H261" s="127">
        <v>0.33333333333333298</v>
      </c>
      <c r="I261" s="109">
        <f t="shared" si="5"/>
        <v>1</v>
      </c>
      <c r="J261" s="134">
        <v>0.9</v>
      </c>
      <c r="K261" s="135"/>
      <c r="L261" s="136"/>
    </row>
    <row r="262" spans="1:12" ht="15" thickBot="1">
      <c r="A262" s="253"/>
      <c r="B262" s="245"/>
      <c r="C262" s="250"/>
      <c r="D262" s="132" t="s">
        <v>1191</v>
      </c>
      <c r="E262" s="133"/>
      <c r="F262" s="128" t="s">
        <v>1253</v>
      </c>
      <c r="G262" s="126"/>
      <c r="H262" s="127">
        <v>0.33333333333333298</v>
      </c>
      <c r="I262" s="109">
        <f t="shared" si="5"/>
        <v>1</v>
      </c>
      <c r="J262" s="134">
        <v>0.9</v>
      </c>
      <c r="K262" s="133"/>
      <c r="L262" s="136"/>
    </row>
    <row r="263" spans="1:12">
      <c r="A263" s="253"/>
      <c r="B263" s="251">
        <v>45928</v>
      </c>
      <c r="C263" s="248" t="s">
        <v>1198</v>
      </c>
      <c r="D263" s="132" t="s">
        <v>1192</v>
      </c>
      <c r="E263" s="158"/>
      <c r="F263" s="125" t="s">
        <v>1251</v>
      </c>
      <c r="G263" s="126"/>
      <c r="H263" s="127">
        <v>0.33333333333333298</v>
      </c>
      <c r="I263" s="109">
        <f t="shared" si="5"/>
        <v>1</v>
      </c>
      <c r="J263" s="134">
        <v>0.9</v>
      </c>
      <c r="K263" s="135"/>
      <c r="L263" s="137"/>
    </row>
    <row r="264" spans="1:12">
      <c r="A264" s="253"/>
      <c r="B264" s="244"/>
      <c r="C264" s="249"/>
      <c r="D264" s="132" t="s">
        <v>1192</v>
      </c>
      <c r="E264" s="158"/>
      <c r="F264" s="129" t="s">
        <v>1252</v>
      </c>
      <c r="G264" s="126"/>
      <c r="H264" s="127">
        <v>0.33333333333333298</v>
      </c>
      <c r="I264" s="109">
        <f t="shared" si="5"/>
        <v>1</v>
      </c>
      <c r="J264" s="134">
        <v>0.9</v>
      </c>
      <c r="K264" s="135"/>
      <c r="L264" s="136"/>
    </row>
    <row r="265" spans="1:12">
      <c r="A265" s="253"/>
      <c r="B265" s="244"/>
      <c r="C265" s="250"/>
      <c r="D265" s="132" t="s">
        <v>1192</v>
      </c>
      <c r="E265" s="133"/>
      <c r="F265" s="128" t="s">
        <v>1253</v>
      </c>
      <c r="G265" s="126"/>
      <c r="H265" s="127">
        <v>0.33333333333333298</v>
      </c>
      <c r="I265" s="109">
        <f t="shared" si="5"/>
        <v>1</v>
      </c>
      <c r="J265" s="134">
        <v>0.9</v>
      </c>
      <c r="K265" s="133"/>
      <c r="L265" s="136"/>
    </row>
    <row r="266" spans="1:12">
      <c r="A266" s="253"/>
      <c r="B266" s="244"/>
      <c r="C266" s="243" t="s">
        <v>1196</v>
      </c>
      <c r="D266" s="78" t="s">
        <v>1194</v>
      </c>
      <c r="E266" s="159"/>
      <c r="F266" s="111" t="s">
        <v>1251</v>
      </c>
      <c r="G266" s="107"/>
      <c r="H266" s="108">
        <v>0.33333333333333298</v>
      </c>
      <c r="I266" s="109">
        <f t="shared" si="5"/>
        <v>1</v>
      </c>
      <c r="J266" s="109">
        <v>0.9</v>
      </c>
      <c r="K266" s="82"/>
      <c r="L266" s="112"/>
    </row>
    <row r="267" spans="1:12">
      <c r="A267" s="253"/>
      <c r="B267" s="244"/>
      <c r="C267" s="244"/>
      <c r="D267" s="78"/>
      <c r="E267" s="159"/>
      <c r="F267" s="106" t="s">
        <v>1252</v>
      </c>
      <c r="G267" s="107"/>
      <c r="H267" s="108">
        <v>0.33333333333333298</v>
      </c>
      <c r="I267" s="109">
        <f t="shared" si="5"/>
        <v>1</v>
      </c>
      <c r="J267" s="109">
        <v>0.9</v>
      </c>
      <c r="K267" s="82"/>
      <c r="L267" s="82"/>
    </row>
    <row r="268" spans="1:12">
      <c r="A268" s="253"/>
      <c r="B268" s="244"/>
      <c r="C268" s="245"/>
      <c r="D268" s="78"/>
      <c r="E268" s="113"/>
      <c r="F268" s="114" t="s">
        <v>1253</v>
      </c>
      <c r="G268" s="107"/>
      <c r="H268" s="108">
        <v>0.33333333333333298</v>
      </c>
      <c r="I268" s="109">
        <f t="shared" si="5"/>
        <v>1</v>
      </c>
      <c r="J268" s="109">
        <v>0.9</v>
      </c>
      <c r="K268" s="82"/>
      <c r="L268" s="82"/>
    </row>
    <row r="269" spans="1:12">
      <c r="A269" s="253"/>
      <c r="B269" s="244"/>
      <c r="C269" s="248" t="s">
        <v>1197</v>
      </c>
      <c r="D269" s="132" t="s">
        <v>1201</v>
      </c>
      <c r="E269" s="158"/>
      <c r="F269" s="125" t="s">
        <v>1251</v>
      </c>
      <c r="G269" s="126"/>
      <c r="H269" s="127">
        <v>0.33333333333333298</v>
      </c>
      <c r="I269" s="109">
        <f t="shared" si="5"/>
        <v>1</v>
      </c>
      <c r="J269" s="134">
        <v>0.9</v>
      </c>
      <c r="K269" s="133"/>
      <c r="L269" s="137"/>
    </row>
    <row r="270" spans="1:12">
      <c r="A270" s="253"/>
      <c r="B270" s="244"/>
      <c r="C270" s="249"/>
      <c r="D270" s="132" t="s">
        <v>1201</v>
      </c>
      <c r="E270" s="158"/>
      <c r="F270" s="129" t="s">
        <v>1252</v>
      </c>
      <c r="G270" s="126"/>
      <c r="H270" s="127">
        <v>0.33333333333333298</v>
      </c>
      <c r="I270" s="109">
        <f t="shared" si="5"/>
        <v>1</v>
      </c>
      <c r="J270" s="134">
        <v>0.9</v>
      </c>
      <c r="K270" s="135"/>
      <c r="L270" s="136"/>
    </row>
    <row r="271" spans="1:12">
      <c r="A271" s="253"/>
      <c r="B271" s="245"/>
      <c r="C271" s="250"/>
      <c r="D271" s="132" t="s">
        <v>1201</v>
      </c>
      <c r="E271" s="133"/>
      <c r="F271" s="128" t="s">
        <v>1253</v>
      </c>
      <c r="G271" s="126"/>
      <c r="H271" s="127">
        <v>0.33333333333333298</v>
      </c>
      <c r="I271" s="109">
        <f t="shared" si="5"/>
        <v>1</v>
      </c>
      <c r="J271" s="134">
        <v>0.9</v>
      </c>
      <c r="K271" s="133"/>
      <c r="L271" s="136"/>
    </row>
    <row r="272" spans="1:12">
      <c r="A272" s="253"/>
      <c r="B272" s="117"/>
      <c r="C272" s="117"/>
      <c r="D272" s="118"/>
      <c r="E272" s="118"/>
      <c r="F272" s="119" t="s">
        <v>1251</v>
      </c>
      <c r="G272" s="124"/>
      <c r="H272" s="124"/>
      <c r="I272" s="120">
        <f>AVERAGEIF(F209:F271,F272,I209:I271)</f>
        <v>0.8516865079365078</v>
      </c>
      <c r="J272" s="121">
        <v>0.9</v>
      </c>
      <c r="K272" s="118"/>
      <c r="L272" s="116"/>
    </row>
    <row r="273" spans="1:12">
      <c r="A273" s="253"/>
      <c r="B273" s="117"/>
      <c r="C273" s="117"/>
      <c r="D273" s="118"/>
      <c r="E273" s="118"/>
      <c r="F273" s="119" t="s">
        <v>1252</v>
      </c>
      <c r="G273" s="124"/>
      <c r="H273" s="124"/>
      <c r="I273" s="120">
        <f>AVERAGEIF(F209:F271,F273,I209:I271)</f>
        <v>0.90476190476190477</v>
      </c>
      <c r="J273" s="121">
        <v>0.9</v>
      </c>
      <c r="K273" s="118"/>
      <c r="L273" s="116"/>
    </row>
    <row r="274" spans="1:12" ht="15" thickBot="1">
      <c r="A274" s="253"/>
      <c r="B274" s="117"/>
      <c r="C274" s="117"/>
      <c r="D274" s="118"/>
      <c r="E274" s="118"/>
      <c r="F274" s="119" t="s">
        <v>1253</v>
      </c>
      <c r="G274" s="124"/>
      <c r="H274" s="124"/>
      <c r="I274" s="120">
        <f>AVERAGEIF(F209:F271,F274,I209:I271)</f>
        <v>1</v>
      </c>
      <c r="J274" s="121">
        <v>0.9</v>
      </c>
      <c r="K274" s="118"/>
      <c r="L274" s="116"/>
    </row>
    <row r="275" spans="1:12">
      <c r="A275" s="252"/>
      <c r="B275" s="251">
        <v>45929</v>
      </c>
      <c r="C275" s="243" t="s">
        <v>1198</v>
      </c>
      <c r="D275" s="110" t="s">
        <v>1192</v>
      </c>
      <c r="E275" s="156"/>
      <c r="F275" s="111" t="s">
        <v>1251</v>
      </c>
      <c r="G275" s="107"/>
      <c r="H275" s="108">
        <v>0.33333333333333331</v>
      </c>
      <c r="I275" s="109">
        <f>1-(G275/H275)</f>
        <v>1</v>
      </c>
      <c r="J275" s="109">
        <v>0.9</v>
      </c>
      <c r="K275" s="82"/>
      <c r="L275" s="82"/>
    </row>
    <row r="276" spans="1:12">
      <c r="A276" s="253"/>
      <c r="B276" s="244"/>
      <c r="C276" s="244"/>
      <c r="D276" s="110" t="s">
        <v>1192</v>
      </c>
      <c r="E276" s="156"/>
      <c r="F276" s="111" t="s">
        <v>1252</v>
      </c>
      <c r="G276" s="107"/>
      <c r="H276" s="108">
        <v>0.33333333333333331</v>
      </c>
      <c r="I276" s="109">
        <f>1-(G276/H276)</f>
        <v>1</v>
      </c>
      <c r="J276" s="109">
        <v>0.9</v>
      </c>
      <c r="K276" s="82"/>
      <c r="L276" s="82"/>
    </row>
    <row r="277" spans="1:12">
      <c r="A277" s="253"/>
      <c r="B277" s="244"/>
      <c r="C277" s="245"/>
      <c r="D277" s="110" t="s">
        <v>1192</v>
      </c>
      <c r="E277" s="157"/>
      <c r="F277" s="114" t="s">
        <v>1253</v>
      </c>
      <c r="G277" s="107"/>
      <c r="H277" s="108">
        <v>0.33333333333333298</v>
      </c>
      <c r="I277" s="109">
        <f t="shared" ref="I277:I292" si="6">1-(G277/H277)</f>
        <v>1</v>
      </c>
      <c r="J277" s="109">
        <v>0.9</v>
      </c>
      <c r="K277" s="82"/>
      <c r="L277" s="82"/>
    </row>
    <row r="278" spans="1:12">
      <c r="A278" s="253"/>
      <c r="B278" s="244"/>
      <c r="C278" s="248" t="s">
        <v>1196</v>
      </c>
      <c r="D278" s="132" t="s">
        <v>1194</v>
      </c>
      <c r="E278" s="158"/>
      <c r="F278" s="125" t="s">
        <v>1251</v>
      </c>
      <c r="G278" s="126"/>
      <c r="H278" s="127">
        <v>0.33333333333333298</v>
      </c>
      <c r="I278" s="109">
        <f t="shared" si="6"/>
        <v>1</v>
      </c>
      <c r="J278" s="134">
        <v>0.9</v>
      </c>
      <c r="K278" s="135"/>
      <c r="L278" s="136"/>
    </row>
    <row r="279" spans="1:12">
      <c r="A279" s="253"/>
      <c r="B279" s="244"/>
      <c r="C279" s="249"/>
      <c r="D279" s="132" t="s">
        <v>1194</v>
      </c>
      <c r="E279" s="158"/>
      <c r="F279" s="125" t="s">
        <v>1252</v>
      </c>
      <c r="G279" s="126">
        <v>0.33333333333333331</v>
      </c>
      <c r="H279" s="127">
        <v>0.33333333333333298</v>
      </c>
      <c r="I279" s="109">
        <f t="shared" si="6"/>
        <v>0</v>
      </c>
      <c r="J279" s="134">
        <v>0.9</v>
      </c>
      <c r="K279" s="135" t="s">
        <v>1323</v>
      </c>
      <c r="L279" s="136"/>
    </row>
    <row r="280" spans="1:12">
      <c r="A280" s="253"/>
      <c r="B280" s="244"/>
      <c r="C280" s="250"/>
      <c r="D280" s="132" t="s">
        <v>1194</v>
      </c>
      <c r="E280" s="133"/>
      <c r="F280" s="128" t="s">
        <v>1253</v>
      </c>
      <c r="G280" s="126"/>
      <c r="H280" s="127">
        <v>0.33333333333333298</v>
      </c>
      <c r="I280" s="109">
        <f t="shared" si="6"/>
        <v>1</v>
      </c>
      <c r="J280" s="134">
        <v>0.9</v>
      </c>
      <c r="K280" s="133"/>
      <c r="L280" s="136"/>
    </row>
    <row r="281" spans="1:12">
      <c r="A281" s="253"/>
      <c r="B281" s="244"/>
      <c r="C281" s="243" t="s">
        <v>1197</v>
      </c>
      <c r="D281" s="78"/>
      <c r="E281" s="159"/>
      <c r="F281" s="111" t="s">
        <v>1251</v>
      </c>
      <c r="G281" s="107"/>
      <c r="H281" s="108">
        <v>0.33333333333333298</v>
      </c>
      <c r="I281" s="109">
        <f t="shared" si="6"/>
        <v>1</v>
      </c>
      <c r="J281" s="109">
        <v>0.9</v>
      </c>
      <c r="K281" s="82"/>
      <c r="L281" s="112"/>
    </row>
    <row r="282" spans="1:12">
      <c r="A282" s="253"/>
      <c r="B282" s="244"/>
      <c r="C282" s="244"/>
      <c r="D282" s="78"/>
      <c r="E282" s="159"/>
      <c r="F282" s="111" t="s">
        <v>1252</v>
      </c>
      <c r="G282" s="107"/>
      <c r="H282" s="108">
        <v>0.33333333333333298</v>
      </c>
      <c r="I282" s="109">
        <f t="shared" si="6"/>
        <v>1</v>
      </c>
      <c r="J282" s="109">
        <v>0.9</v>
      </c>
      <c r="K282" s="82"/>
      <c r="L282" s="82"/>
    </row>
    <row r="283" spans="1:12" ht="15" thickBot="1">
      <c r="A283" s="253"/>
      <c r="B283" s="245"/>
      <c r="C283" s="245"/>
      <c r="D283" s="78"/>
      <c r="E283" s="113"/>
      <c r="F283" s="114" t="s">
        <v>1253</v>
      </c>
      <c r="G283" s="107"/>
      <c r="H283" s="108">
        <v>0.33333333333333331</v>
      </c>
      <c r="I283" s="109">
        <f t="shared" si="6"/>
        <v>1</v>
      </c>
      <c r="J283" s="109">
        <v>0.9</v>
      </c>
      <c r="K283" s="82"/>
      <c r="L283" s="82"/>
    </row>
    <row r="284" spans="1:12">
      <c r="A284" s="253"/>
      <c r="B284" s="251">
        <v>45930</v>
      </c>
      <c r="C284" s="248" t="s">
        <v>1198</v>
      </c>
      <c r="D284" s="132" t="s">
        <v>1191</v>
      </c>
      <c r="E284" s="158"/>
      <c r="F284" s="125" t="s">
        <v>1251</v>
      </c>
      <c r="G284" s="126"/>
      <c r="H284" s="127">
        <v>0.33333333333333298</v>
      </c>
      <c r="I284" s="109">
        <f t="shared" si="6"/>
        <v>1</v>
      </c>
      <c r="J284" s="134">
        <v>0.9</v>
      </c>
      <c r="K284" s="135"/>
      <c r="L284" s="137"/>
    </row>
    <row r="285" spans="1:12">
      <c r="A285" s="253"/>
      <c r="B285" s="244"/>
      <c r="C285" s="249"/>
      <c r="D285" s="132" t="s">
        <v>1191</v>
      </c>
      <c r="E285" s="158"/>
      <c r="F285" s="125" t="s">
        <v>1252</v>
      </c>
      <c r="G285" s="126">
        <v>0.1875</v>
      </c>
      <c r="H285" s="127">
        <v>0.33333333333333298</v>
      </c>
      <c r="I285" s="109">
        <f t="shared" si="6"/>
        <v>0.43749999999999944</v>
      </c>
      <c r="J285" s="134">
        <v>0.9</v>
      </c>
      <c r="K285" s="135" t="s">
        <v>1323</v>
      </c>
      <c r="L285" s="136"/>
    </row>
    <row r="286" spans="1:12">
      <c r="A286" s="253"/>
      <c r="B286" s="244"/>
      <c r="C286" s="250"/>
      <c r="D286" s="132" t="s">
        <v>1191</v>
      </c>
      <c r="E286" s="133"/>
      <c r="F286" s="128" t="s">
        <v>1253</v>
      </c>
      <c r="G286" s="126"/>
      <c r="H286" s="127">
        <v>0.33333333333333298</v>
      </c>
      <c r="I286" s="109">
        <f t="shared" si="6"/>
        <v>1</v>
      </c>
      <c r="J286" s="134">
        <v>0.9</v>
      </c>
      <c r="K286" s="133"/>
      <c r="L286" s="136"/>
    </row>
    <row r="287" spans="1:12">
      <c r="A287" s="253"/>
      <c r="B287" s="244"/>
      <c r="C287" s="243" t="s">
        <v>1196</v>
      </c>
      <c r="D287" s="78" t="s">
        <v>1192</v>
      </c>
      <c r="E287" s="159"/>
      <c r="F287" s="111" t="s">
        <v>1251</v>
      </c>
      <c r="G287" s="107"/>
      <c r="H287" s="108">
        <v>0.33333333333333298</v>
      </c>
      <c r="I287" s="109">
        <f t="shared" si="6"/>
        <v>1</v>
      </c>
      <c r="J287" s="109">
        <v>0.9</v>
      </c>
      <c r="K287" s="82"/>
      <c r="L287" s="112"/>
    </row>
    <row r="288" spans="1:12">
      <c r="A288" s="253"/>
      <c r="B288" s="244"/>
      <c r="C288" s="244"/>
      <c r="D288" s="78" t="s">
        <v>1192</v>
      </c>
      <c r="E288" s="159"/>
      <c r="F288" s="111" t="s">
        <v>1252</v>
      </c>
      <c r="G288" s="107"/>
      <c r="H288" s="108">
        <v>0.33333333333333298</v>
      </c>
      <c r="I288" s="109">
        <f t="shared" si="6"/>
        <v>1</v>
      </c>
      <c r="J288" s="109">
        <v>0.9</v>
      </c>
      <c r="K288" s="82"/>
      <c r="L288" s="82"/>
    </row>
    <row r="289" spans="1:12">
      <c r="A289" s="253"/>
      <c r="B289" s="244"/>
      <c r="C289" s="245"/>
      <c r="D289" s="78" t="s">
        <v>1192</v>
      </c>
      <c r="E289" s="113"/>
      <c r="F289" s="114" t="s">
        <v>1253</v>
      </c>
      <c r="G289" s="107"/>
      <c r="H289" s="108">
        <v>0.33333333333333298</v>
      </c>
      <c r="I289" s="109">
        <f t="shared" si="6"/>
        <v>1</v>
      </c>
      <c r="J289" s="109">
        <v>0.9</v>
      </c>
      <c r="K289" s="82"/>
      <c r="L289" s="82"/>
    </row>
    <row r="290" spans="1:12">
      <c r="A290" s="253"/>
      <c r="B290" s="244"/>
      <c r="C290" s="248" t="s">
        <v>1197</v>
      </c>
      <c r="D290" s="132" t="s">
        <v>1194</v>
      </c>
      <c r="E290" s="158"/>
      <c r="F290" s="125" t="s">
        <v>1251</v>
      </c>
      <c r="G290" s="126"/>
      <c r="H290" s="127">
        <v>0.33333333333333298</v>
      </c>
      <c r="I290" s="109">
        <f t="shared" si="6"/>
        <v>1</v>
      </c>
      <c r="J290" s="134">
        <v>0.9</v>
      </c>
      <c r="K290" s="135"/>
      <c r="L290" s="137"/>
    </row>
    <row r="291" spans="1:12">
      <c r="A291" s="253"/>
      <c r="B291" s="244"/>
      <c r="C291" s="249"/>
      <c r="D291" s="132" t="s">
        <v>1194</v>
      </c>
      <c r="E291" s="158"/>
      <c r="F291" s="129" t="s">
        <v>1252</v>
      </c>
      <c r="G291" s="126"/>
      <c r="H291" s="127">
        <v>0.33333333333333298</v>
      </c>
      <c r="I291" s="109">
        <f t="shared" si="6"/>
        <v>1</v>
      </c>
      <c r="J291" s="134">
        <v>0.9</v>
      </c>
      <c r="K291" s="135"/>
      <c r="L291" s="136"/>
    </row>
    <row r="292" spans="1:12">
      <c r="A292" s="253"/>
      <c r="B292" s="245"/>
      <c r="C292" s="250"/>
      <c r="D292" s="132" t="s">
        <v>1194</v>
      </c>
      <c r="E292" s="133"/>
      <c r="F292" s="128" t="s">
        <v>1253</v>
      </c>
      <c r="G292" s="126"/>
      <c r="H292" s="131">
        <v>0.33333333333333298</v>
      </c>
      <c r="I292" s="115">
        <f t="shared" si="6"/>
        <v>1</v>
      </c>
      <c r="J292" s="134">
        <v>0.9</v>
      </c>
      <c r="K292" s="133"/>
      <c r="L292" s="136"/>
    </row>
    <row r="293" spans="1:12">
      <c r="A293" s="253"/>
      <c r="B293" s="117"/>
      <c r="C293" s="117"/>
      <c r="D293" s="118"/>
      <c r="E293" s="118"/>
      <c r="F293" s="119" t="s">
        <v>1251</v>
      </c>
      <c r="G293" s="124"/>
      <c r="H293" s="124"/>
      <c r="I293" s="120">
        <f>AVERAGEIF(F275:F292,F293,I275:I292)</f>
        <v>1</v>
      </c>
      <c r="J293" s="121">
        <v>0.9</v>
      </c>
      <c r="K293" s="118"/>
      <c r="L293" s="116"/>
    </row>
    <row r="294" spans="1:12">
      <c r="A294" s="253"/>
      <c r="B294" s="117"/>
      <c r="C294" s="117"/>
      <c r="D294" s="118"/>
      <c r="E294" s="118"/>
      <c r="F294" s="119" t="s">
        <v>1252</v>
      </c>
      <c r="G294" s="124"/>
      <c r="H294" s="124"/>
      <c r="I294" s="120">
        <f>AVERAGEIF(F275:F292,F294,I275:I292)</f>
        <v>0.73958333333333337</v>
      </c>
      <c r="J294" s="121">
        <v>0.9</v>
      </c>
      <c r="K294" s="118"/>
      <c r="L294" s="116"/>
    </row>
    <row r="295" spans="1:12">
      <c r="A295" s="253"/>
      <c r="B295" s="117"/>
      <c r="C295" s="117"/>
      <c r="D295" s="118"/>
      <c r="E295" s="118"/>
      <c r="F295" s="119" t="s">
        <v>1253</v>
      </c>
      <c r="G295" s="124"/>
      <c r="H295" s="124"/>
      <c r="I295" s="120">
        <f>AVERAGEIF(F275:F292,F295,I275:I292)</f>
        <v>1</v>
      </c>
      <c r="J295" s="121">
        <v>0.9</v>
      </c>
      <c r="K295" s="118"/>
      <c r="L295" s="116"/>
    </row>
  </sheetData>
  <mergeCells count="165">
    <mergeCell ref="A275:A295"/>
    <mergeCell ref="B275:B283"/>
    <mergeCell ref="C275:C277"/>
    <mergeCell ref="C278:C280"/>
    <mergeCell ref="C281:C283"/>
    <mergeCell ref="B284:B292"/>
    <mergeCell ref="A209:A274"/>
    <mergeCell ref="B209:B217"/>
    <mergeCell ref="C209:C211"/>
    <mergeCell ref="C212:C214"/>
    <mergeCell ref="C215:C217"/>
    <mergeCell ref="B218:B226"/>
    <mergeCell ref="C218:C220"/>
    <mergeCell ref="C221:C223"/>
    <mergeCell ref="C224:C226"/>
    <mergeCell ref="C284:C286"/>
    <mergeCell ref="B245:B253"/>
    <mergeCell ref="C245:C247"/>
    <mergeCell ref="C248:C250"/>
    <mergeCell ref="C251:C253"/>
    <mergeCell ref="C287:C289"/>
    <mergeCell ref="C290:C292"/>
    <mergeCell ref="B263:B271"/>
    <mergeCell ref="C263:C265"/>
    <mergeCell ref="C266:C268"/>
    <mergeCell ref="C269:C271"/>
    <mergeCell ref="B188:B196"/>
    <mergeCell ref="C188:C190"/>
    <mergeCell ref="C191:C193"/>
    <mergeCell ref="C194:C196"/>
    <mergeCell ref="B197:B205"/>
    <mergeCell ref="C197:C199"/>
    <mergeCell ref="C200:C202"/>
    <mergeCell ref="C203:C205"/>
    <mergeCell ref="B254:B262"/>
    <mergeCell ref="C254:C256"/>
    <mergeCell ref="C257:C259"/>
    <mergeCell ref="C260:C262"/>
    <mergeCell ref="C227:C229"/>
    <mergeCell ref="C230:C232"/>
    <mergeCell ref="C233:C235"/>
    <mergeCell ref="B236:B244"/>
    <mergeCell ref="C236:C238"/>
    <mergeCell ref="C239:C241"/>
    <mergeCell ref="C242:C244"/>
    <mergeCell ref="B227:B235"/>
    <mergeCell ref="B170:B178"/>
    <mergeCell ref="C170:C172"/>
    <mergeCell ref="C173:C175"/>
    <mergeCell ref="C176:C178"/>
    <mergeCell ref="B179:B187"/>
    <mergeCell ref="C179:C181"/>
    <mergeCell ref="C182:C184"/>
    <mergeCell ref="C185:C187"/>
    <mergeCell ref="A143:A208"/>
    <mergeCell ref="B143:B151"/>
    <mergeCell ref="C143:C145"/>
    <mergeCell ref="C146:C148"/>
    <mergeCell ref="C149:C151"/>
    <mergeCell ref="B152:B160"/>
    <mergeCell ref="C155:C157"/>
    <mergeCell ref="C158:C160"/>
    <mergeCell ref="B161:B169"/>
    <mergeCell ref="C161:C163"/>
    <mergeCell ref="C164:C166"/>
    <mergeCell ref="C167:C169"/>
    <mergeCell ref="C152:C154"/>
    <mergeCell ref="A77:A142"/>
    <mergeCell ref="B77:B85"/>
    <mergeCell ref="C77:C79"/>
    <mergeCell ref="C80:C82"/>
    <mergeCell ref="C83:C85"/>
    <mergeCell ref="B86:B94"/>
    <mergeCell ref="C86:C88"/>
    <mergeCell ref="C89:C91"/>
    <mergeCell ref="C92:C94"/>
    <mergeCell ref="B95:B103"/>
    <mergeCell ref="C137:C139"/>
    <mergeCell ref="B113:B121"/>
    <mergeCell ref="C113:C115"/>
    <mergeCell ref="C116:C118"/>
    <mergeCell ref="C119:C121"/>
    <mergeCell ref="B122:B130"/>
    <mergeCell ref="C122:C124"/>
    <mergeCell ref="C125:C127"/>
    <mergeCell ref="C128:C130"/>
    <mergeCell ref="B131:B139"/>
    <mergeCell ref="C131:C133"/>
    <mergeCell ref="C134:C136"/>
    <mergeCell ref="N43:N44"/>
    <mergeCell ref="B38:B46"/>
    <mergeCell ref="C95:C97"/>
    <mergeCell ref="C98:C100"/>
    <mergeCell ref="C101:C103"/>
    <mergeCell ref="B104:B112"/>
    <mergeCell ref="C104:C106"/>
    <mergeCell ref="C107:C109"/>
    <mergeCell ref="C110:C112"/>
    <mergeCell ref="B65:B73"/>
    <mergeCell ref="C65:C67"/>
    <mergeCell ref="C68:C70"/>
    <mergeCell ref="C71:C73"/>
    <mergeCell ref="B56:B64"/>
    <mergeCell ref="C56:C58"/>
    <mergeCell ref="C59:C61"/>
    <mergeCell ref="C62:C64"/>
    <mergeCell ref="N22:N23"/>
    <mergeCell ref="O22:O23"/>
    <mergeCell ref="P22:P23"/>
    <mergeCell ref="Q22:Q23"/>
    <mergeCell ref="C23:C25"/>
    <mergeCell ref="P24:P27"/>
    <mergeCell ref="Q24:Q27"/>
    <mergeCell ref="C26:C28"/>
    <mergeCell ref="O43:O44"/>
    <mergeCell ref="P43:P44"/>
    <mergeCell ref="Q43:Q44"/>
    <mergeCell ref="C44:C46"/>
    <mergeCell ref="P45:P48"/>
    <mergeCell ref="Q45:Q48"/>
    <mergeCell ref="C35:C37"/>
    <mergeCell ref="N36:N37"/>
    <mergeCell ref="O36:O37"/>
    <mergeCell ref="P36:P37"/>
    <mergeCell ref="Q36:Q37"/>
    <mergeCell ref="C38:C40"/>
    <mergeCell ref="P38:P41"/>
    <mergeCell ref="Q38:Q41"/>
    <mergeCell ref="C41:C43"/>
    <mergeCell ref="C47:C49"/>
    <mergeCell ref="N15:N16"/>
    <mergeCell ref="O15:O16"/>
    <mergeCell ref="P15:P16"/>
    <mergeCell ref="Q15:Q16"/>
    <mergeCell ref="C17:C19"/>
    <mergeCell ref="P17:P19"/>
    <mergeCell ref="Q17:Q19"/>
    <mergeCell ref="A4:F4"/>
    <mergeCell ref="G4:J4"/>
    <mergeCell ref="K4:L4"/>
    <mergeCell ref="A11:A76"/>
    <mergeCell ref="B11:B19"/>
    <mergeCell ref="C11:C13"/>
    <mergeCell ref="C14:C16"/>
    <mergeCell ref="B20:B28"/>
    <mergeCell ref="C20:C22"/>
    <mergeCell ref="B29:B37"/>
    <mergeCell ref="C29:C31"/>
    <mergeCell ref="N29:N30"/>
    <mergeCell ref="O29:O30"/>
    <mergeCell ref="P29:P30"/>
    <mergeCell ref="Q29:Q30"/>
    <mergeCell ref="P31:P34"/>
    <mergeCell ref="Q31:Q34"/>
    <mergeCell ref="A1:F1"/>
    <mergeCell ref="G1:J1"/>
    <mergeCell ref="K1:L1"/>
    <mergeCell ref="A2:L2"/>
    <mergeCell ref="A3:F3"/>
    <mergeCell ref="G3:J3"/>
    <mergeCell ref="K3:L3"/>
    <mergeCell ref="C32:C34"/>
    <mergeCell ref="B47:B55"/>
    <mergeCell ref="C50:C52"/>
    <mergeCell ref="C53:C55"/>
  </mergeCells>
  <phoneticPr fontId="13" type="noConversion"/>
  <conditionalFormatting sqref="F11:F73">
    <cfRule type="containsText" dxfId="61" priority="7" operator="containsText" text="P'SUP">
      <formula>NOT(ISERROR(SEARCH("P'SUP",F11)))</formula>
    </cfRule>
    <cfRule type="containsText" dxfId="60" priority="8" operator="containsText" text="P'NUT">
      <formula>NOT(ISERROR(SEARCH("P'NUT",F11)))</formula>
    </cfRule>
  </conditionalFormatting>
  <conditionalFormatting sqref="F11:F295">
    <cfRule type="containsText" dxfId="59" priority="9" operator="containsText" text="P'SUP">
      <formula>NOT(ISERROR(SEARCH("P'SUP",F11)))</formula>
    </cfRule>
  </conditionalFormatting>
  <conditionalFormatting sqref="F74:F295">
    <cfRule type="containsText" dxfId="58" priority="18" operator="containsText" text="P'NUT">
      <formula>NOT(ISERROR(SEARCH("P'NUT",F74)))</formula>
    </cfRule>
    <cfRule type="containsText" dxfId="57" priority="19" operator="containsText" text="P'SUP">
      <formula>NOT(ISERROR(SEARCH("P'SUP",F74)))</formula>
    </cfRule>
  </conditionalFormatting>
  <conditionalFormatting sqref="I11:I295">
    <cfRule type="cellIs" dxfId="56" priority="16" operator="greaterThan">
      <formula>0.85</formula>
    </cfRule>
    <cfRule type="cellIs" dxfId="55" priority="17" operator="lessThan">
      <formula>0.85</formula>
    </cfRule>
  </conditionalFormatting>
  <conditionalFormatting sqref="O25:O27">
    <cfRule type="cellIs" dxfId="54" priority="12" operator="lessThan">
      <formula>0.85</formula>
    </cfRule>
  </conditionalFormatting>
  <conditionalFormatting sqref="O31">
    <cfRule type="cellIs" dxfId="53" priority="6" operator="lessThan">
      <formula>0.9</formula>
    </cfRule>
  </conditionalFormatting>
  <conditionalFormatting sqref="O33:O34">
    <cfRule type="cellIs" dxfId="52" priority="5" operator="lessThan">
      <formula>0.9</formula>
    </cfRule>
  </conditionalFormatting>
  <conditionalFormatting sqref="O38:O41">
    <cfRule type="cellIs" dxfId="51" priority="3" operator="lessThan">
      <formula>0.9</formula>
    </cfRule>
    <cfRule type="cellIs" dxfId="50" priority="4" operator="lessThan">
      <formula>0.85</formula>
    </cfRule>
  </conditionalFormatting>
  <conditionalFormatting sqref="O45:O48">
    <cfRule type="cellIs" dxfId="49" priority="1" operator="lessThan">
      <formula>0.9</formula>
    </cfRule>
    <cfRule type="cellIs" dxfId="48" priority="2" operator="lessThan">
      <formula>0.85</formula>
    </cfRule>
  </conditionalFormatting>
  <conditionalFormatting sqref="O17:P19">
    <cfRule type="cellIs" dxfId="47" priority="15" operator="lessThan">
      <formula>0.85</formula>
    </cfRule>
  </conditionalFormatting>
  <conditionalFormatting sqref="O24:P24">
    <cfRule type="cellIs" dxfId="46" priority="14" operator="lessThan">
      <formula>0.85</formula>
    </cfRule>
  </conditionalFormatting>
  <conditionalFormatting sqref="O31:P31 O32:O34">
    <cfRule type="cellIs" dxfId="45" priority="13" operator="lessThan">
      <formula>0.85</formula>
    </cfRule>
  </conditionalFormatting>
  <conditionalFormatting sqref="P38">
    <cfRule type="cellIs" dxfId="44" priority="11" operator="lessThan">
      <formula>0.85</formula>
    </cfRule>
  </conditionalFormatting>
  <conditionalFormatting sqref="P45">
    <cfRule type="cellIs" dxfId="43" priority="10" operator="lessThan">
      <formula>0.85</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84303C30-ECC2-4950-8D98-F995021AC0BB}">
          <x14:formula1>
            <xm:f>n!$A$2:$A$6</xm:f>
          </x14:formula1>
          <xm:sqref>P31 P24 P38 P45</xm:sqref>
        </x14:dataValidation>
        <x14:dataValidation type="list" allowBlank="1" showInputMessage="1" showErrorMessage="1" xr:uid="{315C6CC2-C581-49E5-87F0-63C12918320C}">
          <x14:formula1>
            <xm:f>n!$B$2:$B$4</xm:f>
          </x14:formula1>
          <xm:sqref>C11:C295</xm:sqref>
        </x14:dataValidation>
        <x14:dataValidation type="list" allowBlank="1" showInputMessage="1" showErrorMessage="1" xr:uid="{408A3C59-6EA0-4AA1-AFF0-D829245847E7}">
          <x14:formula1>
            <xm:f>n!$A$1:$A$6</xm:f>
          </x14:formula1>
          <xm:sqref>D11:E295</xm:sqref>
        </x14:dataValidation>
        <x14:dataValidation type="list" allowBlank="1" showInputMessage="1" showErrorMessage="1" xr:uid="{3D054690-AECA-44C6-A583-7D4D5F04CB77}">
          <x14:formula1>
            <xm:f>n!$A$8:$A$10</xm:f>
          </x14:formula1>
          <xm:sqref>F11:F295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E355B-EA86-4B69-90F9-61C8B96C53DE}">
  <dimension ref="A1:Q304"/>
  <sheetViews>
    <sheetView topLeftCell="A17" zoomScale="80" zoomScaleNormal="80" workbookViewId="0">
      <selection activeCell="O48" sqref="O48"/>
    </sheetView>
  </sheetViews>
  <sheetFormatPr baseColWidth="10" defaultRowHeight="14.4"/>
  <cols>
    <col min="2" max="2" width="16.33203125" customWidth="1"/>
    <col min="3" max="3" width="13.21875" customWidth="1"/>
    <col min="4" max="4" width="14.88671875" customWidth="1"/>
    <col min="5" max="5" width="14.33203125" customWidth="1"/>
    <col min="7" max="7" width="14.21875" customWidth="1"/>
    <col min="9" max="10" width="14.5546875" customWidth="1"/>
    <col min="11" max="11" width="30.21875" customWidth="1"/>
    <col min="12" max="12" width="30.44140625" customWidth="1"/>
    <col min="14" max="14" width="14.44140625" customWidth="1"/>
    <col min="15" max="15" width="16.77734375" customWidth="1"/>
    <col min="16" max="16" width="15.21875" customWidth="1"/>
    <col min="17" max="17" width="58.5546875" customWidth="1"/>
  </cols>
  <sheetData>
    <row r="1" spans="1:17" ht="38.4" customHeight="1">
      <c r="A1" s="201"/>
      <c r="B1" s="201"/>
      <c r="C1" s="201"/>
      <c r="D1" s="201"/>
      <c r="E1" s="201"/>
      <c r="F1" s="201"/>
      <c r="G1" s="201"/>
      <c r="H1" s="201"/>
      <c r="I1" s="201"/>
      <c r="J1" s="201"/>
      <c r="K1" s="246" t="s">
        <v>1228</v>
      </c>
      <c r="L1" s="246"/>
    </row>
    <row r="2" spans="1:17" ht="26.4" customHeight="1">
      <c r="A2" s="210" t="s">
        <v>1227</v>
      </c>
      <c r="B2" s="210"/>
      <c r="C2" s="210"/>
      <c r="D2" s="210"/>
      <c r="E2" s="210"/>
      <c r="F2" s="210"/>
      <c r="G2" s="210"/>
      <c r="H2" s="210"/>
      <c r="I2" s="210"/>
      <c r="J2" s="210"/>
      <c r="K2" s="210"/>
      <c r="L2" s="210"/>
    </row>
    <row r="3" spans="1:17" ht="26.4" customHeight="1">
      <c r="A3" s="221" t="s">
        <v>1210</v>
      </c>
      <c r="B3" s="222"/>
      <c r="C3" s="222"/>
      <c r="D3" s="222"/>
      <c r="E3" s="222"/>
      <c r="F3" s="222"/>
      <c r="G3" s="221" t="s">
        <v>1209</v>
      </c>
      <c r="H3" s="222"/>
      <c r="I3" s="222"/>
      <c r="J3" s="222"/>
      <c r="K3" s="247" t="s">
        <v>1230</v>
      </c>
      <c r="L3" s="247"/>
      <c r="N3" s="67"/>
    </row>
    <row r="4" spans="1:17" ht="63" customHeight="1">
      <c r="A4" s="221" t="s">
        <v>1224</v>
      </c>
      <c r="B4" s="222"/>
      <c r="C4" s="222"/>
      <c r="D4" s="222"/>
      <c r="E4" s="222"/>
      <c r="F4" s="222"/>
      <c r="G4" s="221" t="s">
        <v>1225</v>
      </c>
      <c r="H4" s="222"/>
      <c r="I4" s="222"/>
      <c r="J4" s="222"/>
      <c r="K4" s="221" t="s">
        <v>1226</v>
      </c>
      <c r="L4" s="221"/>
    </row>
    <row r="5" spans="1:17" ht="14.4" customHeight="1"/>
    <row r="6" spans="1:17" hidden="1"/>
    <row r="7" spans="1:17" hidden="1"/>
    <row r="8" spans="1:17" hidden="1"/>
    <row r="9" spans="1:17" ht="24.6" customHeight="1" thickBot="1"/>
    <row r="10" spans="1:17" ht="36.6" customHeight="1" thickTop="1" thickBot="1">
      <c r="A10" s="139" t="s">
        <v>1190</v>
      </c>
      <c r="B10" s="140" t="s">
        <v>1258</v>
      </c>
      <c r="C10" s="141" t="s">
        <v>1257</v>
      </c>
      <c r="D10" s="141" t="s">
        <v>1250</v>
      </c>
      <c r="E10" s="141" t="s">
        <v>1285</v>
      </c>
      <c r="F10" s="141" t="s">
        <v>1246</v>
      </c>
      <c r="G10" s="142" t="s">
        <v>1259</v>
      </c>
      <c r="H10" s="143" t="s">
        <v>1248</v>
      </c>
      <c r="I10" s="143" t="s">
        <v>1249</v>
      </c>
      <c r="J10" s="143" t="s">
        <v>1254</v>
      </c>
      <c r="K10" s="144" t="s">
        <v>1247</v>
      </c>
      <c r="L10" s="145" t="s">
        <v>1255</v>
      </c>
    </row>
    <row r="11" spans="1:17" ht="14.4" customHeight="1">
      <c r="A11" s="252" t="s">
        <v>1540</v>
      </c>
      <c r="B11" s="251">
        <v>45931</v>
      </c>
      <c r="C11" s="243" t="s">
        <v>1198</v>
      </c>
      <c r="D11" s="110" t="s">
        <v>1191</v>
      </c>
      <c r="E11" s="156"/>
      <c r="F11" s="111" t="s">
        <v>1251</v>
      </c>
      <c r="G11" s="107"/>
      <c r="H11" s="108">
        <v>0.33333333333333331</v>
      </c>
      <c r="I11" s="109">
        <f>1-(G11/H11)</f>
        <v>1</v>
      </c>
      <c r="J11" s="109">
        <v>0.9</v>
      </c>
      <c r="K11" s="82"/>
      <c r="L11" s="82"/>
    </row>
    <row r="12" spans="1:17" ht="14.4" customHeight="1">
      <c r="A12" s="253"/>
      <c r="B12" s="244"/>
      <c r="C12" s="244"/>
      <c r="D12" s="110" t="s">
        <v>1191</v>
      </c>
      <c r="E12" s="156"/>
      <c r="F12" s="111" t="s">
        <v>1252</v>
      </c>
      <c r="G12" s="107"/>
      <c r="H12" s="108">
        <v>0.33333333333333331</v>
      </c>
      <c r="I12" s="109">
        <f>1-(G12/H12)</f>
        <v>1</v>
      </c>
      <c r="J12" s="109">
        <v>0.9</v>
      </c>
      <c r="K12" s="82"/>
      <c r="L12" s="82"/>
    </row>
    <row r="13" spans="1:17" ht="14.4" customHeight="1">
      <c r="A13" s="253"/>
      <c r="B13" s="244"/>
      <c r="C13" s="245"/>
      <c r="D13" s="110" t="s">
        <v>1191</v>
      </c>
      <c r="E13" s="157"/>
      <c r="F13" s="114" t="s">
        <v>1253</v>
      </c>
      <c r="G13" s="107"/>
      <c r="H13" s="108">
        <v>0.33333333333333298</v>
      </c>
      <c r="I13" s="109">
        <f t="shared" ref="I13:I55" si="0">1-(G13/H13)</f>
        <v>1</v>
      </c>
      <c r="J13" s="109">
        <v>0.9</v>
      </c>
      <c r="K13" s="82"/>
      <c r="L13" s="82"/>
    </row>
    <row r="14" spans="1:17" ht="14.4" customHeight="1">
      <c r="A14" s="253"/>
      <c r="B14" s="244"/>
      <c r="C14" s="248" t="s">
        <v>1196</v>
      </c>
      <c r="D14" s="132" t="s">
        <v>1192</v>
      </c>
      <c r="E14" s="158"/>
      <c r="F14" s="125" t="s">
        <v>1251</v>
      </c>
      <c r="G14" s="126"/>
      <c r="H14" s="127">
        <v>0.33333333333333298</v>
      </c>
      <c r="I14" s="134">
        <f t="shared" si="0"/>
        <v>1</v>
      </c>
      <c r="J14" s="134">
        <v>0.9</v>
      </c>
      <c r="K14" s="135"/>
      <c r="L14" s="136"/>
    </row>
    <row r="15" spans="1:17" ht="14.4" customHeight="1">
      <c r="A15" s="253"/>
      <c r="B15" s="244"/>
      <c r="C15" s="249"/>
      <c r="D15" s="132" t="s">
        <v>1192</v>
      </c>
      <c r="E15" s="158"/>
      <c r="F15" s="125" t="s">
        <v>1252</v>
      </c>
      <c r="G15" s="126"/>
      <c r="H15" s="127">
        <v>0.33333333333333298</v>
      </c>
      <c r="I15" s="134">
        <f t="shared" si="0"/>
        <v>1</v>
      </c>
      <c r="J15" s="134">
        <v>0.9</v>
      </c>
      <c r="K15" s="135"/>
      <c r="L15" s="136"/>
      <c r="N15" s="255" t="s">
        <v>1287</v>
      </c>
      <c r="O15" s="255" t="s">
        <v>1288</v>
      </c>
      <c r="P15" s="255" t="s">
        <v>1289</v>
      </c>
      <c r="Q15" s="255" t="s">
        <v>1290</v>
      </c>
    </row>
    <row r="16" spans="1:17" ht="14.4" customHeight="1">
      <c r="A16" s="253"/>
      <c r="B16" s="244"/>
      <c r="C16" s="250"/>
      <c r="D16" s="132" t="s">
        <v>1192</v>
      </c>
      <c r="E16" s="133"/>
      <c r="F16" s="128" t="s">
        <v>1253</v>
      </c>
      <c r="G16" s="126"/>
      <c r="H16" s="127">
        <v>0.33333333333333298</v>
      </c>
      <c r="I16" s="134">
        <f t="shared" si="0"/>
        <v>1</v>
      </c>
      <c r="J16" s="134">
        <v>0.9</v>
      </c>
      <c r="K16" s="133"/>
      <c r="L16" s="136"/>
      <c r="N16" s="255"/>
      <c r="O16" s="255"/>
      <c r="P16" s="255"/>
      <c r="Q16" s="255"/>
    </row>
    <row r="17" spans="1:17" ht="14.4" customHeight="1">
      <c r="A17" s="253"/>
      <c r="B17" s="244"/>
      <c r="C17" s="243" t="s">
        <v>1197</v>
      </c>
      <c r="D17" s="78" t="s">
        <v>1194</v>
      </c>
      <c r="E17" s="159"/>
      <c r="F17" s="111" t="s">
        <v>1251</v>
      </c>
      <c r="G17" s="107"/>
      <c r="H17" s="108">
        <v>0.33333333333333298</v>
      </c>
      <c r="I17" s="109">
        <f t="shared" si="0"/>
        <v>1</v>
      </c>
      <c r="J17" s="109">
        <v>0.9</v>
      </c>
      <c r="K17" s="82"/>
      <c r="L17" s="112"/>
      <c r="N17" s="161" t="s">
        <v>1251</v>
      </c>
      <c r="O17" s="162">
        <f>(I56+I122+I188+I254+I302)/5</f>
        <v>0.95342757936507938</v>
      </c>
      <c r="P17" s="254">
        <f>(O17+O18+O19)/3</f>
        <v>0.9405175264550264</v>
      </c>
      <c r="Q17" s="256"/>
    </row>
    <row r="18" spans="1:17" ht="14.4" customHeight="1">
      <c r="A18" s="253"/>
      <c r="B18" s="244"/>
      <c r="C18" s="244"/>
      <c r="D18" s="78" t="s">
        <v>1194</v>
      </c>
      <c r="E18" s="159"/>
      <c r="F18" s="111" t="s">
        <v>1252</v>
      </c>
      <c r="G18" s="107"/>
      <c r="H18" s="108">
        <v>0.33333333333333298</v>
      </c>
      <c r="I18" s="109">
        <f t="shared" si="0"/>
        <v>1</v>
      </c>
      <c r="J18" s="109">
        <v>0.9</v>
      </c>
      <c r="K18" s="82"/>
      <c r="L18" s="82"/>
      <c r="N18" s="161" t="s">
        <v>1252</v>
      </c>
      <c r="O18" s="162">
        <f>(I57+I123+I189+I255+I303)/5</f>
        <v>0.91655753968253961</v>
      </c>
      <c r="P18" s="254"/>
      <c r="Q18" s="257"/>
    </row>
    <row r="19" spans="1:17" ht="15" customHeight="1" thickBot="1">
      <c r="A19" s="253"/>
      <c r="B19" s="245"/>
      <c r="C19" s="245"/>
      <c r="D19" s="78" t="s">
        <v>1194</v>
      </c>
      <c r="E19" s="113"/>
      <c r="F19" s="114" t="s">
        <v>1253</v>
      </c>
      <c r="G19" s="107"/>
      <c r="H19" s="108">
        <v>0.33333333333333298</v>
      </c>
      <c r="I19" s="109">
        <f t="shared" si="0"/>
        <v>1</v>
      </c>
      <c r="J19" s="109">
        <v>0.9</v>
      </c>
      <c r="K19" s="82"/>
      <c r="L19" s="82"/>
      <c r="N19" s="161" t="s">
        <v>1286</v>
      </c>
      <c r="O19" s="162">
        <f>(I58+I124+I190+I256+I304)/5</f>
        <v>0.9515674603174602</v>
      </c>
      <c r="P19" s="254"/>
      <c r="Q19" s="257"/>
    </row>
    <row r="20" spans="1:17" ht="14.4" customHeight="1">
      <c r="A20" s="253"/>
      <c r="B20" s="251">
        <v>45932</v>
      </c>
      <c r="C20" s="248" t="s">
        <v>1198</v>
      </c>
      <c r="D20" s="132" t="s">
        <v>1193</v>
      </c>
      <c r="E20" s="158"/>
      <c r="F20" s="125" t="s">
        <v>1251</v>
      </c>
      <c r="G20" s="126"/>
      <c r="H20" s="127">
        <v>0.33333333333333298</v>
      </c>
      <c r="I20" s="134">
        <f t="shared" si="0"/>
        <v>1</v>
      </c>
      <c r="J20" s="134">
        <v>0.9</v>
      </c>
      <c r="K20" s="135"/>
      <c r="L20" s="137"/>
    </row>
    <row r="21" spans="1:17" ht="14.4" customHeight="1">
      <c r="A21" s="253"/>
      <c r="B21" s="244"/>
      <c r="C21" s="249"/>
      <c r="D21" s="132" t="s">
        <v>1193</v>
      </c>
      <c r="E21" s="158"/>
      <c r="F21" s="125" t="s">
        <v>1252</v>
      </c>
      <c r="G21" s="126"/>
      <c r="H21" s="127">
        <v>0.33333333333333298</v>
      </c>
      <c r="I21" s="134">
        <f t="shared" si="0"/>
        <v>1</v>
      </c>
      <c r="J21" s="134">
        <v>0.9</v>
      </c>
      <c r="K21" s="135"/>
      <c r="L21" s="136"/>
    </row>
    <row r="22" spans="1:17" ht="14.4" customHeight="1">
      <c r="A22" s="253"/>
      <c r="B22" s="244"/>
      <c r="C22" s="250"/>
      <c r="D22" s="132" t="s">
        <v>1193</v>
      </c>
      <c r="E22" s="133"/>
      <c r="F22" s="128" t="s">
        <v>1253</v>
      </c>
      <c r="G22" s="126"/>
      <c r="H22" s="127">
        <v>0.33333333333333298</v>
      </c>
      <c r="I22" s="134">
        <f t="shared" si="0"/>
        <v>1</v>
      </c>
      <c r="J22" s="134">
        <v>0.9</v>
      </c>
      <c r="K22" s="133"/>
      <c r="L22" s="136"/>
      <c r="N22" s="255" t="s">
        <v>1287</v>
      </c>
      <c r="O22" s="255" t="s">
        <v>1288</v>
      </c>
      <c r="P22" s="255" t="s">
        <v>1292</v>
      </c>
      <c r="Q22" s="255" t="s">
        <v>1290</v>
      </c>
    </row>
    <row r="23" spans="1:17" ht="14.4" customHeight="1">
      <c r="A23" s="253"/>
      <c r="B23" s="244"/>
      <c r="C23" s="243" t="s">
        <v>1196</v>
      </c>
      <c r="D23" s="78" t="s">
        <v>1191</v>
      </c>
      <c r="E23" s="159"/>
      <c r="F23" s="111" t="s">
        <v>1251</v>
      </c>
      <c r="G23" s="107"/>
      <c r="H23" s="108">
        <v>0.33333333333333298</v>
      </c>
      <c r="I23" s="109">
        <f t="shared" si="0"/>
        <v>1</v>
      </c>
      <c r="J23" s="109">
        <v>0.9</v>
      </c>
      <c r="K23" s="82"/>
      <c r="L23" s="112"/>
      <c r="N23" s="255"/>
      <c r="O23" s="255"/>
      <c r="P23" s="255"/>
      <c r="Q23" s="255"/>
    </row>
    <row r="24" spans="1:17" ht="14.4" customHeight="1">
      <c r="A24" s="253"/>
      <c r="B24" s="244"/>
      <c r="C24" s="244"/>
      <c r="D24" s="78" t="s">
        <v>1191</v>
      </c>
      <c r="E24" s="159"/>
      <c r="F24" s="111" t="s">
        <v>1252</v>
      </c>
      <c r="G24" s="107"/>
      <c r="H24" s="108">
        <v>0.33333333333333298</v>
      </c>
      <c r="I24" s="109">
        <f t="shared" si="0"/>
        <v>1</v>
      </c>
      <c r="J24" s="109">
        <v>0.9</v>
      </c>
      <c r="K24" s="82"/>
      <c r="L24" s="82"/>
      <c r="N24" s="161" t="s">
        <v>1251</v>
      </c>
      <c r="O24" s="162">
        <f>(AVERAGEIFS(I11:I55,D11:D55,P24,F11:F55,N24)+AVERAGEIFS(I59:I121,D59:D121,P24,F59:F121,N24)+AVERAGEIFS(I125:I187,D125:D187,P24,F125:F187,N24)+AVERAGEIFS(I191:I253,D191:D253,P24,F191:F253,N24)+AVERAGEIFS(I257:I301,D257:D301,P24,F257:F301,N24))/5</f>
        <v>0.91208333333333313</v>
      </c>
      <c r="P24" s="260" t="s">
        <v>1191</v>
      </c>
      <c r="Q24" s="224"/>
    </row>
    <row r="25" spans="1:17" ht="14.4" customHeight="1">
      <c r="A25" s="253"/>
      <c r="B25" s="244"/>
      <c r="C25" s="245"/>
      <c r="D25" s="78" t="s">
        <v>1191</v>
      </c>
      <c r="E25" s="113"/>
      <c r="F25" s="114" t="s">
        <v>1253</v>
      </c>
      <c r="G25" s="107"/>
      <c r="H25" s="108">
        <v>0.33333333333333298</v>
      </c>
      <c r="I25" s="109">
        <f t="shared" si="0"/>
        <v>1</v>
      </c>
      <c r="J25" s="109">
        <v>0.9</v>
      </c>
      <c r="K25" s="82"/>
      <c r="L25" s="82"/>
      <c r="N25" s="161" t="s">
        <v>1252</v>
      </c>
      <c r="O25" s="162">
        <f>(AVERAGEIFS(I11:I55,D11:D55,P24,F11:F55,N25)+AVERAGEIFS(I59:I121,D59:D121,P24,F59:F121,N25)+AVERAGEIFS(I125:I187,D125:D187,P24,F125:F187,N25)+AVERAGEIFS(I191:I253,D191:D253,P24,F191:F253,N25)+AVERAGEIFS(I257:I292,D257:D292,P24,F257:F292,N25))/5</f>
        <v>0.93499999999999994</v>
      </c>
      <c r="P25" s="261"/>
      <c r="Q25" s="227"/>
    </row>
    <row r="26" spans="1:17" ht="14.4" customHeight="1">
      <c r="A26" s="253"/>
      <c r="B26" s="244"/>
      <c r="C26" s="248" t="s">
        <v>1197</v>
      </c>
      <c r="D26" s="132" t="s">
        <v>1192</v>
      </c>
      <c r="E26" s="158"/>
      <c r="F26" s="125" t="s">
        <v>1251</v>
      </c>
      <c r="G26" s="126"/>
      <c r="H26" s="127">
        <v>0.33333333333333298</v>
      </c>
      <c r="I26" s="134">
        <f t="shared" si="0"/>
        <v>1</v>
      </c>
      <c r="J26" s="134">
        <v>0.9</v>
      </c>
      <c r="K26" s="135"/>
      <c r="L26" s="137"/>
      <c r="N26" s="161" t="s">
        <v>1253</v>
      </c>
      <c r="O26" s="162">
        <f>(AVERAGEIFS(I11:I55,D11:D55,P24,F11:F55,N26)+AVERAGEIFS(I59:I121,D59:D121,P24,F59:F121,N26)+AVERAGEIFS(I125:I187,D125:D187,P24,F125:F187,N26)+AVERAGEIFS(I191:I253,D191:D253,P24,F191:F253,N26)+AVERAGEIFS(I257:I292,D257:D292,P24,F257:F292,N26))/5</f>
        <v>0.98750000000000004</v>
      </c>
      <c r="P26" s="261"/>
      <c r="Q26" s="227"/>
    </row>
    <row r="27" spans="1:17" ht="14.4" customHeight="1">
      <c r="A27" s="253"/>
      <c r="B27" s="244"/>
      <c r="C27" s="249"/>
      <c r="D27" s="132" t="s">
        <v>1192</v>
      </c>
      <c r="E27" s="158"/>
      <c r="F27" s="129" t="s">
        <v>1252</v>
      </c>
      <c r="G27" s="126"/>
      <c r="H27" s="127">
        <v>0.33333333333333298</v>
      </c>
      <c r="I27" s="134">
        <f t="shared" si="0"/>
        <v>1</v>
      </c>
      <c r="J27" s="134">
        <v>0.9</v>
      </c>
      <c r="K27" s="135"/>
      <c r="L27" s="136"/>
      <c r="N27" s="161" t="s">
        <v>1293</v>
      </c>
      <c r="O27" s="162">
        <f>(O24+O25+O26)/3</f>
        <v>0.94486111111111093</v>
      </c>
      <c r="P27" s="261"/>
      <c r="Q27" s="227"/>
    </row>
    <row r="28" spans="1:17" ht="14.4" customHeight="1" thickBot="1">
      <c r="A28" s="253"/>
      <c r="B28" s="245"/>
      <c r="C28" s="250"/>
      <c r="D28" s="132" t="s">
        <v>1192</v>
      </c>
      <c r="E28" s="133"/>
      <c r="F28" s="128" t="s">
        <v>1253</v>
      </c>
      <c r="G28" s="126"/>
      <c r="H28" s="131">
        <v>0.33333333333333298</v>
      </c>
      <c r="I28" s="138">
        <f t="shared" si="0"/>
        <v>1</v>
      </c>
      <c r="J28" s="134">
        <v>0.9</v>
      </c>
      <c r="K28" s="133"/>
      <c r="L28" s="136"/>
    </row>
    <row r="29" spans="1:17" ht="15" customHeight="1">
      <c r="A29" s="253"/>
      <c r="B29" s="251">
        <v>45933</v>
      </c>
      <c r="C29" s="243" t="s">
        <v>1198</v>
      </c>
      <c r="D29" s="78" t="s">
        <v>1193</v>
      </c>
      <c r="E29" s="159"/>
      <c r="F29" s="111" t="s">
        <v>1251</v>
      </c>
      <c r="G29" s="107"/>
      <c r="H29" s="108">
        <v>0.33333333333333298</v>
      </c>
      <c r="I29" s="109">
        <f t="shared" si="0"/>
        <v>1</v>
      </c>
      <c r="J29" s="109">
        <v>0.9</v>
      </c>
      <c r="K29" s="82"/>
      <c r="L29" s="112"/>
      <c r="N29" s="255" t="s">
        <v>1287</v>
      </c>
      <c r="O29" s="255" t="s">
        <v>1288</v>
      </c>
      <c r="P29" s="255" t="s">
        <v>1292</v>
      </c>
      <c r="Q29" s="255" t="s">
        <v>1290</v>
      </c>
    </row>
    <row r="30" spans="1:17" ht="15" customHeight="1">
      <c r="A30" s="253"/>
      <c r="B30" s="244"/>
      <c r="C30" s="244"/>
      <c r="D30" s="78" t="s">
        <v>1193</v>
      </c>
      <c r="E30" s="159"/>
      <c r="F30" s="106" t="s">
        <v>1252</v>
      </c>
      <c r="G30" s="107"/>
      <c r="H30" s="108">
        <v>0.33333333333333298</v>
      </c>
      <c r="I30" s="109">
        <f t="shared" si="0"/>
        <v>1</v>
      </c>
      <c r="J30" s="109">
        <v>0.9</v>
      </c>
      <c r="K30" s="82"/>
      <c r="L30" s="82"/>
      <c r="N30" s="255"/>
      <c r="O30" s="255"/>
      <c r="P30" s="255"/>
      <c r="Q30" s="255"/>
    </row>
    <row r="31" spans="1:17" ht="15" customHeight="1">
      <c r="A31" s="253"/>
      <c r="B31" s="244"/>
      <c r="C31" s="245"/>
      <c r="D31" s="78" t="s">
        <v>1193</v>
      </c>
      <c r="E31" s="113"/>
      <c r="F31" s="114" t="s">
        <v>1253</v>
      </c>
      <c r="G31" s="107"/>
      <c r="H31" s="108">
        <v>0.33333333333333298</v>
      </c>
      <c r="I31" s="109">
        <f t="shared" si="0"/>
        <v>1</v>
      </c>
      <c r="J31" s="109">
        <v>0.9</v>
      </c>
      <c r="K31" s="82"/>
      <c r="L31" s="82"/>
      <c r="N31" s="161" t="s">
        <v>1251</v>
      </c>
      <c r="O31" s="162">
        <f>(AVERAGEIFS(I11:I55,D11:D55,P31,F11:F55,N31)+AVERAGEIFS(I59:I121,D59:D121,P31,F59:F121,N31)+AVERAGEIFS(I125:I187,D125:D187,P31,F125:F187,N31)+AVERAGEIFS(I191:I253,D191:D253,P31,F191:F253,N31)+AVERAGEIFS(I257:I292,D257:D292,P31,F257:F292,N31))/5</f>
        <v>0.95625000000000004</v>
      </c>
      <c r="P31" s="254" t="s">
        <v>1194</v>
      </c>
      <c r="Q31" s="224"/>
    </row>
    <row r="32" spans="1:17" ht="15" customHeight="1">
      <c r="A32" s="253"/>
      <c r="B32" s="244"/>
      <c r="C32" s="248" t="s">
        <v>1196</v>
      </c>
      <c r="D32" s="132" t="s">
        <v>1191</v>
      </c>
      <c r="E32" s="158"/>
      <c r="F32" s="125" t="s">
        <v>1251</v>
      </c>
      <c r="G32" s="126"/>
      <c r="H32" s="127">
        <v>0.33333333333333298</v>
      </c>
      <c r="I32" s="134">
        <f t="shared" si="0"/>
        <v>1</v>
      </c>
      <c r="J32" s="134">
        <v>0.9</v>
      </c>
      <c r="K32" s="135"/>
      <c r="L32" s="137"/>
      <c r="N32" s="161" t="s">
        <v>1252</v>
      </c>
      <c r="O32" s="162">
        <f>(AVERAGEIFS(I11:I55,D11:D55,P31,F11:F55,N32)+AVERAGEIFS(I59:I121,D59:D121,P31,F59:F121,N32)+AVERAGEIFS(I125:I187,D125:D187,P31,F125:F187,N32)+AVERAGEIFS(I191:I253,D191:D253,P31,F191:F253,N32)+AVERAGEIFS(I257:I292,D257:D292,P31,F257:F292,N32))/5</f>
        <v>0.95625000000000004</v>
      </c>
      <c r="P32" s="254"/>
      <c r="Q32" s="227"/>
    </row>
    <row r="33" spans="1:17" ht="15" customHeight="1">
      <c r="A33" s="253"/>
      <c r="B33" s="244"/>
      <c r="C33" s="249"/>
      <c r="D33" s="132" t="s">
        <v>1191</v>
      </c>
      <c r="E33" s="158"/>
      <c r="F33" s="129" t="s">
        <v>1252</v>
      </c>
      <c r="G33" s="126">
        <v>3.125E-2</v>
      </c>
      <c r="H33" s="127">
        <v>0.33333333333333331</v>
      </c>
      <c r="I33" s="134">
        <f t="shared" si="0"/>
        <v>0.90625</v>
      </c>
      <c r="J33" s="134">
        <v>0.9</v>
      </c>
      <c r="K33" s="135" t="s">
        <v>1307</v>
      </c>
      <c r="L33" s="136"/>
      <c r="N33" s="161" t="s">
        <v>1253</v>
      </c>
      <c r="O33" s="162">
        <f>(AVERAGEIFS(I11:I55,D11:D55,P31,F11:F55,N33)+AVERAGEIFS(I59:I121,D59:D121,P31,F59:F121,N33)+AVERAGEIFS(I125:I187,D125:D187,P31,F125:F187,N33)+AVERAGEIFS(I191:I253,D191:D253,P31,F191:F253,N33)+AVERAGEIFS(I257:I292,D257:D292,P31,F257:F292,N33))/5</f>
        <v>0.88194444444444431</v>
      </c>
      <c r="P33" s="254"/>
      <c r="Q33" s="227"/>
    </row>
    <row r="34" spans="1:17" ht="15" customHeight="1">
      <c r="A34" s="253"/>
      <c r="B34" s="244"/>
      <c r="C34" s="250"/>
      <c r="D34" s="132" t="s">
        <v>1191</v>
      </c>
      <c r="E34" s="133"/>
      <c r="F34" s="128" t="s">
        <v>1253</v>
      </c>
      <c r="G34" s="126"/>
      <c r="H34" s="127">
        <v>0.33333333333333298</v>
      </c>
      <c r="I34" s="134">
        <f t="shared" si="0"/>
        <v>1</v>
      </c>
      <c r="J34" s="134">
        <v>0.9</v>
      </c>
      <c r="K34" s="133"/>
      <c r="L34" s="136"/>
      <c r="N34" s="161" t="s">
        <v>1293</v>
      </c>
      <c r="O34" s="162">
        <f>(O31+O32+O33)/3</f>
        <v>0.93148148148148147</v>
      </c>
      <c r="P34" s="254"/>
      <c r="Q34" s="227"/>
    </row>
    <row r="35" spans="1:17" ht="15" customHeight="1">
      <c r="A35" s="253"/>
      <c r="B35" s="244"/>
      <c r="C35" s="243" t="s">
        <v>1197</v>
      </c>
      <c r="D35" s="78" t="s">
        <v>1192</v>
      </c>
      <c r="E35" s="159"/>
      <c r="F35" s="111" t="s">
        <v>1251</v>
      </c>
      <c r="G35" s="107"/>
      <c r="H35" s="108">
        <v>0.33333333333333298</v>
      </c>
      <c r="I35" s="109">
        <f t="shared" si="0"/>
        <v>1</v>
      </c>
      <c r="J35" s="109">
        <v>0.9</v>
      </c>
      <c r="K35" s="82"/>
      <c r="L35" s="112"/>
    </row>
    <row r="36" spans="1:17" ht="15" customHeight="1">
      <c r="A36" s="253"/>
      <c r="B36" s="244"/>
      <c r="C36" s="244"/>
      <c r="D36" s="78" t="s">
        <v>1192</v>
      </c>
      <c r="E36" s="159"/>
      <c r="F36" s="106" t="s">
        <v>1252</v>
      </c>
      <c r="G36" s="107">
        <v>4.1666666666666664E-2</v>
      </c>
      <c r="H36" s="108">
        <v>0.33333333333333298</v>
      </c>
      <c r="I36" s="109">
        <f t="shared" si="0"/>
        <v>0.87499999999999989</v>
      </c>
      <c r="J36" s="109">
        <v>0.9</v>
      </c>
      <c r="K36" s="82" t="s">
        <v>1307</v>
      </c>
      <c r="L36" s="82"/>
      <c r="N36" s="255" t="s">
        <v>1287</v>
      </c>
      <c r="O36" s="255" t="s">
        <v>1288</v>
      </c>
      <c r="P36" s="255" t="s">
        <v>1292</v>
      </c>
      <c r="Q36" s="255" t="s">
        <v>1290</v>
      </c>
    </row>
    <row r="37" spans="1:17" ht="15.6" customHeight="1" thickBot="1">
      <c r="A37" s="253"/>
      <c r="B37" s="245"/>
      <c r="C37" s="245"/>
      <c r="D37" s="78" t="s">
        <v>1192</v>
      </c>
      <c r="E37" s="113"/>
      <c r="F37" s="114" t="s">
        <v>1253</v>
      </c>
      <c r="G37" s="107">
        <v>0.11458333333333333</v>
      </c>
      <c r="H37" s="108">
        <v>0.33333333333333298</v>
      </c>
      <c r="I37" s="109">
        <f t="shared" si="0"/>
        <v>0.65624999999999967</v>
      </c>
      <c r="J37" s="109">
        <v>0.9</v>
      </c>
      <c r="K37" s="82" t="s">
        <v>1307</v>
      </c>
      <c r="L37" s="82"/>
      <c r="N37" s="255"/>
      <c r="O37" s="255"/>
      <c r="P37" s="255"/>
      <c r="Q37" s="255"/>
    </row>
    <row r="38" spans="1:17" ht="15" customHeight="1">
      <c r="A38" s="253"/>
      <c r="B38" s="251">
        <v>45934</v>
      </c>
      <c r="C38" s="248" t="s">
        <v>1198</v>
      </c>
      <c r="D38" s="132" t="s">
        <v>1194</v>
      </c>
      <c r="E38" s="158"/>
      <c r="F38" s="125" t="s">
        <v>1251</v>
      </c>
      <c r="G38" s="126"/>
      <c r="H38" s="127">
        <v>0.33333333333333298</v>
      </c>
      <c r="I38" s="134">
        <f t="shared" si="0"/>
        <v>1</v>
      </c>
      <c r="J38" s="134">
        <v>0.9</v>
      </c>
      <c r="K38" s="135"/>
      <c r="L38" s="137"/>
      <c r="N38" s="161" t="s">
        <v>1251</v>
      </c>
      <c r="O38" s="162">
        <f>(AVERAGEIFS(I11:I55,D11:D55,P38,F11:F55,N38)+AVERAGEIFS(I59:I121,D59:D121,P38,F59:F121,N38)+AVERAGEIFS(I125:I187,D125:D187,P38,F125:F187,N38)+AVERAGEIFS(I191:I253,D191:D253,P38,F191:F253,N38)+AVERAGEIFS(I257:I292,D257:D292,P38,F257:F292,N38))/5</f>
        <v>0.92309027777777786</v>
      </c>
      <c r="P38" s="254" t="s">
        <v>1193</v>
      </c>
      <c r="Q38" s="224"/>
    </row>
    <row r="39" spans="1:17" ht="15" customHeight="1">
      <c r="A39" s="253"/>
      <c r="B39" s="244"/>
      <c r="C39" s="249"/>
      <c r="D39" s="132" t="s">
        <v>1194</v>
      </c>
      <c r="E39" s="158"/>
      <c r="F39" s="129" t="s">
        <v>1252</v>
      </c>
      <c r="G39" s="126"/>
      <c r="H39" s="127">
        <v>0.33333333333333298</v>
      </c>
      <c r="I39" s="134">
        <f t="shared" si="0"/>
        <v>1</v>
      </c>
      <c r="J39" s="134">
        <v>0.9</v>
      </c>
      <c r="K39" s="135"/>
      <c r="L39" s="136"/>
      <c r="N39" s="161" t="s">
        <v>1252</v>
      </c>
      <c r="O39" s="162">
        <f>(AVERAGEIFS(I11:I55,D11:D55,P38,F11:F55,N39)+AVERAGEIFS(I59:I121,D59:D121,P38,F59:F121,N39)+AVERAGEIFS(I125:I187,D125:D187,P38,F125:F187,N39)+AVERAGEIFS(I191:I253,D191:D253,P38,F191:F253,N39)+AVERAGEIFS(I257:I292,D257:D292,P38,F257:F292,N39))/5</f>
        <v>0.86059027777777763</v>
      </c>
      <c r="P39" s="254"/>
      <c r="Q39" s="227"/>
    </row>
    <row r="40" spans="1:17" ht="15" customHeight="1">
      <c r="A40" s="253"/>
      <c r="B40" s="244"/>
      <c r="C40" s="250"/>
      <c r="D40" s="132" t="s">
        <v>1194</v>
      </c>
      <c r="E40" s="133"/>
      <c r="F40" s="128" t="s">
        <v>1253</v>
      </c>
      <c r="G40" s="126">
        <v>0.30208333333333331</v>
      </c>
      <c r="H40" s="127">
        <v>0.33333333333333298</v>
      </c>
      <c r="I40" s="134">
        <f t="shared" si="0"/>
        <v>9.3749999999999112E-2</v>
      </c>
      <c r="J40" s="134">
        <v>0.9</v>
      </c>
      <c r="K40" s="135" t="s">
        <v>1307</v>
      </c>
      <c r="L40" s="136"/>
      <c r="N40" s="161" t="s">
        <v>1253</v>
      </c>
      <c r="O40" s="162">
        <f>(AVERAGEIFS(I11:I55,D11:D55,P38,F11:F55,N40)+AVERAGEIFS(I59:I121,D59:D121,P38,F59:F121,N40)+AVERAGEIFS(I125:I187,D125:D187,P38,F125:F187,N40)+AVERAGEIFS(I191:I253,D191:D253,P38,F191:F253,N40)+AVERAGEIFS(I257:I292,D257:D292,P38,F257:F292,N40))/5</f>
        <v>0.98131944444444452</v>
      </c>
      <c r="P40" s="254"/>
      <c r="Q40" s="227"/>
    </row>
    <row r="41" spans="1:17" ht="15" customHeight="1">
      <c r="A41" s="253"/>
      <c r="B41" s="244"/>
      <c r="C41" s="243" t="s">
        <v>1196</v>
      </c>
      <c r="D41" s="78" t="s">
        <v>1193</v>
      </c>
      <c r="E41" s="159"/>
      <c r="F41" s="111" t="s">
        <v>1251</v>
      </c>
      <c r="G41" s="107"/>
      <c r="H41" s="108">
        <v>0.33333333333333298</v>
      </c>
      <c r="I41" s="109">
        <f t="shared" si="0"/>
        <v>1</v>
      </c>
      <c r="J41" s="109">
        <v>0.9</v>
      </c>
      <c r="K41" s="82"/>
      <c r="L41" s="112"/>
      <c r="N41" s="161" t="s">
        <v>1293</v>
      </c>
      <c r="O41" s="162">
        <f>(O38+O39+O40)/3</f>
        <v>0.92166666666666675</v>
      </c>
      <c r="P41" s="254"/>
      <c r="Q41" s="227"/>
    </row>
    <row r="42" spans="1:17" ht="15" customHeight="1">
      <c r="A42" s="253"/>
      <c r="B42" s="244"/>
      <c r="C42" s="244"/>
      <c r="D42" s="78" t="s">
        <v>1193</v>
      </c>
      <c r="E42" s="159"/>
      <c r="F42" s="106" t="s">
        <v>1252</v>
      </c>
      <c r="G42" s="107">
        <v>0.19444444444444445</v>
      </c>
      <c r="H42" s="108">
        <v>0.33333333333333298</v>
      </c>
      <c r="I42" s="109">
        <f t="shared" si="0"/>
        <v>0.41666666666666607</v>
      </c>
      <c r="J42" s="109">
        <v>0.9</v>
      </c>
      <c r="K42" s="82" t="s">
        <v>1323</v>
      </c>
      <c r="L42" s="82"/>
    </row>
    <row r="43" spans="1:17" ht="15" customHeight="1">
      <c r="A43" s="253"/>
      <c r="B43" s="244"/>
      <c r="C43" s="245"/>
      <c r="D43" s="78" t="s">
        <v>1193</v>
      </c>
      <c r="E43" s="113"/>
      <c r="F43" s="114" t="s">
        <v>1253</v>
      </c>
      <c r="G43" s="107"/>
      <c r="H43" s="108">
        <v>0.33333333333333298</v>
      </c>
      <c r="I43" s="109">
        <f t="shared" si="0"/>
        <v>1</v>
      </c>
      <c r="J43" s="109">
        <v>0.9</v>
      </c>
      <c r="K43" s="82"/>
      <c r="L43" s="82"/>
      <c r="N43" s="255" t="s">
        <v>1287</v>
      </c>
      <c r="O43" s="255" t="s">
        <v>1288</v>
      </c>
      <c r="P43" s="255" t="s">
        <v>1292</v>
      </c>
      <c r="Q43" s="255" t="s">
        <v>1290</v>
      </c>
    </row>
    <row r="44" spans="1:17" ht="15" customHeight="1">
      <c r="A44" s="253"/>
      <c r="B44" s="244"/>
      <c r="C44" s="248" t="s">
        <v>1197</v>
      </c>
      <c r="D44" s="132" t="s">
        <v>1191</v>
      </c>
      <c r="E44" s="158"/>
      <c r="F44" s="125" t="s">
        <v>1251</v>
      </c>
      <c r="G44" s="126"/>
      <c r="H44" s="127">
        <v>0.33333333333333298</v>
      </c>
      <c r="I44" s="134">
        <f t="shared" si="0"/>
        <v>1</v>
      </c>
      <c r="J44" s="134">
        <v>0.9</v>
      </c>
      <c r="K44" s="135"/>
      <c r="L44" s="137"/>
      <c r="N44" s="255"/>
      <c r="O44" s="255"/>
      <c r="P44" s="255"/>
      <c r="Q44" s="255"/>
    </row>
    <row r="45" spans="1:17" ht="15" customHeight="1">
      <c r="A45" s="253"/>
      <c r="B45" s="244"/>
      <c r="C45" s="249"/>
      <c r="D45" s="132" t="s">
        <v>1191</v>
      </c>
      <c r="E45" s="158"/>
      <c r="F45" s="129" t="s">
        <v>1252</v>
      </c>
      <c r="G45" s="126"/>
      <c r="H45" s="127">
        <v>0.33333333333333298</v>
      </c>
      <c r="I45" s="134">
        <f t="shared" si="0"/>
        <v>1</v>
      </c>
      <c r="J45" s="134">
        <v>0.9</v>
      </c>
      <c r="K45" s="135"/>
      <c r="L45" s="136"/>
      <c r="N45" s="161" t="s">
        <v>1251</v>
      </c>
      <c r="O45" s="162">
        <f>(AVERAGEIFS(I11:I55,D11:D55,P45,F11:F55,N45)+AVERAGEIFS(I59:I121,D59:D121,P45,F59:F121,N45)+AVERAGEIFS(I125:I187,D125:D187,P45,F125:F187,N45)+AVERAGEIFS(I191:I253,D191:D253,P45,F191:F253,N45)+AVERAGEIFS(I257:I301,D257:D301,P45,F257:F301,N45))/5</f>
        <v>1</v>
      </c>
      <c r="P45" s="254" t="s">
        <v>1192</v>
      </c>
      <c r="Q45" s="224"/>
    </row>
    <row r="46" spans="1:17" ht="15.6" customHeight="1" thickBot="1">
      <c r="A46" s="253"/>
      <c r="B46" s="245"/>
      <c r="C46" s="250"/>
      <c r="D46" s="132" t="s">
        <v>1191</v>
      </c>
      <c r="E46" s="133"/>
      <c r="F46" s="128" t="s">
        <v>1253</v>
      </c>
      <c r="G46" s="126">
        <v>0.10416666666666667</v>
      </c>
      <c r="H46" s="127">
        <v>0.33333333333333298</v>
      </c>
      <c r="I46" s="134">
        <f t="shared" si="0"/>
        <v>0.68749999999999967</v>
      </c>
      <c r="J46" s="134">
        <v>0.9</v>
      </c>
      <c r="K46" s="135" t="s">
        <v>1326</v>
      </c>
      <c r="L46" s="136"/>
      <c r="N46" s="161" t="s">
        <v>1252</v>
      </c>
      <c r="O46" s="162">
        <f>(AVERAGEIFS(I11:I55,D11:D55,P45,F11:F55,N46)+AVERAGEIFS(I59:I121,D59:D121,P45,F59:F121,N46)+AVERAGEIFS(I125:I187,D125:D187,P45,F125:F187,N46)+AVERAGEIFS(I191:I253,D191:D253,P45,F191:F253,N46)+AVERAGEIFS(I257:I301,D257:D301,P45,F257:F301,N46))/5</f>
        <v>0.90819444444444442</v>
      </c>
      <c r="P46" s="254"/>
      <c r="Q46" s="227"/>
    </row>
    <row r="47" spans="1:17" ht="15" customHeight="1">
      <c r="A47" s="253"/>
      <c r="B47" s="251">
        <v>45935</v>
      </c>
      <c r="C47" s="243" t="s">
        <v>1198</v>
      </c>
      <c r="D47" s="78" t="s">
        <v>1194</v>
      </c>
      <c r="E47" s="159"/>
      <c r="F47" s="111" t="s">
        <v>1251</v>
      </c>
      <c r="G47" s="107"/>
      <c r="H47" s="108">
        <v>0.33333333333333298</v>
      </c>
      <c r="I47" s="109">
        <f t="shared" si="0"/>
        <v>1</v>
      </c>
      <c r="J47" s="109">
        <v>0.9</v>
      </c>
      <c r="K47" s="82"/>
      <c r="L47" s="112"/>
      <c r="N47" s="161" t="s">
        <v>1253</v>
      </c>
      <c r="O47" s="162">
        <f>(AVERAGEIFS(I11:I55,D11:D55,P45,F11:F55,N47)+AVERAGEIFS(I59:I121,D59:D121,P45,F59:F121,N47)+AVERAGEIFS(I125:I187,D125:D187,P45,F125:F187,N47)+AVERAGEIFS(I191:I253,D191:D253,P45,F191:F253,N47)+AVERAGEIFS(I257:I301,D257:D301,P45,F257:F301,N47))/5</f>
        <v>0.97708333333333319</v>
      </c>
      <c r="P47" s="254"/>
      <c r="Q47" s="227"/>
    </row>
    <row r="48" spans="1:17" ht="15" customHeight="1">
      <c r="A48" s="253"/>
      <c r="B48" s="244"/>
      <c r="C48" s="244"/>
      <c r="D48" s="78" t="s">
        <v>1194</v>
      </c>
      <c r="E48" s="159"/>
      <c r="F48" s="106" t="s">
        <v>1252</v>
      </c>
      <c r="G48" s="107"/>
      <c r="H48" s="108">
        <v>0.33333333333333298</v>
      </c>
      <c r="I48" s="109">
        <f t="shared" si="0"/>
        <v>1</v>
      </c>
      <c r="J48" s="109">
        <v>0.9</v>
      </c>
      <c r="K48" s="82"/>
      <c r="L48" s="82"/>
      <c r="N48" s="161" t="s">
        <v>1293</v>
      </c>
      <c r="O48" s="162">
        <f>(O45+O46+O47)/3</f>
        <v>0.9617592592592592</v>
      </c>
      <c r="P48" s="254"/>
      <c r="Q48" s="227"/>
    </row>
    <row r="49" spans="1:12" ht="15" customHeight="1">
      <c r="A49" s="253"/>
      <c r="B49" s="244"/>
      <c r="C49" s="245"/>
      <c r="D49" s="78" t="s">
        <v>1194</v>
      </c>
      <c r="E49" s="113"/>
      <c r="F49" s="114" t="s">
        <v>1253</v>
      </c>
      <c r="G49" s="107"/>
      <c r="H49" s="108">
        <v>0.33333333333333298</v>
      </c>
      <c r="I49" s="109">
        <f t="shared" si="0"/>
        <v>1</v>
      </c>
      <c r="J49" s="109">
        <v>0.9</v>
      </c>
      <c r="K49" s="82"/>
      <c r="L49" s="82"/>
    </row>
    <row r="50" spans="1:12" ht="15" customHeight="1">
      <c r="A50" s="253"/>
      <c r="B50" s="244"/>
      <c r="C50" s="248" t="s">
        <v>1196</v>
      </c>
      <c r="D50" s="132" t="s">
        <v>1193</v>
      </c>
      <c r="E50" s="158"/>
      <c r="F50" s="125" t="s">
        <v>1251</v>
      </c>
      <c r="G50" s="126">
        <v>3.125E-2</v>
      </c>
      <c r="H50" s="127">
        <v>0.33333333333333298</v>
      </c>
      <c r="I50" s="134">
        <f t="shared" si="0"/>
        <v>0.90624999999999989</v>
      </c>
      <c r="J50" s="134">
        <v>0.9</v>
      </c>
      <c r="K50" s="135" t="s">
        <v>1326</v>
      </c>
      <c r="L50" s="137"/>
    </row>
    <row r="51" spans="1:12" ht="15" customHeight="1">
      <c r="A51" s="253"/>
      <c r="B51" s="244"/>
      <c r="C51" s="249"/>
      <c r="D51" s="132" t="s">
        <v>1193</v>
      </c>
      <c r="E51" s="158"/>
      <c r="F51" s="129" t="s">
        <v>1252</v>
      </c>
      <c r="G51" s="126">
        <v>0.25</v>
      </c>
      <c r="H51" s="127">
        <v>0.33333333333333298</v>
      </c>
      <c r="I51" s="134">
        <f t="shared" si="0"/>
        <v>0.24999999999999922</v>
      </c>
      <c r="J51" s="134">
        <v>0.9</v>
      </c>
      <c r="K51" s="135" t="s">
        <v>1545</v>
      </c>
      <c r="L51" s="136"/>
    </row>
    <row r="52" spans="1:12" ht="15" customHeight="1">
      <c r="A52" s="253"/>
      <c r="B52" s="244"/>
      <c r="C52" s="250"/>
      <c r="D52" s="132" t="s">
        <v>1193</v>
      </c>
      <c r="E52" s="133"/>
      <c r="F52" s="128" t="s">
        <v>1253</v>
      </c>
      <c r="G52" s="127"/>
      <c r="H52" s="127">
        <v>0.33333333333333298</v>
      </c>
      <c r="I52" s="134">
        <f t="shared" si="0"/>
        <v>1</v>
      </c>
      <c r="J52" s="134">
        <v>0.9</v>
      </c>
      <c r="K52" s="133"/>
      <c r="L52" s="136"/>
    </row>
    <row r="53" spans="1:12" ht="15" customHeight="1">
      <c r="A53" s="253"/>
      <c r="B53" s="244"/>
      <c r="C53" s="243" t="s">
        <v>1197</v>
      </c>
      <c r="D53" s="78" t="s">
        <v>1191</v>
      </c>
      <c r="E53" s="159"/>
      <c r="F53" s="111" t="s">
        <v>1251</v>
      </c>
      <c r="G53" s="108">
        <v>0.1388888888888889</v>
      </c>
      <c r="H53" s="108">
        <v>0.33333333333333298</v>
      </c>
      <c r="I53" s="109">
        <f t="shared" si="0"/>
        <v>0.58333333333333282</v>
      </c>
      <c r="J53" s="109">
        <v>0.9</v>
      </c>
      <c r="K53" s="82" t="s">
        <v>1326</v>
      </c>
      <c r="L53" s="82"/>
    </row>
    <row r="54" spans="1:12" ht="15" customHeight="1">
      <c r="A54" s="253"/>
      <c r="B54" s="244"/>
      <c r="C54" s="244"/>
      <c r="D54" s="78" t="s">
        <v>1191</v>
      </c>
      <c r="E54" s="159"/>
      <c r="F54" s="106" t="s">
        <v>1252</v>
      </c>
      <c r="G54" s="108"/>
      <c r="H54" s="108">
        <v>0.33333333333333298</v>
      </c>
      <c r="I54" s="109">
        <f t="shared" si="0"/>
        <v>1</v>
      </c>
      <c r="J54" s="109">
        <v>0.9</v>
      </c>
      <c r="K54" s="82"/>
      <c r="L54" s="82"/>
    </row>
    <row r="55" spans="1:12" ht="15.6" customHeight="1">
      <c r="A55" s="253"/>
      <c r="B55" s="245"/>
      <c r="C55" s="245"/>
      <c r="D55" s="78" t="s">
        <v>1191</v>
      </c>
      <c r="E55" s="113"/>
      <c r="F55" s="114" t="s">
        <v>1253</v>
      </c>
      <c r="G55" s="108"/>
      <c r="H55" s="123">
        <v>0.33333333333333298</v>
      </c>
      <c r="I55" s="109">
        <f t="shared" si="0"/>
        <v>1</v>
      </c>
      <c r="J55" s="109">
        <v>0.9</v>
      </c>
      <c r="K55" s="82"/>
      <c r="L55" s="82"/>
    </row>
    <row r="56" spans="1:12" ht="15.6" customHeight="1">
      <c r="A56" s="253"/>
      <c r="B56" s="117"/>
      <c r="C56" s="117"/>
      <c r="D56" s="118"/>
      <c r="E56" s="118"/>
      <c r="F56" s="119" t="s">
        <v>1251</v>
      </c>
      <c r="G56" s="124"/>
      <c r="H56" s="124"/>
      <c r="I56" s="120">
        <f>AVERAGEIF(F11:F55,F56,I11:I55)</f>
        <v>0.96597222222222212</v>
      </c>
      <c r="J56" s="121">
        <v>0.9</v>
      </c>
      <c r="K56" s="118"/>
      <c r="L56" s="116"/>
    </row>
    <row r="57" spans="1:12" ht="15.6" customHeight="1">
      <c r="A57" s="253"/>
      <c r="B57" s="117"/>
      <c r="C57" s="117"/>
      <c r="D57" s="118"/>
      <c r="E57" s="118"/>
      <c r="F57" s="119" t="s">
        <v>1252</v>
      </c>
      <c r="G57" s="124"/>
      <c r="H57" s="124"/>
      <c r="I57" s="120">
        <f>AVERAGEIF(F11:F55,F57,I11:I55)</f>
        <v>0.8965277777777777</v>
      </c>
      <c r="J57" s="121">
        <v>0.9</v>
      </c>
      <c r="K57" s="118"/>
      <c r="L57" s="116"/>
    </row>
    <row r="58" spans="1:12" ht="15.6" customHeight="1" thickBot="1">
      <c r="A58" s="253"/>
      <c r="B58" s="117"/>
      <c r="C58" s="117"/>
      <c r="D58" s="118"/>
      <c r="E58" s="118"/>
      <c r="F58" s="119" t="s">
        <v>1253</v>
      </c>
      <c r="G58" s="124"/>
      <c r="H58" s="124"/>
      <c r="I58" s="120">
        <f>AVERAGEIF(F11:F55,F58,I11:I55)</f>
        <v>0.89583333333333337</v>
      </c>
      <c r="J58" s="121">
        <v>0.9</v>
      </c>
      <c r="K58" s="118"/>
      <c r="L58" s="116"/>
    </row>
    <row r="59" spans="1:12" ht="14.4" customHeight="1">
      <c r="A59" s="252" t="s">
        <v>1541</v>
      </c>
      <c r="B59" s="251">
        <v>45936</v>
      </c>
      <c r="C59" s="243" t="s">
        <v>1198</v>
      </c>
      <c r="D59" s="110" t="s">
        <v>1201</v>
      </c>
      <c r="E59" s="156"/>
      <c r="F59" s="111" t="s">
        <v>1251</v>
      </c>
      <c r="G59" s="107"/>
      <c r="H59" s="108">
        <v>0.33333333333333331</v>
      </c>
      <c r="I59" s="109">
        <f>1-(G59/H59)</f>
        <v>1</v>
      </c>
      <c r="J59" s="109">
        <v>0.9</v>
      </c>
      <c r="K59" s="82"/>
      <c r="L59" s="82"/>
    </row>
    <row r="60" spans="1:12" ht="14.4" customHeight="1">
      <c r="A60" s="253"/>
      <c r="B60" s="244"/>
      <c r="C60" s="244"/>
      <c r="D60" s="110" t="s">
        <v>1201</v>
      </c>
      <c r="E60" s="156"/>
      <c r="F60" s="111" t="s">
        <v>1252</v>
      </c>
      <c r="G60" s="107"/>
      <c r="H60" s="108">
        <v>0.33333333333333331</v>
      </c>
      <c r="I60" s="109">
        <f>1-(G60/H60)</f>
        <v>1</v>
      </c>
      <c r="J60" s="109">
        <v>0.9</v>
      </c>
      <c r="K60" s="82"/>
      <c r="L60" s="82"/>
    </row>
    <row r="61" spans="1:12" ht="14.4" customHeight="1">
      <c r="A61" s="253"/>
      <c r="B61" s="244"/>
      <c r="C61" s="245"/>
      <c r="D61" s="110" t="s">
        <v>1201</v>
      </c>
      <c r="E61" s="157"/>
      <c r="F61" s="114" t="s">
        <v>1253</v>
      </c>
      <c r="G61" s="107"/>
      <c r="H61" s="108">
        <v>0.33333333333333298</v>
      </c>
      <c r="I61" s="109">
        <f t="shared" ref="I61:I103" si="1">1-(G61/H61)</f>
        <v>1</v>
      </c>
      <c r="J61" s="109">
        <v>0.9</v>
      </c>
      <c r="K61" s="82"/>
      <c r="L61" s="82"/>
    </row>
    <row r="62" spans="1:12" ht="14.4" customHeight="1">
      <c r="A62" s="253"/>
      <c r="B62" s="244"/>
      <c r="C62" s="248" t="s">
        <v>1196</v>
      </c>
      <c r="D62" s="132" t="s">
        <v>1194</v>
      </c>
      <c r="E62" s="158"/>
      <c r="F62" s="125" t="s">
        <v>1251</v>
      </c>
      <c r="G62" s="126">
        <v>0.21875</v>
      </c>
      <c r="H62" s="127">
        <v>0.33333333333333331</v>
      </c>
      <c r="I62" s="109">
        <f t="shared" si="1"/>
        <v>0.34375</v>
      </c>
      <c r="J62" s="134">
        <v>0.9</v>
      </c>
      <c r="K62" s="135" t="s">
        <v>1546</v>
      </c>
      <c r="L62" s="136"/>
    </row>
    <row r="63" spans="1:12" ht="14.4" customHeight="1">
      <c r="A63" s="253"/>
      <c r="B63" s="244"/>
      <c r="C63" s="249"/>
      <c r="D63" s="132" t="s">
        <v>1194</v>
      </c>
      <c r="E63" s="158"/>
      <c r="F63" s="125" t="s">
        <v>1252</v>
      </c>
      <c r="G63" s="126">
        <v>0.21875</v>
      </c>
      <c r="H63" s="127">
        <v>0.33333333333333298</v>
      </c>
      <c r="I63" s="109">
        <f t="shared" si="1"/>
        <v>0.34374999999999933</v>
      </c>
      <c r="J63" s="134">
        <v>0.9</v>
      </c>
      <c r="K63" s="135" t="s">
        <v>1546</v>
      </c>
      <c r="L63" s="136"/>
    </row>
    <row r="64" spans="1:12" ht="14.4" customHeight="1">
      <c r="A64" s="253"/>
      <c r="B64" s="244"/>
      <c r="C64" s="250"/>
      <c r="D64" s="132" t="s">
        <v>1194</v>
      </c>
      <c r="E64" s="133"/>
      <c r="F64" s="128" t="s">
        <v>1253</v>
      </c>
      <c r="G64" s="126">
        <v>0.21875</v>
      </c>
      <c r="H64" s="127">
        <v>0.33333333333333298</v>
      </c>
      <c r="I64" s="109">
        <f t="shared" si="1"/>
        <v>0.34374999999999933</v>
      </c>
      <c r="J64" s="134">
        <v>0.9</v>
      </c>
      <c r="K64" s="135" t="s">
        <v>1546</v>
      </c>
      <c r="L64" s="136"/>
    </row>
    <row r="65" spans="1:12" ht="14.4" customHeight="1">
      <c r="A65" s="253"/>
      <c r="B65" s="244"/>
      <c r="C65" s="243" t="s">
        <v>1197</v>
      </c>
      <c r="D65" s="78"/>
      <c r="E65" s="159"/>
      <c r="F65" s="111" t="s">
        <v>1251</v>
      </c>
      <c r="G65" s="107"/>
      <c r="H65" s="108">
        <v>0.33333333333333298</v>
      </c>
      <c r="I65" s="109">
        <f t="shared" si="1"/>
        <v>1</v>
      </c>
      <c r="J65" s="109">
        <v>0.9</v>
      </c>
      <c r="K65" s="82"/>
      <c r="L65" s="82"/>
    </row>
    <row r="66" spans="1:12" ht="14.4" customHeight="1">
      <c r="A66" s="253"/>
      <c r="B66" s="244"/>
      <c r="C66" s="244"/>
      <c r="D66" s="78"/>
      <c r="E66" s="159"/>
      <c r="F66" s="111" t="s">
        <v>1252</v>
      </c>
      <c r="G66" s="107">
        <v>0.33333333333333331</v>
      </c>
      <c r="H66" s="108">
        <v>0.33333333333333331</v>
      </c>
      <c r="I66" s="109">
        <f t="shared" si="1"/>
        <v>0</v>
      </c>
      <c r="J66" s="109">
        <v>0.9</v>
      </c>
      <c r="K66" s="82" t="s">
        <v>1307</v>
      </c>
      <c r="L66" s="82"/>
    </row>
    <row r="67" spans="1:12" ht="15" customHeight="1" thickBot="1">
      <c r="A67" s="253"/>
      <c r="B67" s="245"/>
      <c r="C67" s="245"/>
      <c r="D67" s="78"/>
      <c r="E67" s="113"/>
      <c r="F67" s="114" t="s">
        <v>1253</v>
      </c>
      <c r="G67" s="108"/>
      <c r="H67" s="108">
        <v>0.33333333333333298</v>
      </c>
      <c r="I67" s="109">
        <f t="shared" si="1"/>
        <v>1</v>
      </c>
      <c r="J67" s="109">
        <v>0.9</v>
      </c>
      <c r="K67" s="82"/>
      <c r="L67" s="82"/>
    </row>
    <row r="68" spans="1:12" ht="14.4" customHeight="1">
      <c r="A68" s="253"/>
      <c r="B68" s="251">
        <v>45937</v>
      </c>
      <c r="C68" s="248" t="s">
        <v>1198</v>
      </c>
      <c r="D68" s="132" t="s">
        <v>1192</v>
      </c>
      <c r="E68" s="158"/>
      <c r="F68" s="125" t="s">
        <v>1251</v>
      </c>
      <c r="G68" s="126"/>
      <c r="H68" s="127">
        <v>0.33333333333333298</v>
      </c>
      <c r="I68" s="109">
        <f t="shared" si="1"/>
        <v>1</v>
      </c>
      <c r="J68" s="134">
        <v>0.9</v>
      </c>
      <c r="K68" s="135"/>
      <c r="L68" s="137"/>
    </row>
    <row r="69" spans="1:12" ht="14.4" customHeight="1">
      <c r="A69" s="253"/>
      <c r="B69" s="244"/>
      <c r="C69" s="249"/>
      <c r="D69" s="132" t="s">
        <v>1192</v>
      </c>
      <c r="E69" s="158"/>
      <c r="F69" s="125" t="s">
        <v>1252</v>
      </c>
      <c r="G69" s="126">
        <v>0.125</v>
      </c>
      <c r="H69" s="127">
        <v>0.33333333333333298</v>
      </c>
      <c r="I69" s="109">
        <f t="shared" si="1"/>
        <v>0.62499999999999956</v>
      </c>
      <c r="J69" s="134">
        <v>0.9</v>
      </c>
      <c r="K69" s="135" t="s">
        <v>1307</v>
      </c>
      <c r="L69" s="136"/>
    </row>
    <row r="70" spans="1:12" ht="14.4" customHeight="1">
      <c r="A70" s="253"/>
      <c r="B70" s="244"/>
      <c r="C70" s="250"/>
      <c r="D70" s="132" t="s">
        <v>1192</v>
      </c>
      <c r="E70" s="133"/>
      <c r="F70" s="128" t="s">
        <v>1253</v>
      </c>
      <c r="G70" s="127"/>
      <c r="H70" s="127">
        <v>0.33333333333333298</v>
      </c>
      <c r="I70" s="109">
        <f t="shared" si="1"/>
        <v>1</v>
      </c>
      <c r="J70" s="134">
        <v>0.9</v>
      </c>
      <c r="K70" s="133"/>
      <c r="L70" s="136"/>
    </row>
    <row r="71" spans="1:12" ht="14.4" customHeight="1">
      <c r="A71" s="253"/>
      <c r="B71" s="244"/>
      <c r="C71" s="243" t="s">
        <v>1196</v>
      </c>
      <c r="D71" s="78" t="s">
        <v>1194</v>
      </c>
      <c r="E71" s="159"/>
      <c r="F71" s="111" t="s">
        <v>1251</v>
      </c>
      <c r="G71" s="107"/>
      <c r="H71" s="108">
        <v>0.33333333333333298</v>
      </c>
      <c r="I71" s="109">
        <f t="shared" si="1"/>
        <v>1</v>
      </c>
      <c r="J71" s="109">
        <v>0.9</v>
      </c>
      <c r="K71" s="112"/>
      <c r="L71" s="112"/>
    </row>
    <row r="72" spans="1:12" ht="14.4" customHeight="1">
      <c r="A72" s="253"/>
      <c r="B72" s="244"/>
      <c r="C72" s="244"/>
      <c r="D72" s="78" t="s">
        <v>1194</v>
      </c>
      <c r="E72" s="159"/>
      <c r="F72" s="111" t="s">
        <v>1252</v>
      </c>
      <c r="G72" s="107"/>
      <c r="H72" s="108">
        <v>0.33333333333333298</v>
      </c>
      <c r="I72" s="109">
        <f t="shared" si="1"/>
        <v>1</v>
      </c>
      <c r="J72" s="109">
        <v>0.9</v>
      </c>
      <c r="K72" s="82"/>
      <c r="L72" s="82"/>
    </row>
    <row r="73" spans="1:12" ht="14.4" customHeight="1">
      <c r="A73" s="253"/>
      <c r="B73" s="244"/>
      <c r="C73" s="245"/>
      <c r="D73" s="78" t="s">
        <v>1194</v>
      </c>
      <c r="E73" s="113"/>
      <c r="F73" s="114" t="s">
        <v>1253</v>
      </c>
      <c r="G73" s="107"/>
      <c r="H73" s="108">
        <v>0.33333333333333331</v>
      </c>
      <c r="I73" s="109">
        <f t="shared" si="1"/>
        <v>1</v>
      </c>
      <c r="J73" s="109">
        <v>0.9</v>
      </c>
      <c r="K73" s="82"/>
      <c r="L73" s="82"/>
    </row>
    <row r="74" spans="1:12" ht="14.4" customHeight="1">
      <c r="A74" s="253"/>
      <c r="B74" s="244"/>
      <c r="C74" s="248" t="s">
        <v>1197</v>
      </c>
      <c r="D74" s="132" t="s">
        <v>1193</v>
      </c>
      <c r="E74" s="158"/>
      <c r="F74" s="125" t="s">
        <v>1251</v>
      </c>
      <c r="G74" s="126"/>
      <c r="H74" s="127">
        <v>0.33333333333333298</v>
      </c>
      <c r="I74" s="109">
        <f t="shared" si="1"/>
        <v>1</v>
      </c>
      <c r="J74" s="134">
        <v>0.9</v>
      </c>
      <c r="K74" s="146"/>
      <c r="L74" s="136"/>
    </row>
    <row r="75" spans="1:12" ht="14.4" customHeight="1">
      <c r="A75" s="253"/>
      <c r="B75" s="244"/>
      <c r="C75" s="249"/>
      <c r="D75" s="132" t="s">
        <v>1193</v>
      </c>
      <c r="E75" s="158"/>
      <c r="F75" s="129" t="s">
        <v>1252</v>
      </c>
      <c r="G75" s="126"/>
      <c r="H75" s="127">
        <v>0.33333333333333298</v>
      </c>
      <c r="I75" s="109">
        <f t="shared" si="1"/>
        <v>1</v>
      </c>
      <c r="J75" s="134">
        <v>0.9</v>
      </c>
      <c r="K75" s="136"/>
      <c r="L75" s="136"/>
    </row>
    <row r="76" spans="1:12" ht="15" customHeight="1" thickBot="1">
      <c r="A76" s="253"/>
      <c r="B76" s="245"/>
      <c r="C76" s="250"/>
      <c r="D76" s="132" t="s">
        <v>1193</v>
      </c>
      <c r="E76" s="133"/>
      <c r="F76" s="128" t="s">
        <v>1253</v>
      </c>
      <c r="G76" s="126"/>
      <c r="H76" s="131">
        <v>0.33333333333333298</v>
      </c>
      <c r="I76" s="115">
        <f t="shared" si="1"/>
        <v>1</v>
      </c>
      <c r="J76" s="134">
        <v>0.9</v>
      </c>
      <c r="K76" s="136"/>
      <c r="L76" s="136"/>
    </row>
    <row r="77" spans="1:12" ht="14.4" customHeight="1">
      <c r="A77" s="253"/>
      <c r="B77" s="251">
        <v>45938</v>
      </c>
      <c r="C77" s="243" t="s">
        <v>1198</v>
      </c>
      <c r="D77" s="78" t="s">
        <v>1191</v>
      </c>
      <c r="E77" s="159"/>
      <c r="F77" s="111" t="s">
        <v>1251</v>
      </c>
      <c r="G77" s="107"/>
      <c r="H77" s="108">
        <v>0.33333333333333298</v>
      </c>
      <c r="I77" s="109">
        <f t="shared" si="1"/>
        <v>1</v>
      </c>
      <c r="J77" s="109">
        <v>0.9</v>
      </c>
      <c r="K77" s="82"/>
      <c r="L77" s="112"/>
    </row>
    <row r="78" spans="1:12" ht="14.4" customHeight="1">
      <c r="A78" s="253"/>
      <c r="B78" s="244"/>
      <c r="C78" s="244"/>
      <c r="D78" s="78" t="s">
        <v>1191</v>
      </c>
      <c r="E78" s="159"/>
      <c r="F78" s="106" t="s">
        <v>1252</v>
      </c>
      <c r="G78" s="107"/>
      <c r="H78" s="108">
        <v>0.33333333333333298</v>
      </c>
      <c r="I78" s="109">
        <f t="shared" si="1"/>
        <v>1</v>
      </c>
      <c r="J78" s="109">
        <v>0.9</v>
      </c>
      <c r="K78" s="82"/>
      <c r="L78" s="82"/>
    </row>
    <row r="79" spans="1:12" ht="14.4" customHeight="1">
      <c r="A79" s="253"/>
      <c r="B79" s="244"/>
      <c r="C79" s="245"/>
      <c r="D79" s="78" t="s">
        <v>1191</v>
      </c>
      <c r="E79" s="113"/>
      <c r="F79" s="114" t="s">
        <v>1253</v>
      </c>
      <c r="G79" s="107"/>
      <c r="H79" s="108">
        <v>0.33333333333333298</v>
      </c>
      <c r="I79" s="109">
        <f t="shared" si="1"/>
        <v>1</v>
      </c>
      <c r="J79" s="109">
        <v>0.9</v>
      </c>
      <c r="K79" s="82"/>
      <c r="L79" s="82"/>
    </row>
    <row r="80" spans="1:12" ht="14.4" customHeight="1">
      <c r="A80" s="253"/>
      <c r="B80" s="244"/>
      <c r="C80" s="248" t="s">
        <v>1196</v>
      </c>
      <c r="D80" s="132" t="s">
        <v>1192</v>
      </c>
      <c r="E80" s="158"/>
      <c r="F80" s="125" t="s">
        <v>1251</v>
      </c>
      <c r="G80" s="126"/>
      <c r="H80" s="127">
        <v>0.33333333333333298</v>
      </c>
      <c r="I80" s="109">
        <f t="shared" si="1"/>
        <v>1</v>
      </c>
      <c r="J80" s="134">
        <v>0.9</v>
      </c>
      <c r="K80" s="135"/>
      <c r="L80" s="136"/>
    </row>
    <row r="81" spans="1:12" ht="14.4" customHeight="1">
      <c r="A81" s="253"/>
      <c r="B81" s="244"/>
      <c r="C81" s="249"/>
      <c r="D81" s="132" t="s">
        <v>1192</v>
      </c>
      <c r="E81" s="158"/>
      <c r="F81" s="129" t="s">
        <v>1252</v>
      </c>
      <c r="G81" s="126">
        <v>0.33333333333333331</v>
      </c>
      <c r="H81" s="127">
        <v>0.33333333333333298</v>
      </c>
      <c r="I81" s="109">
        <f t="shared" si="1"/>
        <v>0</v>
      </c>
      <c r="J81" s="134">
        <v>0.9</v>
      </c>
      <c r="K81" s="135" t="s">
        <v>1547</v>
      </c>
      <c r="L81" s="136"/>
    </row>
    <row r="82" spans="1:12" ht="14.4" customHeight="1">
      <c r="A82" s="253"/>
      <c r="B82" s="244"/>
      <c r="C82" s="250"/>
      <c r="D82" s="132" t="s">
        <v>1192</v>
      </c>
      <c r="E82" s="133"/>
      <c r="F82" s="128" t="s">
        <v>1253</v>
      </c>
      <c r="G82" s="126"/>
      <c r="H82" s="127">
        <v>0.33333333333333298</v>
      </c>
      <c r="I82" s="109">
        <f t="shared" si="1"/>
        <v>1</v>
      </c>
      <c r="J82" s="134">
        <v>0.9</v>
      </c>
      <c r="K82" s="133"/>
      <c r="L82" s="136"/>
    </row>
    <row r="83" spans="1:12" ht="14.4" customHeight="1">
      <c r="A83" s="253"/>
      <c r="B83" s="244"/>
      <c r="C83" s="243" t="s">
        <v>1197</v>
      </c>
      <c r="D83" s="78" t="s">
        <v>1194</v>
      </c>
      <c r="E83" s="159"/>
      <c r="F83" s="111" t="s">
        <v>1251</v>
      </c>
      <c r="G83" s="107"/>
      <c r="H83" s="108">
        <v>0.33333333333333298</v>
      </c>
      <c r="I83" s="109">
        <f t="shared" si="1"/>
        <v>1</v>
      </c>
      <c r="J83" s="109">
        <v>0.9</v>
      </c>
      <c r="K83" s="82"/>
      <c r="L83" s="82"/>
    </row>
    <row r="84" spans="1:12" ht="14.4" customHeight="1">
      <c r="A84" s="253"/>
      <c r="B84" s="244"/>
      <c r="C84" s="244"/>
      <c r="D84" s="78" t="s">
        <v>1194</v>
      </c>
      <c r="E84" s="159"/>
      <c r="F84" s="106" t="s">
        <v>1252</v>
      </c>
      <c r="G84" s="107"/>
      <c r="H84" s="108">
        <v>0.33333333333333298</v>
      </c>
      <c r="I84" s="109">
        <f t="shared" si="1"/>
        <v>1</v>
      </c>
      <c r="J84" s="109">
        <v>0.9</v>
      </c>
      <c r="K84" s="82"/>
      <c r="L84" s="82"/>
    </row>
    <row r="85" spans="1:12" ht="15" customHeight="1" thickBot="1">
      <c r="A85" s="253"/>
      <c r="B85" s="245"/>
      <c r="C85" s="245"/>
      <c r="D85" s="78" t="s">
        <v>1194</v>
      </c>
      <c r="E85" s="113"/>
      <c r="F85" s="114" t="s">
        <v>1253</v>
      </c>
      <c r="G85" s="107">
        <v>6.9444444444444448E-2</v>
      </c>
      <c r="H85" s="108">
        <v>0.33333333333333298</v>
      </c>
      <c r="I85" s="109">
        <f t="shared" si="1"/>
        <v>0.79166666666666641</v>
      </c>
      <c r="J85" s="109">
        <v>0.9</v>
      </c>
      <c r="K85" s="82" t="s">
        <v>1326</v>
      </c>
      <c r="L85" s="82"/>
    </row>
    <row r="86" spans="1:12" ht="14.4" customHeight="1">
      <c r="A86" s="253"/>
      <c r="B86" s="251">
        <v>45939</v>
      </c>
      <c r="C86" s="248" t="s">
        <v>1198</v>
      </c>
      <c r="D86" s="132" t="s">
        <v>1191</v>
      </c>
      <c r="E86" s="158"/>
      <c r="F86" s="125" t="s">
        <v>1251</v>
      </c>
      <c r="G86" s="126">
        <v>8.3333333333333329E-2</v>
      </c>
      <c r="H86" s="127">
        <v>0.33333333333333331</v>
      </c>
      <c r="I86" s="109">
        <f>1-(G86/H86)</f>
        <v>0.75</v>
      </c>
      <c r="J86" s="134">
        <v>0.9</v>
      </c>
      <c r="K86" s="135" t="s">
        <v>1326</v>
      </c>
      <c r="L86" s="137"/>
    </row>
    <row r="87" spans="1:12" ht="14.4" customHeight="1">
      <c r="A87" s="253"/>
      <c r="B87" s="244"/>
      <c r="C87" s="249"/>
      <c r="D87" s="132" t="s">
        <v>1191</v>
      </c>
      <c r="E87" s="158"/>
      <c r="F87" s="129" t="s">
        <v>1252</v>
      </c>
      <c r="G87" s="126"/>
      <c r="H87" s="127">
        <v>0.33333333333333298</v>
      </c>
      <c r="I87" s="109">
        <f>1-(G87/H87)</f>
        <v>1</v>
      </c>
      <c r="J87" s="134">
        <v>0.9</v>
      </c>
      <c r="K87" s="135"/>
      <c r="L87" s="136"/>
    </row>
    <row r="88" spans="1:12" ht="14.4" customHeight="1">
      <c r="A88" s="253"/>
      <c r="B88" s="244"/>
      <c r="C88" s="250"/>
      <c r="D88" s="132" t="s">
        <v>1191</v>
      </c>
      <c r="E88" s="133"/>
      <c r="F88" s="128" t="s">
        <v>1253</v>
      </c>
      <c r="G88" s="126"/>
      <c r="H88" s="127">
        <v>0.33333333333333298</v>
      </c>
      <c r="I88" s="109">
        <f t="shared" si="1"/>
        <v>1</v>
      </c>
      <c r="J88" s="134">
        <v>0.9</v>
      </c>
      <c r="K88" s="133"/>
      <c r="L88" s="136"/>
    </row>
    <row r="89" spans="1:12" ht="14.4" customHeight="1">
      <c r="A89" s="253"/>
      <c r="B89" s="244"/>
      <c r="C89" s="243" t="s">
        <v>1196</v>
      </c>
      <c r="D89" s="78" t="s">
        <v>1192</v>
      </c>
      <c r="E89" s="159"/>
      <c r="F89" s="111" t="s">
        <v>1251</v>
      </c>
      <c r="G89" s="107"/>
      <c r="H89" s="108">
        <v>0.33333333333333298</v>
      </c>
      <c r="I89" s="109">
        <f t="shared" si="1"/>
        <v>1</v>
      </c>
      <c r="J89" s="109">
        <v>0.9</v>
      </c>
      <c r="K89" s="82"/>
      <c r="L89" s="112"/>
    </row>
    <row r="90" spans="1:12" ht="14.4" customHeight="1">
      <c r="A90" s="253"/>
      <c r="B90" s="244"/>
      <c r="C90" s="244"/>
      <c r="D90" s="78" t="s">
        <v>1192</v>
      </c>
      <c r="E90" s="159"/>
      <c r="F90" s="106" t="s">
        <v>1252</v>
      </c>
      <c r="G90" s="107"/>
      <c r="H90" s="108">
        <v>0.33333333333333298</v>
      </c>
      <c r="I90" s="109">
        <f t="shared" si="1"/>
        <v>1</v>
      </c>
      <c r="J90" s="109">
        <v>0.9</v>
      </c>
      <c r="K90" s="82"/>
      <c r="L90" s="82"/>
    </row>
    <row r="91" spans="1:12" ht="14.4" customHeight="1">
      <c r="A91" s="253"/>
      <c r="B91" s="244"/>
      <c r="C91" s="245"/>
      <c r="D91" s="78" t="s">
        <v>1192</v>
      </c>
      <c r="E91" s="113"/>
      <c r="F91" s="114" t="s">
        <v>1253</v>
      </c>
      <c r="G91" s="107"/>
      <c r="H91" s="108">
        <v>0.33333333333333298</v>
      </c>
      <c r="I91" s="109">
        <f t="shared" si="1"/>
        <v>1</v>
      </c>
      <c r="J91" s="109">
        <v>0.9</v>
      </c>
      <c r="K91" s="82"/>
      <c r="L91" s="82"/>
    </row>
    <row r="92" spans="1:12" ht="14.4" customHeight="1">
      <c r="A92" s="253"/>
      <c r="B92" s="244"/>
      <c r="C92" s="248" t="s">
        <v>1197</v>
      </c>
      <c r="D92" s="132"/>
      <c r="E92" s="158"/>
      <c r="F92" s="125" t="s">
        <v>1251</v>
      </c>
      <c r="G92" s="126"/>
      <c r="H92" s="127">
        <v>0.33333333333333298</v>
      </c>
      <c r="I92" s="109">
        <f t="shared" si="1"/>
        <v>1</v>
      </c>
      <c r="J92" s="134">
        <v>0.9</v>
      </c>
      <c r="K92" s="135"/>
      <c r="L92" s="136"/>
    </row>
    <row r="93" spans="1:12" ht="14.4" customHeight="1">
      <c r="A93" s="253"/>
      <c r="B93" s="244"/>
      <c r="C93" s="249"/>
      <c r="D93" s="132"/>
      <c r="E93" s="158"/>
      <c r="F93" s="129" t="s">
        <v>1252</v>
      </c>
      <c r="G93" s="126"/>
      <c r="H93" s="127">
        <v>0.33333333333333298</v>
      </c>
      <c r="I93" s="109">
        <f t="shared" si="1"/>
        <v>1</v>
      </c>
      <c r="J93" s="134">
        <v>0.9</v>
      </c>
      <c r="K93" s="135"/>
      <c r="L93" s="136"/>
    </row>
    <row r="94" spans="1:12" ht="15" customHeight="1" thickBot="1">
      <c r="A94" s="253"/>
      <c r="B94" s="245"/>
      <c r="C94" s="250"/>
      <c r="D94" s="132"/>
      <c r="E94" s="133"/>
      <c r="F94" s="128" t="s">
        <v>1253</v>
      </c>
      <c r="G94" s="126">
        <v>0.33333333333333331</v>
      </c>
      <c r="H94" s="127">
        <v>0.33333333333333298</v>
      </c>
      <c r="I94" s="109">
        <f t="shared" si="1"/>
        <v>0</v>
      </c>
      <c r="J94" s="134">
        <v>0.9</v>
      </c>
      <c r="K94" s="133" t="s">
        <v>1548</v>
      </c>
      <c r="L94" s="136"/>
    </row>
    <row r="95" spans="1:12" ht="14.4" customHeight="1">
      <c r="A95" s="253"/>
      <c r="B95" s="251">
        <v>45940</v>
      </c>
      <c r="C95" s="243" t="s">
        <v>1198</v>
      </c>
      <c r="D95" s="78" t="s">
        <v>1193</v>
      </c>
      <c r="E95" s="159"/>
      <c r="F95" s="111" t="s">
        <v>1251</v>
      </c>
      <c r="G95" s="107">
        <v>0.33333333333333331</v>
      </c>
      <c r="H95" s="108">
        <v>0.33333333333333298</v>
      </c>
      <c r="I95" s="109">
        <f t="shared" si="1"/>
        <v>0</v>
      </c>
      <c r="J95" s="109">
        <v>0.9</v>
      </c>
      <c r="K95" s="82" t="s">
        <v>1326</v>
      </c>
      <c r="L95" s="112"/>
    </row>
    <row r="96" spans="1:12" ht="14.4" customHeight="1">
      <c r="A96" s="253"/>
      <c r="B96" s="244"/>
      <c r="C96" s="244"/>
      <c r="D96" s="78" t="s">
        <v>1193</v>
      </c>
      <c r="E96" s="159"/>
      <c r="F96" s="106" t="s">
        <v>1252</v>
      </c>
      <c r="G96" s="107">
        <v>0.33333333333333331</v>
      </c>
      <c r="H96" s="108">
        <v>0.33333333333333298</v>
      </c>
      <c r="I96" s="109">
        <f t="shared" si="1"/>
        <v>0</v>
      </c>
      <c r="J96" s="109">
        <v>0.9</v>
      </c>
      <c r="K96" s="82" t="s">
        <v>1548</v>
      </c>
      <c r="L96" s="82"/>
    </row>
    <row r="97" spans="1:12" ht="14.4" customHeight="1">
      <c r="A97" s="253"/>
      <c r="B97" s="244"/>
      <c r="C97" s="245"/>
      <c r="D97" s="78" t="s">
        <v>1193</v>
      </c>
      <c r="E97" s="113"/>
      <c r="F97" s="114" t="s">
        <v>1253</v>
      </c>
      <c r="G97" s="107"/>
      <c r="H97" s="108">
        <v>0.33333333333333298</v>
      </c>
      <c r="I97" s="109">
        <f t="shared" si="1"/>
        <v>1</v>
      </c>
      <c r="J97" s="109">
        <v>0.9</v>
      </c>
      <c r="K97" s="82"/>
      <c r="L97" s="82"/>
    </row>
    <row r="98" spans="1:12" ht="14.4" customHeight="1">
      <c r="A98" s="253"/>
      <c r="B98" s="244"/>
      <c r="C98" s="248" t="s">
        <v>1196</v>
      </c>
      <c r="D98" s="132" t="s">
        <v>1191</v>
      </c>
      <c r="E98" s="158"/>
      <c r="F98" s="125" t="s">
        <v>1251</v>
      </c>
      <c r="G98" s="126">
        <v>0.2361111111111111</v>
      </c>
      <c r="H98" s="127">
        <v>0.33333333333333298</v>
      </c>
      <c r="I98" s="109">
        <f t="shared" si="1"/>
        <v>0.29166666666666596</v>
      </c>
      <c r="J98" s="134">
        <v>0.9</v>
      </c>
      <c r="K98" s="137" t="s">
        <v>1326</v>
      </c>
      <c r="L98" s="137"/>
    </row>
    <row r="99" spans="1:12" ht="14.4" customHeight="1">
      <c r="A99" s="253"/>
      <c r="B99" s="244"/>
      <c r="C99" s="249"/>
      <c r="D99" s="132" t="s">
        <v>1191</v>
      </c>
      <c r="E99" s="158"/>
      <c r="F99" s="129" t="s">
        <v>1252</v>
      </c>
      <c r="G99" s="126">
        <v>0.125</v>
      </c>
      <c r="H99" s="127">
        <v>0.33333333333333298</v>
      </c>
      <c r="I99" s="109">
        <f t="shared" si="1"/>
        <v>0.62499999999999956</v>
      </c>
      <c r="J99" s="134">
        <v>0.9</v>
      </c>
      <c r="K99" s="135" t="s">
        <v>1548</v>
      </c>
      <c r="L99" s="136"/>
    </row>
    <row r="100" spans="1:12" ht="14.4" customHeight="1">
      <c r="A100" s="253"/>
      <c r="B100" s="244"/>
      <c r="C100" s="250"/>
      <c r="D100" s="132" t="s">
        <v>1191</v>
      </c>
      <c r="E100" s="133"/>
      <c r="F100" s="128" t="s">
        <v>1253</v>
      </c>
      <c r="G100" s="126"/>
      <c r="H100" s="127">
        <v>0.33333333333333298</v>
      </c>
      <c r="I100" s="109">
        <f t="shared" si="1"/>
        <v>1</v>
      </c>
      <c r="J100" s="134">
        <v>0.9</v>
      </c>
      <c r="K100" s="133"/>
      <c r="L100" s="136"/>
    </row>
    <row r="101" spans="1:12" ht="14.4" customHeight="1">
      <c r="A101" s="253"/>
      <c r="B101" s="244"/>
      <c r="C101" s="243" t="s">
        <v>1197</v>
      </c>
      <c r="D101" s="78" t="s">
        <v>1192</v>
      </c>
      <c r="E101" s="159"/>
      <c r="F101" s="111" t="s">
        <v>1251</v>
      </c>
      <c r="G101" s="107"/>
      <c r="H101" s="108">
        <v>0.33333333333333298</v>
      </c>
      <c r="I101" s="109">
        <f t="shared" si="1"/>
        <v>1</v>
      </c>
      <c r="J101" s="109">
        <v>0.9</v>
      </c>
      <c r="K101" s="82"/>
      <c r="L101" s="82"/>
    </row>
    <row r="102" spans="1:12" ht="14.4" customHeight="1">
      <c r="A102" s="253"/>
      <c r="B102" s="244"/>
      <c r="C102" s="244"/>
      <c r="D102" s="78" t="s">
        <v>1192</v>
      </c>
      <c r="E102" s="159"/>
      <c r="F102" s="106" t="s">
        <v>1252</v>
      </c>
      <c r="G102" s="107"/>
      <c r="H102" s="108">
        <v>0.33333333333333298</v>
      </c>
      <c r="I102" s="109">
        <f t="shared" si="1"/>
        <v>1</v>
      </c>
      <c r="J102" s="109">
        <v>0.9</v>
      </c>
      <c r="K102" s="82"/>
      <c r="L102" s="82"/>
    </row>
    <row r="103" spans="1:12" ht="14.4" customHeight="1" thickBot="1">
      <c r="A103" s="253"/>
      <c r="B103" s="245"/>
      <c r="C103" s="245"/>
      <c r="D103" s="78" t="s">
        <v>1192</v>
      </c>
      <c r="E103" s="113"/>
      <c r="F103" s="114" t="s">
        <v>1253</v>
      </c>
      <c r="G103" s="122"/>
      <c r="H103" s="123">
        <v>0.33333333333333298</v>
      </c>
      <c r="I103" s="109">
        <f t="shared" si="1"/>
        <v>1</v>
      </c>
      <c r="J103" s="109">
        <v>0.9</v>
      </c>
      <c r="K103" s="82"/>
      <c r="L103" s="82"/>
    </row>
    <row r="104" spans="1:12" ht="14.4" customHeight="1">
      <c r="A104" s="253"/>
      <c r="B104" s="251">
        <v>45941</v>
      </c>
      <c r="C104" s="248" t="s">
        <v>1198</v>
      </c>
      <c r="D104" s="132" t="s">
        <v>1193</v>
      </c>
      <c r="E104" s="158"/>
      <c r="F104" s="125" t="s">
        <v>1251</v>
      </c>
      <c r="G104" s="126"/>
      <c r="H104" s="127">
        <v>0.33333333333333298</v>
      </c>
      <c r="I104" s="109">
        <f>1-(G104/H104)</f>
        <v>1</v>
      </c>
      <c r="J104" s="134">
        <v>0.9</v>
      </c>
      <c r="K104" s="135"/>
      <c r="L104" s="137"/>
    </row>
    <row r="105" spans="1:12" ht="14.4" customHeight="1">
      <c r="A105" s="253"/>
      <c r="B105" s="244"/>
      <c r="C105" s="249"/>
      <c r="D105" s="132" t="s">
        <v>1193</v>
      </c>
      <c r="E105" s="158"/>
      <c r="F105" s="129" t="s">
        <v>1252</v>
      </c>
      <c r="G105" s="126"/>
      <c r="H105" s="127">
        <v>0.33333333333333298</v>
      </c>
      <c r="I105" s="109">
        <f>1-(G105/H105)</f>
        <v>1</v>
      </c>
      <c r="J105" s="134">
        <v>0.9</v>
      </c>
      <c r="K105" s="135"/>
      <c r="L105" s="136"/>
    </row>
    <row r="106" spans="1:12" ht="14.4" customHeight="1">
      <c r="A106" s="253"/>
      <c r="B106" s="244"/>
      <c r="C106" s="250"/>
      <c r="D106" s="132" t="s">
        <v>1193</v>
      </c>
      <c r="E106" s="133"/>
      <c r="F106" s="128" t="s">
        <v>1253</v>
      </c>
      <c r="G106" s="126"/>
      <c r="H106" s="127">
        <v>0.33333333333333298</v>
      </c>
      <c r="I106" s="109">
        <f t="shared" ref="I106:I121" si="2">1-(G106/H106)</f>
        <v>1</v>
      </c>
      <c r="J106" s="134">
        <v>0.9</v>
      </c>
      <c r="K106" s="133"/>
      <c r="L106" s="136"/>
    </row>
    <row r="107" spans="1:12" ht="14.4" customHeight="1">
      <c r="A107" s="253"/>
      <c r="B107" s="244"/>
      <c r="C107" s="243" t="s">
        <v>1196</v>
      </c>
      <c r="D107" s="78" t="s">
        <v>1191</v>
      </c>
      <c r="E107" s="159"/>
      <c r="F107" s="111" t="s">
        <v>1251</v>
      </c>
      <c r="G107" s="107">
        <v>2.7777777777777776E-2</v>
      </c>
      <c r="H107" s="108">
        <v>0.33333333333333298</v>
      </c>
      <c r="I107" s="109">
        <f t="shared" si="2"/>
        <v>0.91666666666666663</v>
      </c>
      <c r="J107" s="109">
        <v>0.9</v>
      </c>
      <c r="K107" s="82" t="s">
        <v>1307</v>
      </c>
      <c r="L107" s="112"/>
    </row>
    <row r="108" spans="1:12" ht="14.4" customHeight="1">
      <c r="A108" s="253"/>
      <c r="B108" s="244"/>
      <c r="C108" s="244"/>
      <c r="D108" s="78" t="s">
        <v>1191</v>
      </c>
      <c r="E108" s="159"/>
      <c r="F108" s="106" t="s">
        <v>1252</v>
      </c>
      <c r="G108" s="107">
        <v>4.1666666666666664E-2</v>
      </c>
      <c r="H108" s="108">
        <v>0.33333333333333298</v>
      </c>
      <c r="I108" s="109">
        <f t="shared" si="2"/>
        <v>0.87499999999999989</v>
      </c>
      <c r="J108" s="109">
        <v>0.9</v>
      </c>
      <c r="K108" s="82" t="s">
        <v>1307</v>
      </c>
      <c r="L108" s="82"/>
    </row>
    <row r="109" spans="1:12" ht="14.4" customHeight="1">
      <c r="A109" s="253"/>
      <c r="B109" s="244"/>
      <c r="C109" s="245"/>
      <c r="D109" s="78" t="s">
        <v>1191</v>
      </c>
      <c r="E109" s="113"/>
      <c r="F109" s="114" t="s">
        <v>1253</v>
      </c>
      <c r="G109" s="107"/>
      <c r="H109" s="108">
        <v>0.33333333333333298</v>
      </c>
      <c r="I109" s="109">
        <f t="shared" si="2"/>
        <v>1</v>
      </c>
      <c r="J109" s="109">
        <v>0.9</v>
      </c>
      <c r="K109" s="82"/>
      <c r="L109" s="82"/>
    </row>
    <row r="110" spans="1:12" ht="14.4" customHeight="1">
      <c r="A110" s="253"/>
      <c r="B110" s="244"/>
      <c r="C110" s="248" t="s">
        <v>1197</v>
      </c>
      <c r="D110" s="132" t="s">
        <v>1192</v>
      </c>
      <c r="E110" s="158"/>
      <c r="F110" s="125" t="s">
        <v>1251</v>
      </c>
      <c r="G110" s="126"/>
      <c r="H110" s="127">
        <v>0.33333333333333298</v>
      </c>
      <c r="I110" s="109">
        <f t="shared" si="2"/>
        <v>1</v>
      </c>
      <c r="J110" s="134">
        <v>0.9</v>
      </c>
      <c r="K110" s="135"/>
      <c r="L110" s="136"/>
    </row>
    <row r="111" spans="1:12" ht="14.4" customHeight="1">
      <c r="A111" s="253"/>
      <c r="B111" s="244"/>
      <c r="C111" s="249"/>
      <c r="D111" s="132" t="s">
        <v>1192</v>
      </c>
      <c r="E111" s="158"/>
      <c r="F111" s="129" t="s">
        <v>1252</v>
      </c>
      <c r="G111" s="126"/>
      <c r="H111" s="127">
        <v>0.33333333333333298</v>
      </c>
      <c r="I111" s="109">
        <f t="shared" si="2"/>
        <v>1</v>
      </c>
      <c r="J111" s="134">
        <v>0.9</v>
      </c>
      <c r="K111" s="135"/>
      <c r="L111" s="136"/>
    </row>
    <row r="112" spans="1:12" ht="14.4" customHeight="1" thickBot="1">
      <c r="A112" s="253"/>
      <c r="B112" s="245"/>
      <c r="C112" s="250"/>
      <c r="D112" s="132" t="s">
        <v>1192</v>
      </c>
      <c r="E112" s="133"/>
      <c r="F112" s="128" t="s">
        <v>1253</v>
      </c>
      <c r="G112" s="126"/>
      <c r="H112" s="127">
        <v>0.33333333333333298</v>
      </c>
      <c r="I112" s="109">
        <f t="shared" si="2"/>
        <v>1</v>
      </c>
      <c r="J112" s="134">
        <v>0.9</v>
      </c>
      <c r="K112" s="133"/>
      <c r="L112" s="136"/>
    </row>
    <row r="113" spans="1:12" ht="14.4" customHeight="1">
      <c r="A113" s="253"/>
      <c r="B113" s="251">
        <v>45942</v>
      </c>
      <c r="C113" s="243" t="s">
        <v>1198</v>
      </c>
      <c r="D113" s="78"/>
      <c r="E113" s="159"/>
      <c r="F113" s="111" t="s">
        <v>1251</v>
      </c>
      <c r="G113" s="107"/>
      <c r="H113" s="108">
        <v>0.33333333333333298</v>
      </c>
      <c r="I113" s="109">
        <f t="shared" si="2"/>
        <v>1</v>
      </c>
      <c r="J113" s="109">
        <v>0.9</v>
      </c>
      <c r="K113" s="82"/>
      <c r="L113" s="112"/>
    </row>
    <row r="114" spans="1:12" ht="14.4" customHeight="1">
      <c r="A114" s="253"/>
      <c r="B114" s="244"/>
      <c r="C114" s="244"/>
      <c r="D114" s="78"/>
      <c r="E114" s="159"/>
      <c r="F114" s="106" t="s">
        <v>1252</v>
      </c>
      <c r="G114" s="107">
        <v>0.125</v>
      </c>
      <c r="H114" s="108">
        <v>0.33333333333333298</v>
      </c>
      <c r="I114" s="109">
        <f t="shared" si="2"/>
        <v>0.62499999999999956</v>
      </c>
      <c r="J114" s="109">
        <v>0.9</v>
      </c>
      <c r="K114" s="82" t="s">
        <v>1307</v>
      </c>
      <c r="L114" s="82"/>
    </row>
    <row r="115" spans="1:12" ht="14.4" customHeight="1">
      <c r="A115" s="253"/>
      <c r="B115" s="244"/>
      <c r="C115" s="245"/>
      <c r="D115" s="78"/>
      <c r="E115" s="113"/>
      <c r="F115" s="114" t="s">
        <v>1253</v>
      </c>
      <c r="G115" s="107">
        <v>0.125</v>
      </c>
      <c r="H115" s="108">
        <v>0.33333333333333298</v>
      </c>
      <c r="I115" s="109">
        <f t="shared" si="2"/>
        <v>0.62499999999999956</v>
      </c>
      <c r="J115" s="109">
        <v>0.9</v>
      </c>
      <c r="K115" s="82" t="s">
        <v>1307</v>
      </c>
      <c r="L115" s="82"/>
    </row>
    <row r="116" spans="1:12" ht="14.4" customHeight="1">
      <c r="A116" s="253"/>
      <c r="B116" s="244"/>
      <c r="C116" s="248" t="s">
        <v>1196</v>
      </c>
      <c r="D116" s="132" t="s">
        <v>1193</v>
      </c>
      <c r="E116" s="158"/>
      <c r="F116" s="125" t="s">
        <v>1251</v>
      </c>
      <c r="G116" s="126"/>
      <c r="H116" s="127">
        <v>0.33333333333333298</v>
      </c>
      <c r="I116" s="109">
        <f t="shared" si="2"/>
        <v>1</v>
      </c>
      <c r="J116" s="134">
        <v>0.9</v>
      </c>
      <c r="K116" s="137"/>
      <c r="L116" s="137"/>
    </row>
    <row r="117" spans="1:12" ht="14.4" customHeight="1">
      <c r="A117" s="253"/>
      <c r="B117" s="244"/>
      <c r="C117" s="249"/>
      <c r="D117" s="132" t="s">
        <v>1193</v>
      </c>
      <c r="E117" s="158"/>
      <c r="F117" s="129" t="s">
        <v>1252</v>
      </c>
      <c r="G117" s="126">
        <v>3.125E-2</v>
      </c>
      <c r="H117" s="127">
        <v>0.33333333333333298</v>
      </c>
      <c r="I117" s="109">
        <f t="shared" si="2"/>
        <v>0.90624999999999989</v>
      </c>
      <c r="J117" s="134">
        <v>0.9</v>
      </c>
      <c r="K117" s="135" t="s">
        <v>1307</v>
      </c>
      <c r="L117" s="136"/>
    </row>
    <row r="118" spans="1:12" ht="14.4" customHeight="1">
      <c r="A118" s="253"/>
      <c r="B118" s="244"/>
      <c r="C118" s="250"/>
      <c r="D118" s="132" t="s">
        <v>1193</v>
      </c>
      <c r="E118" s="133"/>
      <c r="F118" s="128" t="s">
        <v>1253</v>
      </c>
      <c r="G118" s="126">
        <v>8.7499999999999994E-2</v>
      </c>
      <c r="H118" s="127">
        <v>0.33333333333333298</v>
      </c>
      <c r="I118" s="109">
        <f t="shared" si="2"/>
        <v>0.73749999999999982</v>
      </c>
      <c r="J118" s="134">
        <v>0.9</v>
      </c>
      <c r="K118" s="133" t="s">
        <v>1323</v>
      </c>
      <c r="L118" s="136"/>
    </row>
    <row r="119" spans="1:12" ht="14.4" customHeight="1">
      <c r="A119" s="253"/>
      <c r="B119" s="244"/>
      <c r="C119" s="243" t="s">
        <v>1197</v>
      </c>
      <c r="D119" s="78" t="s">
        <v>1191</v>
      </c>
      <c r="E119" s="159"/>
      <c r="F119" s="111" t="s">
        <v>1251</v>
      </c>
      <c r="G119" s="107"/>
      <c r="H119" s="108">
        <v>0.33333333333333298</v>
      </c>
      <c r="I119" s="109">
        <f t="shared" si="2"/>
        <v>1</v>
      </c>
      <c r="J119" s="109">
        <v>0.9</v>
      </c>
      <c r="K119" s="82"/>
      <c r="L119" s="82"/>
    </row>
    <row r="120" spans="1:12" ht="14.4" customHeight="1">
      <c r="A120" s="253"/>
      <c r="B120" s="244"/>
      <c r="C120" s="244"/>
      <c r="D120" s="78" t="s">
        <v>1191</v>
      </c>
      <c r="E120" s="159"/>
      <c r="F120" s="106" t="s">
        <v>1252</v>
      </c>
      <c r="G120" s="107"/>
      <c r="H120" s="108">
        <v>0.33333333333333298</v>
      </c>
      <c r="I120" s="109">
        <f t="shared" si="2"/>
        <v>1</v>
      </c>
      <c r="J120" s="109">
        <v>0.9</v>
      </c>
      <c r="K120" s="82"/>
      <c r="L120" s="82"/>
    </row>
    <row r="121" spans="1:12" ht="14.4" customHeight="1">
      <c r="A121" s="253"/>
      <c r="B121" s="245"/>
      <c r="C121" s="245"/>
      <c r="D121" s="78" t="s">
        <v>1191</v>
      </c>
      <c r="E121" s="113"/>
      <c r="F121" s="114" t="s">
        <v>1253</v>
      </c>
      <c r="G121" s="122"/>
      <c r="H121" s="123">
        <v>0.33333333333333298</v>
      </c>
      <c r="I121" s="109">
        <f t="shared" si="2"/>
        <v>1</v>
      </c>
      <c r="J121" s="109">
        <v>0.9</v>
      </c>
      <c r="K121" s="82"/>
      <c r="L121" s="82"/>
    </row>
    <row r="122" spans="1:12" ht="14.4" customHeight="1">
      <c r="A122" s="253"/>
      <c r="B122" s="117"/>
      <c r="C122" s="117"/>
      <c r="D122" s="118"/>
      <c r="E122" s="118"/>
      <c r="F122" s="119" t="s">
        <v>1251</v>
      </c>
      <c r="G122" s="124"/>
      <c r="H122" s="124"/>
      <c r="I122" s="120">
        <f>AVERAGEIF(F59:F121,F122,I59:I121)</f>
        <v>0.87152777777777768</v>
      </c>
      <c r="J122" s="121">
        <v>0.9</v>
      </c>
      <c r="K122" s="118"/>
      <c r="L122" s="116"/>
    </row>
    <row r="123" spans="1:12" ht="14.4" customHeight="1">
      <c r="A123" s="253"/>
      <c r="B123" s="117"/>
      <c r="C123" s="117"/>
      <c r="D123" s="118"/>
      <c r="E123" s="118"/>
      <c r="F123" s="119" t="s">
        <v>1252</v>
      </c>
      <c r="G123" s="124"/>
      <c r="H123" s="124"/>
      <c r="I123" s="120">
        <f>AVERAGEIF(F59:F121,F123,I59:I121)</f>
        <v>0.76190476190476186</v>
      </c>
      <c r="J123" s="121">
        <v>0.9</v>
      </c>
      <c r="K123" s="118"/>
      <c r="L123" s="116"/>
    </row>
    <row r="124" spans="1:12" ht="15" customHeight="1" thickBot="1">
      <c r="A124" s="253"/>
      <c r="B124" s="117"/>
      <c r="C124" s="117"/>
      <c r="D124" s="118"/>
      <c r="E124" s="118"/>
      <c r="F124" s="119" t="s">
        <v>1253</v>
      </c>
      <c r="G124" s="124"/>
      <c r="H124" s="124"/>
      <c r="I124" s="120">
        <f>AVERAGEIF(F59:F121,F124,I59:I121)</f>
        <v>0.88085317460317447</v>
      </c>
      <c r="J124" s="121">
        <v>0.9</v>
      </c>
      <c r="K124" s="118"/>
      <c r="L124" s="116"/>
    </row>
    <row r="125" spans="1:12" ht="14.4" customHeight="1">
      <c r="A125" s="252" t="s">
        <v>1542</v>
      </c>
      <c r="B125" s="251">
        <v>45943</v>
      </c>
      <c r="C125" s="243" t="s">
        <v>1198</v>
      </c>
      <c r="D125" s="110"/>
      <c r="E125" s="156"/>
      <c r="F125" s="111" t="s">
        <v>1251</v>
      </c>
      <c r="G125" s="107"/>
      <c r="H125" s="108">
        <v>0.33333333333333331</v>
      </c>
      <c r="I125" s="109">
        <f>1-(G125/H125)</f>
        <v>1</v>
      </c>
      <c r="J125" s="109">
        <v>0.9</v>
      </c>
      <c r="K125" s="82"/>
      <c r="L125" s="82"/>
    </row>
    <row r="126" spans="1:12" ht="14.4" customHeight="1">
      <c r="A126" s="253"/>
      <c r="B126" s="244"/>
      <c r="C126" s="244"/>
      <c r="D126" s="110"/>
      <c r="E126" s="156"/>
      <c r="F126" s="111" t="s">
        <v>1252</v>
      </c>
      <c r="G126" s="107"/>
      <c r="H126" s="108">
        <v>0.33333333333333331</v>
      </c>
      <c r="I126" s="109">
        <f>1-(G126/H126)</f>
        <v>1</v>
      </c>
      <c r="J126" s="109">
        <v>0.9</v>
      </c>
      <c r="K126" s="82"/>
      <c r="L126" s="82"/>
    </row>
    <row r="127" spans="1:12" ht="14.4" customHeight="1">
      <c r="A127" s="253"/>
      <c r="B127" s="244"/>
      <c r="C127" s="245"/>
      <c r="D127" s="110"/>
      <c r="E127" s="157"/>
      <c r="F127" s="114" t="s">
        <v>1253</v>
      </c>
      <c r="G127" s="107"/>
      <c r="H127" s="108">
        <v>0.33333333333333298</v>
      </c>
      <c r="I127" s="109">
        <f t="shared" ref="I127:I187" si="3">1-(G127/H127)</f>
        <v>1</v>
      </c>
      <c r="J127" s="109">
        <v>0.9</v>
      </c>
      <c r="K127" s="82"/>
      <c r="L127" s="82"/>
    </row>
    <row r="128" spans="1:12" ht="14.4" customHeight="1">
      <c r="A128" s="253"/>
      <c r="B128" s="244"/>
      <c r="C128" s="248" t="s">
        <v>1196</v>
      </c>
      <c r="D128" s="132" t="s">
        <v>1193</v>
      </c>
      <c r="E128" s="158"/>
      <c r="F128" s="125" t="s">
        <v>1251</v>
      </c>
      <c r="G128" s="126"/>
      <c r="H128" s="127">
        <v>0.33333333333333298</v>
      </c>
      <c r="I128" s="109">
        <f t="shared" si="3"/>
        <v>1</v>
      </c>
      <c r="J128" s="134">
        <v>0.9</v>
      </c>
      <c r="K128" s="82"/>
      <c r="L128" s="136"/>
    </row>
    <row r="129" spans="1:12" ht="14.4" customHeight="1">
      <c r="A129" s="253"/>
      <c r="B129" s="244"/>
      <c r="C129" s="249"/>
      <c r="D129" s="132" t="s">
        <v>1193</v>
      </c>
      <c r="E129" s="158"/>
      <c r="F129" s="125" t="s">
        <v>1252</v>
      </c>
      <c r="G129" s="126"/>
      <c r="H129" s="127">
        <v>0.33333333333333298</v>
      </c>
      <c r="I129" s="109">
        <f t="shared" si="3"/>
        <v>1</v>
      </c>
      <c r="J129" s="134">
        <v>0.9</v>
      </c>
      <c r="K129" s="135"/>
      <c r="L129" s="136"/>
    </row>
    <row r="130" spans="1:12" ht="14.4" customHeight="1">
      <c r="A130" s="253"/>
      <c r="B130" s="244"/>
      <c r="C130" s="250"/>
      <c r="D130" s="132" t="s">
        <v>1193</v>
      </c>
      <c r="E130" s="133"/>
      <c r="F130" s="128" t="s">
        <v>1253</v>
      </c>
      <c r="G130" s="126"/>
      <c r="H130" s="127">
        <v>0.33333333333333298</v>
      </c>
      <c r="I130" s="109">
        <f t="shared" si="3"/>
        <v>1</v>
      </c>
      <c r="J130" s="134">
        <v>0.9</v>
      </c>
      <c r="K130" s="133"/>
      <c r="L130" s="136"/>
    </row>
    <row r="131" spans="1:12" ht="14.4" customHeight="1">
      <c r="A131" s="253"/>
      <c r="B131" s="244"/>
      <c r="C131" s="243" t="s">
        <v>1197</v>
      </c>
      <c r="D131" s="78" t="s">
        <v>1191</v>
      </c>
      <c r="E131" s="159"/>
      <c r="F131" s="111" t="s">
        <v>1251</v>
      </c>
      <c r="G131" s="108"/>
      <c r="H131" s="108">
        <v>0.33333333333333298</v>
      </c>
      <c r="I131" s="109">
        <f t="shared" si="3"/>
        <v>1</v>
      </c>
      <c r="J131" s="109">
        <v>0.9</v>
      </c>
      <c r="K131" s="82"/>
      <c r="L131" s="112"/>
    </row>
    <row r="132" spans="1:12" ht="14.4" customHeight="1">
      <c r="A132" s="253"/>
      <c r="B132" s="244"/>
      <c r="C132" s="244"/>
      <c r="D132" s="78" t="s">
        <v>1191</v>
      </c>
      <c r="E132" s="159"/>
      <c r="F132" s="111" t="s">
        <v>1252</v>
      </c>
      <c r="G132" s="108"/>
      <c r="H132" s="108">
        <v>0.33333333333333298</v>
      </c>
      <c r="I132" s="109">
        <f t="shared" si="3"/>
        <v>1</v>
      </c>
      <c r="J132" s="109">
        <v>0.9</v>
      </c>
      <c r="K132" s="82"/>
      <c r="L132" s="82"/>
    </row>
    <row r="133" spans="1:12" ht="15" customHeight="1" thickBot="1">
      <c r="A133" s="253"/>
      <c r="B133" s="245"/>
      <c r="C133" s="245"/>
      <c r="D133" s="78" t="s">
        <v>1191</v>
      </c>
      <c r="E133" s="113"/>
      <c r="F133" s="114" t="s">
        <v>1253</v>
      </c>
      <c r="G133" s="108"/>
      <c r="H133" s="108">
        <v>0.33333333333333298</v>
      </c>
      <c r="I133" s="109">
        <f t="shared" si="3"/>
        <v>1</v>
      </c>
      <c r="J133" s="109">
        <v>0.9</v>
      </c>
      <c r="K133" s="82"/>
      <c r="L133" s="82"/>
    </row>
    <row r="134" spans="1:12" ht="14.4" customHeight="1">
      <c r="A134" s="253"/>
      <c r="B134" s="251">
        <v>45944</v>
      </c>
      <c r="C134" s="248" t="s">
        <v>1198</v>
      </c>
      <c r="D134" s="132" t="s">
        <v>1201</v>
      </c>
      <c r="E134" s="158"/>
      <c r="F134" s="125" t="s">
        <v>1251</v>
      </c>
      <c r="G134" s="126"/>
      <c r="H134" s="127">
        <v>0.33333333333333298</v>
      </c>
      <c r="I134" s="109">
        <f t="shared" si="3"/>
        <v>1</v>
      </c>
      <c r="J134" s="134">
        <v>0.9</v>
      </c>
      <c r="K134" s="135"/>
      <c r="L134" s="137"/>
    </row>
    <row r="135" spans="1:12" ht="14.4" customHeight="1">
      <c r="A135" s="253"/>
      <c r="B135" s="244"/>
      <c r="C135" s="249"/>
      <c r="D135" s="132" t="s">
        <v>1201</v>
      </c>
      <c r="E135" s="158"/>
      <c r="F135" s="125" t="s">
        <v>1252</v>
      </c>
      <c r="G135" s="126"/>
      <c r="H135" s="127">
        <v>0.33333333333333298</v>
      </c>
      <c r="I135" s="109">
        <f t="shared" si="3"/>
        <v>1</v>
      </c>
      <c r="J135" s="134">
        <v>0.9</v>
      </c>
      <c r="K135" s="135"/>
      <c r="L135" s="136"/>
    </row>
    <row r="136" spans="1:12" ht="14.4" customHeight="1">
      <c r="A136" s="253"/>
      <c r="B136" s="244"/>
      <c r="C136" s="250"/>
      <c r="D136" s="132" t="s">
        <v>1201</v>
      </c>
      <c r="E136" s="133"/>
      <c r="F136" s="128" t="s">
        <v>1253</v>
      </c>
      <c r="G136" s="126"/>
      <c r="H136" s="127">
        <v>0.33333333333333331</v>
      </c>
      <c r="I136" s="109">
        <f t="shared" si="3"/>
        <v>1</v>
      </c>
      <c r="J136" s="134">
        <v>0.9</v>
      </c>
      <c r="K136" s="133"/>
      <c r="L136" s="136"/>
    </row>
    <row r="137" spans="1:12" ht="14.4" customHeight="1">
      <c r="A137" s="253"/>
      <c r="B137" s="244"/>
      <c r="C137" s="243" t="s">
        <v>1196</v>
      </c>
      <c r="D137" s="78" t="s">
        <v>1201</v>
      </c>
      <c r="E137" s="159"/>
      <c r="F137" s="111" t="s">
        <v>1251</v>
      </c>
      <c r="G137" s="107"/>
      <c r="H137" s="108">
        <v>0.33333333333333298</v>
      </c>
      <c r="I137" s="109">
        <f t="shared" si="3"/>
        <v>1</v>
      </c>
      <c r="J137" s="109">
        <v>0.9</v>
      </c>
      <c r="K137" s="82"/>
      <c r="L137" s="112"/>
    </row>
    <row r="138" spans="1:12" ht="14.4" customHeight="1">
      <c r="A138" s="253"/>
      <c r="B138" s="244"/>
      <c r="C138" s="244"/>
      <c r="D138" s="78" t="s">
        <v>1201</v>
      </c>
      <c r="E138" s="159"/>
      <c r="F138" s="111" t="s">
        <v>1252</v>
      </c>
      <c r="G138" s="107"/>
      <c r="H138" s="108">
        <v>0.33333333333333298</v>
      </c>
      <c r="I138" s="109">
        <f t="shared" si="3"/>
        <v>1</v>
      </c>
      <c r="J138" s="109">
        <v>0.9</v>
      </c>
      <c r="K138" s="82"/>
      <c r="L138" s="82"/>
    </row>
    <row r="139" spans="1:12" ht="14.4" customHeight="1">
      <c r="A139" s="253"/>
      <c r="B139" s="244"/>
      <c r="C139" s="245"/>
      <c r="D139" s="78" t="s">
        <v>1201</v>
      </c>
      <c r="E139" s="113"/>
      <c r="F139" s="114" t="s">
        <v>1253</v>
      </c>
      <c r="G139" s="107"/>
      <c r="H139" s="108">
        <v>0.33333333333333298</v>
      </c>
      <c r="I139" s="109">
        <f t="shared" si="3"/>
        <v>1</v>
      </c>
      <c r="J139" s="109">
        <v>0.9</v>
      </c>
      <c r="K139" s="82"/>
      <c r="L139" s="82"/>
    </row>
    <row r="140" spans="1:12" ht="14.4" customHeight="1">
      <c r="A140" s="253"/>
      <c r="B140" s="244"/>
      <c r="C140" s="248" t="s">
        <v>1197</v>
      </c>
      <c r="D140" s="132" t="s">
        <v>1201</v>
      </c>
      <c r="E140" s="158"/>
      <c r="F140" s="125" t="s">
        <v>1251</v>
      </c>
      <c r="G140" s="126"/>
      <c r="H140" s="127">
        <v>0.33333333333333298</v>
      </c>
      <c r="I140" s="109">
        <f t="shared" si="3"/>
        <v>1</v>
      </c>
      <c r="J140" s="134">
        <v>0.9</v>
      </c>
      <c r="K140" s="135"/>
      <c r="L140" s="137"/>
    </row>
    <row r="141" spans="1:12" ht="14.4" customHeight="1">
      <c r="A141" s="253"/>
      <c r="B141" s="244"/>
      <c r="C141" s="249"/>
      <c r="D141" s="132" t="s">
        <v>1201</v>
      </c>
      <c r="E141" s="158"/>
      <c r="F141" s="129" t="s">
        <v>1252</v>
      </c>
      <c r="G141" s="126"/>
      <c r="H141" s="127">
        <v>0.33333333333333298</v>
      </c>
      <c r="I141" s="109">
        <f t="shared" si="3"/>
        <v>1</v>
      </c>
      <c r="J141" s="134">
        <v>0.9</v>
      </c>
      <c r="K141" s="135"/>
      <c r="L141" s="136"/>
    </row>
    <row r="142" spans="1:12" ht="15" customHeight="1" thickBot="1">
      <c r="A142" s="253"/>
      <c r="B142" s="245"/>
      <c r="C142" s="250"/>
      <c r="D142" s="132" t="s">
        <v>1201</v>
      </c>
      <c r="E142" s="133"/>
      <c r="F142" s="128" t="s">
        <v>1253</v>
      </c>
      <c r="G142" s="126"/>
      <c r="H142" s="131">
        <v>0.33333333333333298</v>
      </c>
      <c r="I142" s="115">
        <f t="shared" si="3"/>
        <v>1</v>
      </c>
      <c r="J142" s="134">
        <v>0.9</v>
      </c>
      <c r="K142" s="135"/>
      <c r="L142" s="136"/>
    </row>
    <row r="143" spans="1:12" ht="14.4" customHeight="1">
      <c r="A143" s="253"/>
      <c r="B143" s="251">
        <v>45945</v>
      </c>
      <c r="C143" s="243" t="s">
        <v>1198</v>
      </c>
      <c r="D143" s="78" t="s">
        <v>1192</v>
      </c>
      <c r="E143" s="159"/>
      <c r="F143" s="111" t="s">
        <v>1251</v>
      </c>
      <c r="G143" s="107"/>
      <c r="H143" s="108">
        <v>0.33333333333333331</v>
      </c>
      <c r="I143" s="109">
        <f>1-(G144/H143)</f>
        <v>1</v>
      </c>
      <c r="J143" s="109">
        <v>0.9</v>
      </c>
      <c r="K143" s="82"/>
      <c r="L143" s="112"/>
    </row>
    <row r="144" spans="1:12" ht="14.4" customHeight="1">
      <c r="A144" s="253"/>
      <c r="B144" s="244"/>
      <c r="C144" s="244"/>
      <c r="D144" s="78" t="s">
        <v>1192</v>
      </c>
      <c r="E144" s="159"/>
      <c r="F144" s="106" t="s">
        <v>1252</v>
      </c>
      <c r="G144" s="107"/>
      <c r="H144" s="108">
        <v>0.33333333333333331</v>
      </c>
      <c r="I144" s="109">
        <f>1-(G145/H144)</f>
        <v>1</v>
      </c>
      <c r="J144" s="109">
        <v>0.9</v>
      </c>
      <c r="K144" s="82"/>
      <c r="L144" s="82"/>
    </row>
    <row r="145" spans="1:12" ht="14.4" customHeight="1">
      <c r="A145" s="253"/>
      <c r="B145" s="244"/>
      <c r="C145" s="245"/>
      <c r="D145" s="78" t="s">
        <v>1192</v>
      </c>
      <c r="E145" s="113"/>
      <c r="F145" s="114" t="s">
        <v>1253</v>
      </c>
      <c r="G145" s="107"/>
      <c r="H145" s="108">
        <v>0.33333333333333298</v>
      </c>
      <c r="I145" s="109">
        <f t="shared" si="3"/>
        <v>1</v>
      </c>
      <c r="J145" s="109">
        <v>0.9</v>
      </c>
      <c r="K145" s="82"/>
      <c r="L145" s="82"/>
    </row>
    <row r="146" spans="1:12" ht="14.4" customHeight="1">
      <c r="A146" s="253"/>
      <c r="B146" s="244"/>
      <c r="C146" s="248" t="s">
        <v>1196</v>
      </c>
      <c r="D146" s="132"/>
      <c r="E146" s="158"/>
      <c r="F146" s="125" t="s">
        <v>1251</v>
      </c>
      <c r="G146" s="126"/>
      <c r="H146" s="127">
        <v>0.33333333333333298</v>
      </c>
      <c r="I146" s="109">
        <f t="shared" si="3"/>
        <v>1</v>
      </c>
      <c r="J146" s="134">
        <v>0.9</v>
      </c>
      <c r="K146" s="135"/>
      <c r="L146" s="137"/>
    </row>
    <row r="147" spans="1:12" ht="14.4" customHeight="1">
      <c r="A147" s="253"/>
      <c r="B147" s="244"/>
      <c r="C147" s="249"/>
      <c r="D147" s="132"/>
      <c r="E147" s="158"/>
      <c r="F147" s="129" t="s">
        <v>1252</v>
      </c>
      <c r="G147" s="126"/>
      <c r="H147" s="127">
        <v>0.33333333333333331</v>
      </c>
      <c r="I147" s="109">
        <f t="shared" si="3"/>
        <v>1</v>
      </c>
      <c r="J147" s="134">
        <v>0.9</v>
      </c>
      <c r="K147" s="135"/>
      <c r="L147" s="136"/>
    </row>
    <row r="148" spans="1:12" ht="14.4" customHeight="1">
      <c r="A148" s="253"/>
      <c r="B148" s="244"/>
      <c r="C148" s="250"/>
      <c r="D148" s="132"/>
      <c r="E148" s="133"/>
      <c r="F148" s="128" t="s">
        <v>1253</v>
      </c>
      <c r="G148" s="127"/>
      <c r="H148" s="127">
        <v>0.33333333333333298</v>
      </c>
      <c r="I148" s="109">
        <f t="shared" si="3"/>
        <v>1</v>
      </c>
      <c r="J148" s="134">
        <v>0.9</v>
      </c>
      <c r="K148" s="133"/>
      <c r="L148" s="136"/>
    </row>
    <row r="149" spans="1:12" ht="14.4" customHeight="1">
      <c r="A149" s="253"/>
      <c r="B149" s="244"/>
      <c r="C149" s="243" t="s">
        <v>1197</v>
      </c>
      <c r="D149" s="78" t="s">
        <v>1193</v>
      </c>
      <c r="E149" s="159"/>
      <c r="F149" s="111" t="s">
        <v>1251</v>
      </c>
      <c r="G149" s="107"/>
      <c r="H149" s="108">
        <v>0.33333333333333298</v>
      </c>
      <c r="I149" s="109">
        <f t="shared" si="3"/>
        <v>1</v>
      </c>
      <c r="J149" s="109">
        <v>0.9</v>
      </c>
      <c r="K149" s="82"/>
      <c r="L149" s="112"/>
    </row>
    <row r="150" spans="1:12" ht="14.4" customHeight="1">
      <c r="A150" s="253"/>
      <c r="B150" s="244"/>
      <c r="C150" s="244"/>
      <c r="D150" s="78" t="s">
        <v>1193</v>
      </c>
      <c r="E150" s="159"/>
      <c r="F150" s="106" t="s">
        <v>1252</v>
      </c>
      <c r="G150" s="107"/>
      <c r="H150" s="108">
        <v>0.33333333333333298</v>
      </c>
      <c r="I150" s="109">
        <f t="shared" si="3"/>
        <v>1</v>
      </c>
      <c r="J150" s="109">
        <v>0.9</v>
      </c>
      <c r="K150" s="82"/>
      <c r="L150" s="82"/>
    </row>
    <row r="151" spans="1:12" ht="15" customHeight="1" thickBot="1">
      <c r="A151" s="253"/>
      <c r="B151" s="245"/>
      <c r="C151" s="245"/>
      <c r="D151" s="78" t="s">
        <v>1193</v>
      </c>
      <c r="E151" s="113"/>
      <c r="F151" s="114" t="s">
        <v>1253</v>
      </c>
      <c r="G151" s="108"/>
      <c r="H151" s="108">
        <v>0.33333333333333298</v>
      </c>
      <c r="I151" s="109">
        <f t="shared" si="3"/>
        <v>1</v>
      </c>
      <c r="J151" s="109">
        <v>0.9</v>
      </c>
      <c r="K151" s="82"/>
      <c r="L151" s="82"/>
    </row>
    <row r="152" spans="1:12" ht="14.4" customHeight="1">
      <c r="A152" s="253"/>
      <c r="B152" s="251">
        <v>45946</v>
      </c>
      <c r="C152" s="248" t="s">
        <v>1198</v>
      </c>
      <c r="D152" s="132" t="s">
        <v>1191</v>
      </c>
      <c r="E152" s="158"/>
      <c r="F152" s="125" t="s">
        <v>1251</v>
      </c>
      <c r="G152" s="126">
        <v>0.10416666666666667</v>
      </c>
      <c r="H152" s="127">
        <v>0.33333333333333298</v>
      </c>
      <c r="I152" s="109">
        <f t="shared" si="3"/>
        <v>0.68749999999999967</v>
      </c>
      <c r="J152" s="134">
        <v>0.9</v>
      </c>
      <c r="K152" s="135" t="s">
        <v>1307</v>
      </c>
      <c r="L152" s="137"/>
    </row>
    <row r="153" spans="1:12" ht="14.4" customHeight="1">
      <c r="A153" s="253"/>
      <c r="B153" s="244"/>
      <c r="C153" s="249"/>
      <c r="D153" s="132" t="s">
        <v>1191</v>
      </c>
      <c r="E153" s="158"/>
      <c r="F153" s="129" t="s">
        <v>1252</v>
      </c>
      <c r="G153" s="126">
        <v>0.125</v>
      </c>
      <c r="H153" s="127">
        <v>0.33333333333333298</v>
      </c>
      <c r="I153" s="109">
        <f t="shared" si="3"/>
        <v>0.62499999999999956</v>
      </c>
      <c r="J153" s="134">
        <v>0.9</v>
      </c>
      <c r="K153" s="135" t="s">
        <v>1307</v>
      </c>
      <c r="L153" s="136"/>
    </row>
    <row r="154" spans="1:12" ht="14.4" customHeight="1">
      <c r="A154" s="253"/>
      <c r="B154" s="244"/>
      <c r="C154" s="250"/>
      <c r="D154" s="132" t="s">
        <v>1191</v>
      </c>
      <c r="E154" s="133"/>
      <c r="F154" s="128" t="s">
        <v>1253</v>
      </c>
      <c r="G154" s="127"/>
      <c r="H154" s="127">
        <v>0.33333333333333298</v>
      </c>
      <c r="I154" s="109">
        <f t="shared" si="3"/>
        <v>1</v>
      </c>
      <c r="J154" s="134">
        <v>0.9</v>
      </c>
      <c r="K154" s="133"/>
      <c r="L154" s="136"/>
    </row>
    <row r="155" spans="1:12" ht="14.4" customHeight="1">
      <c r="A155" s="253"/>
      <c r="B155" s="244"/>
      <c r="C155" s="243" t="s">
        <v>1196</v>
      </c>
      <c r="D155" s="78" t="s">
        <v>1192</v>
      </c>
      <c r="E155" s="159"/>
      <c r="F155" s="111" t="s">
        <v>1251</v>
      </c>
      <c r="G155" s="108"/>
      <c r="H155" s="108">
        <v>0.33333333333333298</v>
      </c>
      <c r="I155" s="109">
        <f t="shared" si="3"/>
        <v>1</v>
      </c>
      <c r="J155" s="109">
        <v>0.9</v>
      </c>
      <c r="K155" s="112"/>
      <c r="L155" s="112"/>
    </row>
    <row r="156" spans="1:12" ht="14.4" customHeight="1">
      <c r="A156" s="253"/>
      <c r="B156" s="244"/>
      <c r="C156" s="244"/>
      <c r="D156" s="78" t="s">
        <v>1192</v>
      </c>
      <c r="E156" s="159"/>
      <c r="F156" s="106" t="s">
        <v>1252</v>
      </c>
      <c r="G156" s="108"/>
      <c r="H156" s="108">
        <v>0.33333333333333298</v>
      </c>
      <c r="I156" s="109">
        <f t="shared" si="3"/>
        <v>1</v>
      </c>
      <c r="J156" s="109">
        <v>0.9</v>
      </c>
      <c r="K156" s="112"/>
      <c r="L156" s="82"/>
    </row>
    <row r="157" spans="1:12" ht="14.4" customHeight="1">
      <c r="A157" s="253"/>
      <c r="B157" s="244"/>
      <c r="C157" s="245"/>
      <c r="D157" s="78" t="s">
        <v>1192</v>
      </c>
      <c r="E157" s="113"/>
      <c r="F157" s="114" t="s">
        <v>1253</v>
      </c>
      <c r="G157" s="108"/>
      <c r="H157" s="108">
        <v>0.33333333333333298</v>
      </c>
      <c r="I157" s="109">
        <f t="shared" si="3"/>
        <v>1</v>
      </c>
      <c r="J157" s="109">
        <v>0.9</v>
      </c>
      <c r="K157" s="82"/>
      <c r="L157" s="82"/>
    </row>
    <row r="158" spans="1:12" ht="14.4" customHeight="1">
      <c r="A158" s="253"/>
      <c r="B158" s="244"/>
      <c r="C158" s="248" t="s">
        <v>1197</v>
      </c>
      <c r="D158" s="132" t="s">
        <v>1194</v>
      </c>
      <c r="E158" s="158"/>
      <c r="F158" s="125" t="s">
        <v>1251</v>
      </c>
      <c r="G158" s="127"/>
      <c r="H158" s="127">
        <v>0.33333333333333298</v>
      </c>
      <c r="I158" s="109">
        <f t="shared" si="3"/>
        <v>1</v>
      </c>
      <c r="J158" s="134">
        <v>0.9</v>
      </c>
      <c r="K158" s="133"/>
      <c r="L158" s="137"/>
    </row>
    <row r="159" spans="1:12" ht="14.4" customHeight="1">
      <c r="A159" s="253"/>
      <c r="B159" s="244"/>
      <c r="C159" s="249"/>
      <c r="D159" s="132" t="s">
        <v>1194</v>
      </c>
      <c r="E159" s="158"/>
      <c r="F159" s="129" t="s">
        <v>1252</v>
      </c>
      <c r="G159" s="127"/>
      <c r="H159" s="127">
        <v>0.33333333333333298</v>
      </c>
      <c r="I159" s="109">
        <f t="shared" si="3"/>
        <v>1</v>
      </c>
      <c r="J159" s="134">
        <v>0.9</v>
      </c>
      <c r="K159" s="133"/>
      <c r="L159" s="136"/>
    </row>
    <row r="160" spans="1:12" ht="15" customHeight="1" thickBot="1">
      <c r="A160" s="253"/>
      <c r="B160" s="245"/>
      <c r="C160" s="250"/>
      <c r="D160" s="132" t="s">
        <v>1194</v>
      </c>
      <c r="E160" s="133"/>
      <c r="F160" s="128" t="s">
        <v>1253</v>
      </c>
      <c r="G160" s="127"/>
      <c r="H160" s="127">
        <v>0.33333333333333298</v>
      </c>
      <c r="I160" s="109">
        <f t="shared" si="3"/>
        <v>1</v>
      </c>
      <c r="J160" s="134">
        <v>0.9</v>
      </c>
      <c r="K160" s="133"/>
      <c r="L160" s="136"/>
    </row>
    <row r="161" spans="1:12" ht="14.4" customHeight="1">
      <c r="A161" s="253"/>
      <c r="B161" s="251">
        <v>45947</v>
      </c>
      <c r="C161" s="243" t="s">
        <v>1198</v>
      </c>
      <c r="D161" s="78" t="s">
        <v>1191</v>
      </c>
      <c r="E161" s="159"/>
      <c r="F161" s="111" t="s">
        <v>1251</v>
      </c>
      <c r="G161" s="107">
        <v>8.3333333333333329E-2</v>
      </c>
      <c r="H161" s="108">
        <v>0.33333333333333298</v>
      </c>
      <c r="I161" s="109">
        <f t="shared" si="3"/>
        <v>0.74999999999999978</v>
      </c>
      <c r="J161" s="109">
        <v>0.9</v>
      </c>
      <c r="K161" s="82" t="s">
        <v>1307</v>
      </c>
      <c r="L161" s="112"/>
    </row>
    <row r="162" spans="1:12" ht="14.4" customHeight="1">
      <c r="A162" s="253"/>
      <c r="B162" s="244"/>
      <c r="C162" s="244"/>
      <c r="D162" s="78" t="s">
        <v>1191</v>
      </c>
      <c r="E162" s="159"/>
      <c r="F162" s="106" t="s">
        <v>1252</v>
      </c>
      <c r="G162" s="107">
        <v>6.25E-2</v>
      </c>
      <c r="H162" s="108">
        <v>0.33333333333333298</v>
      </c>
      <c r="I162" s="109">
        <f t="shared" si="3"/>
        <v>0.81249999999999978</v>
      </c>
      <c r="J162" s="109">
        <v>0.9</v>
      </c>
      <c r="K162" s="82" t="s">
        <v>1307</v>
      </c>
      <c r="L162" s="82"/>
    </row>
    <row r="163" spans="1:12" ht="14.4" customHeight="1">
      <c r="A163" s="253"/>
      <c r="B163" s="244"/>
      <c r="C163" s="245"/>
      <c r="D163" s="78" t="s">
        <v>1191</v>
      </c>
      <c r="E163" s="113"/>
      <c r="F163" s="114" t="s">
        <v>1253</v>
      </c>
      <c r="G163" s="107"/>
      <c r="H163" s="108">
        <v>0.33333333333333331</v>
      </c>
      <c r="I163" s="109">
        <f t="shared" si="3"/>
        <v>1</v>
      </c>
      <c r="J163" s="109">
        <v>0.9</v>
      </c>
      <c r="K163" s="82"/>
      <c r="L163" s="82"/>
    </row>
    <row r="164" spans="1:12" ht="14.4" customHeight="1">
      <c r="A164" s="253"/>
      <c r="B164" s="244"/>
      <c r="C164" s="248" t="s">
        <v>1196</v>
      </c>
      <c r="D164" s="132" t="s">
        <v>1192</v>
      </c>
      <c r="E164" s="158"/>
      <c r="F164" s="125" t="s">
        <v>1251</v>
      </c>
      <c r="G164" s="126"/>
      <c r="H164" s="127">
        <v>0.33333333333333298</v>
      </c>
      <c r="I164" s="109">
        <f t="shared" si="3"/>
        <v>1</v>
      </c>
      <c r="J164" s="134">
        <v>0.9</v>
      </c>
      <c r="K164" s="135"/>
      <c r="L164" s="137"/>
    </row>
    <row r="165" spans="1:12" ht="14.4" customHeight="1">
      <c r="A165" s="253"/>
      <c r="B165" s="244"/>
      <c r="C165" s="249"/>
      <c r="D165" s="132" t="s">
        <v>1192</v>
      </c>
      <c r="E165" s="158"/>
      <c r="F165" s="129" t="s">
        <v>1252</v>
      </c>
      <c r="G165" s="126"/>
      <c r="H165" s="127">
        <v>0.33333333333333298</v>
      </c>
      <c r="I165" s="109">
        <f t="shared" si="3"/>
        <v>1</v>
      </c>
      <c r="J165" s="134">
        <v>0.9</v>
      </c>
      <c r="K165" s="135"/>
      <c r="L165" s="136"/>
    </row>
    <row r="166" spans="1:12" ht="14.4" customHeight="1">
      <c r="A166" s="253"/>
      <c r="B166" s="244"/>
      <c r="C166" s="250"/>
      <c r="D166" s="132" t="s">
        <v>1192</v>
      </c>
      <c r="E166" s="133"/>
      <c r="F166" s="128" t="s">
        <v>1253</v>
      </c>
      <c r="G166" s="126"/>
      <c r="H166" s="127">
        <v>0.33333333333333298</v>
      </c>
      <c r="I166" s="109">
        <f t="shared" si="3"/>
        <v>1</v>
      </c>
      <c r="J166" s="134">
        <v>0.9</v>
      </c>
      <c r="K166" s="133"/>
      <c r="L166" s="136"/>
    </row>
    <row r="167" spans="1:12" ht="14.4" customHeight="1">
      <c r="A167" s="253"/>
      <c r="B167" s="244"/>
      <c r="C167" s="243" t="s">
        <v>1197</v>
      </c>
      <c r="D167" s="78"/>
      <c r="E167" s="159"/>
      <c r="F167" s="111" t="s">
        <v>1251</v>
      </c>
      <c r="H167" s="108">
        <v>0.33333333333333298</v>
      </c>
      <c r="I167" s="109">
        <f>1-(G169/H167)</f>
        <v>0.74999999999999978</v>
      </c>
      <c r="J167" s="109">
        <v>0.9</v>
      </c>
      <c r="K167" s="82"/>
      <c r="L167" s="82"/>
    </row>
    <row r="168" spans="1:12" ht="14.4" customHeight="1">
      <c r="A168" s="253"/>
      <c r="B168" s="244"/>
      <c r="C168" s="244"/>
      <c r="D168" s="78"/>
      <c r="E168" s="159"/>
      <c r="F168" s="106" t="s">
        <v>1252</v>
      </c>
      <c r="G168" s="107"/>
      <c r="H168" s="108">
        <v>0.33333333333333298</v>
      </c>
      <c r="I168" s="109">
        <f t="shared" si="3"/>
        <v>1</v>
      </c>
      <c r="J168" s="109">
        <v>0.9</v>
      </c>
      <c r="K168" s="82"/>
      <c r="L168" s="82"/>
    </row>
    <row r="169" spans="1:12" ht="14.4" customHeight="1" thickBot="1">
      <c r="A169" s="253"/>
      <c r="B169" s="245"/>
      <c r="C169" s="245"/>
      <c r="D169" s="78"/>
      <c r="E169" s="113"/>
      <c r="F169" s="114" t="s">
        <v>1253</v>
      </c>
      <c r="G169" s="107">
        <v>8.3333333333333329E-2</v>
      </c>
      <c r="H169" s="123">
        <v>0.33333333333333298</v>
      </c>
      <c r="I169" s="109">
        <f t="shared" si="3"/>
        <v>0.74999999999999978</v>
      </c>
      <c r="J169" s="109">
        <v>0.9</v>
      </c>
      <c r="K169" s="82" t="s">
        <v>1307</v>
      </c>
      <c r="L169" s="82"/>
    </row>
    <row r="170" spans="1:12" ht="14.4" customHeight="1">
      <c r="A170" s="253"/>
      <c r="B170" s="251">
        <v>45948</v>
      </c>
      <c r="C170" s="243" t="s">
        <v>1198</v>
      </c>
      <c r="D170" s="78" t="s">
        <v>1193</v>
      </c>
      <c r="E170" s="159"/>
      <c r="F170" s="111" t="s">
        <v>1251</v>
      </c>
      <c r="G170" s="107"/>
      <c r="H170" s="108">
        <v>0.33333333333333298</v>
      </c>
      <c r="I170" s="109">
        <f t="shared" si="3"/>
        <v>1</v>
      </c>
      <c r="J170" s="109">
        <v>0.9</v>
      </c>
      <c r="K170" s="82"/>
      <c r="L170" s="112"/>
    </row>
    <row r="171" spans="1:12" ht="14.4" customHeight="1">
      <c r="A171" s="253"/>
      <c r="B171" s="244"/>
      <c r="C171" s="244"/>
      <c r="D171" s="78" t="s">
        <v>1193</v>
      </c>
      <c r="E171" s="159"/>
      <c r="F171" s="106" t="s">
        <v>1252</v>
      </c>
      <c r="G171" s="107"/>
      <c r="H171" s="108">
        <v>0.33333333333333298</v>
      </c>
      <c r="I171" s="109">
        <f t="shared" si="3"/>
        <v>1</v>
      </c>
      <c r="J171" s="109">
        <v>0.9</v>
      </c>
      <c r="K171" s="82"/>
      <c r="L171" s="82"/>
    </row>
    <row r="172" spans="1:12" ht="14.4" customHeight="1">
      <c r="A172" s="253"/>
      <c r="B172" s="244"/>
      <c r="C172" s="245"/>
      <c r="D172" s="78" t="s">
        <v>1193</v>
      </c>
      <c r="E172" s="113"/>
      <c r="F172" s="114" t="s">
        <v>1253</v>
      </c>
      <c r="G172" s="107"/>
      <c r="H172" s="108">
        <v>0.33333333333333298</v>
      </c>
      <c r="I172" s="109">
        <f t="shared" si="3"/>
        <v>1</v>
      </c>
      <c r="J172" s="109">
        <v>0.9</v>
      </c>
      <c r="K172" s="82"/>
      <c r="L172" s="82"/>
    </row>
    <row r="173" spans="1:12" ht="14.4" customHeight="1">
      <c r="A173" s="253"/>
      <c r="B173" s="244"/>
      <c r="C173" s="248" t="s">
        <v>1196</v>
      </c>
      <c r="D173" s="132" t="s">
        <v>1191</v>
      </c>
      <c r="E173" s="158"/>
      <c r="F173" s="125" t="s">
        <v>1251</v>
      </c>
      <c r="G173" s="126"/>
      <c r="H173" s="127">
        <v>0.33333333333333298</v>
      </c>
      <c r="I173" s="109">
        <f t="shared" si="3"/>
        <v>1</v>
      </c>
      <c r="J173" s="134">
        <v>0.9</v>
      </c>
      <c r="K173" s="135"/>
      <c r="L173" s="137"/>
    </row>
    <row r="174" spans="1:12" ht="14.4" customHeight="1">
      <c r="A174" s="253"/>
      <c r="B174" s="244"/>
      <c r="C174" s="249"/>
      <c r="D174" s="132" t="s">
        <v>1191</v>
      </c>
      <c r="E174" s="158"/>
      <c r="F174" s="129" t="s">
        <v>1252</v>
      </c>
      <c r="G174" s="126"/>
      <c r="H174" s="127">
        <v>0.33333333333333298</v>
      </c>
      <c r="I174" s="109">
        <f t="shared" si="3"/>
        <v>1</v>
      </c>
      <c r="J174" s="134">
        <v>0.9</v>
      </c>
      <c r="K174" s="135"/>
      <c r="L174" s="136"/>
    </row>
    <row r="175" spans="1:12" ht="14.4" customHeight="1">
      <c r="A175" s="253"/>
      <c r="B175" s="244"/>
      <c r="C175" s="250"/>
      <c r="D175" s="132" t="s">
        <v>1191</v>
      </c>
      <c r="E175" s="133"/>
      <c r="F175" s="128" t="s">
        <v>1253</v>
      </c>
      <c r="G175" s="126"/>
      <c r="H175" s="127">
        <v>0.33333333333333298</v>
      </c>
      <c r="I175" s="109">
        <f t="shared" si="3"/>
        <v>1</v>
      </c>
      <c r="J175" s="134">
        <v>0.9</v>
      </c>
      <c r="K175" s="133"/>
      <c r="L175" s="136"/>
    </row>
    <row r="176" spans="1:12" ht="14.4" customHeight="1">
      <c r="A176" s="253"/>
      <c r="B176" s="244"/>
      <c r="C176" s="243" t="s">
        <v>1197</v>
      </c>
      <c r="D176" s="78" t="s">
        <v>1192</v>
      </c>
      <c r="E176" s="159"/>
      <c r="F176" s="111" t="s">
        <v>1251</v>
      </c>
      <c r="G176" s="107"/>
      <c r="H176" s="108">
        <v>0.33333333333333298</v>
      </c>
      <c r="I176" s="109">
        <f t="shared" si="3"/>
        <v>1</v>
      </c>
      <c r="J176" s="109">
        <v>0.9</v>
      </c>
      <c r="K176" s="82"/>
      <c r="L176" s="82"/>
    </row>
    <row r="177" spans="1:12" ht="14.4" customHeight="1">
      <c r="A177" s="253"/>
      <c r="B177" s="244"/>
      <c r="C177" s="244"/>
      <c r="D177" s="78" t="s">
        <v>1192</v>
      </c>
      <c r="E177" s="159"/>
      <c r="F177" s="106" t="s">
        <v>1252</v>
      </c>
      <c r="G177" s="107"/>
      <c r="H177" s="108">
        <v>0.33333333333333298</v>
      </c>
      <c r="I177" s="109">
        <f t="shared" si="3"/>
        <v>1</v>
      </c>
      <c r="J177" s="109">
        <v>0.9</v>
      </c>
      <c r="K177" s="82"/>
      <c r="L177" s="82"/>
    </row>
    <row r="178" spans="1:12" ht="14.4" customHeight="1" thickBot="1">
      <c r="A178" s="253"/>
      <c r="B178" s="245"/>
      <c r="C178" s="245"/>
      <c r="D178" s="78" t="s">
        <v>1192</v>
      </c>
      <c r="E178" s="113"/>
      <c r="F178" s="114" t="s">
        <v>1253</v>
      </c>
      <c r="G178" s="107"/>
      <c r="H178" s="123">
        <v>0.33333333333333298</v>
      </c>
      <c r="I178" s="109">
        <f t="shared" si="3"/>
        <v>1</v>
      </c>
      <c r="J178" s="109">
        <v>0.9</v>
      </c>
      <c r="K178" s="82"/>
      <c r="L178" s="82"/>
    </row>
    <row r="179" spans="1:12" ht="14.4" customHeight="1">
      <c r="A179" s="253"/>
      <c r="B179" s="251">
        <v>45949</v>
      </c>
      <c r="C179" s="243" t="s">
        <v>1198</v>
      </c>
      <c r="D179" s="78" t="s">
        <v>1193</v>
      </c>
      <c r="E179" s="159"/>
      <c r="F179" s="111" t="s">
        <v>1251</v>
      </c>
      <c r="G179" s="107"/>
      <c r="H179" s="108">
        <v>0.33333333333333298</v>
      </c>
      <c r="I179" s="109">
        <f t="shared" si="3"/>
        <v>1</v>
      </c>
      <c r="J179" s="109">
        <v>0.9</v>
      </c>
      <c r="K179" s="82"/>
      <c r="L179" s="112"/>
    </row>
    <row r="180" spans="1:12" ht="14.4" customHeight="1">
      <c r="A180" s="253"/>
      <c r="B180" s="244"/>
      <c r="C180" s="244"/>
      <c r="D180" s="78" t="s">
        <v>1193</v>
      </c>
      <c r="E180" s="159"/>
      <c r="F180" s="106" t="s">
        <v>1252</v>
      </c>
      <c r="G180" s="107"/>
      <c r="H180" s="108">
        <v>0.33333333333333298</v>
      </c>
      <c r="I180" s="109">
        <f t="shared" si="3"/>
        <v>1</v>
      </c>
      <c r="J180" s="109">
        <v>0.9</v>
      </c>
      <c r="K180" s="82"/>
      <c r="L180" s="82"/>
    </row>
    <row r="181" spans="1:12" ht="14.4" customHeight="1">
      <c r="A181" s="253"/>
      <c r="B181" s="244"/>
      <c r="C181" s="245"/>
      <c r="D181" s="78" t="s">
        <v>1193</v>
      </c>
      <c r="E181" s="113"/>
      <c r="F181" s="114" t="s">
        <v>1253</v>
      </c>
      <c r="G181" s="107"/>
      <c r="H181" s="108">
        <v>0.33333333333333298</v>
      </c>
      <c r="I181" s="109">
        <f t="shared" si="3"/>
        <v>1</v>
      </c>
      <c r="J181" s="109">
        <v>0.9</v>
      </c>
      <c r="K181" s="82"/>
      <c r="L181" s="82"/>
    </row>
    <row r="182" spans="1:12" ht="14.4" customHeight="1">
      <c r="A182" s="253"/>
      <c r="B182" s="244"/>
      <c r="C182" s="248" t="s">
        <v>1196</v>
      </c>
      <c r="D182" s="132" t="s">
        <v>1191</v>
      </c>
      <c r="E182" s="158"/>
      <c r="F182" s="125" t="s">
        <v>1251</v>
      </c>
      <c r="G182" s="126"/>
      <c r="H182" s="127">
        <v>0.33333333333333298</v>
      </c>
      <c r="I182" s="109">
        <f t="shared" si="3"/>
        <v>1</v>
      </c>
      <c r="J182" s="134">
        <v>0.9</v>
      </c>
      <c r="K182" s="135"/>
      <c r="L182" s="137"/>
    </row>
    <row r="183" spans="1:12" ht="14.4" customHeight="1">
      <c r="A183" s="253"/>
      <c r="B183" s="244"/>
      <c r="C183" s="249"/>
      <c r="D183" s="132" t="s">
        <v>1191</v>
      </c>
      <c r="E183" s="158"/>
      <c r="F183" s="129" t="s">
        <v>1252</v>
      </c>
      <c r="G183" s="126"/>
      <c r="H183" s="127">
        <v>0.33333333333333298</v>
      </c>
      <c r="I183" s="109">
        <f t="shared" si="3"/>
        <v>1</v>
      </c>
      <c r="J183" s="134">
        <v>0.9</v>
      </c>
      <c r="K183" s="135"/>
      <c r="L183" s="136"/>
    </row>
    <row r="184" spans="1:12" ht="14.4" customHeight="1">
      <c r="A184" s="253"/>
      <c r="B184" s="244"/>
      <c r="C184" s="250"/>
      <c r="D184" s="132" t="s">
        <v>1191</v>
      </c>
      <c r="E184" s="133"/>
      <c r="F184" s="128" t="s">
        <v>1253</v>
      </c>
      <c r="G184" s="126"/>
      <c r="H184" s="127">
        <v>0.33333333333333298</v>
      </c>
      <c r="I184" s="109">
        <f t="shared" si="3"/>
        <v>1</v>
      </c>
      <c r="J184" s="134">
        <v>0.9</v>
      </c>
      <c r="K184" s="133"/>
      <c r="L184" s="136"/>
    </row>
    <row r="185" spans="1:12" ht="14.4" customHeight="1">
      <c r="A185" s="253"/>
      <c r="B185" s="244"/>
      <c r="C185" s="243" t="s">
        <v>1197</v>
      </c>
      <c r="D185" s="78" t="s">
        <v>1192</v>
      </c>
      <c r="E185" s="159"/>
      <c r="F185" s="111" t="s">
        <v>1251</v>
      </c>
      <c r="G185" s="107"/>
      <c r="H185" s="108">
        <v>0.33333333333333298</v>
      </c>
      <c r="I185" s="109">
        <f t="shared" si="3"/>
        <v>1</v>
      </c>
      <c r="J185" s="109">
        <v>0.9</v>
      </c>
      <c r="K185" s="82"/>
      <c r="L185" s="82"/>
    </row>
    <row r="186" spans="1:12" ht="14.4" customHeight="1">
      <c r="A186" s="253"/>
      <c r="B186" s="244"/>
      <c r="C186" s="244"/>
      <c r="D186" s="78" t="s">
        <v>1192</v>
      </c>
      <c r="E186" s="159"/>
      <c r="F186" s="106" t="s">
        <v>1252</v>
      </c>
      <c r="G186" s="107"/>
      <c r="H186" s="108">
        <v>0.33333333333333298</v>
      </c>
      <c r="I186" s="109">
        <f t="shared" si="3"/>
        <v>1</v>
      </c>
      <c r="J186" s="109">
        <v>0.9</v>
      </c>
      <c r="K186" s="82"/>
      <c r="L186" s="82"/>
    </row>
    <row r="187" spans="1:12" ht="14.4" customHeight="1">
      <c r="A187" s="253"/>
      <c r="B187" s="245"/>
      <c r="C187" s="245"/>
      <c r="D187" s="78" t="s">
        <v>1192</v>
      </c>
      <c r="E187" s="113"/>
      <c r="F187" s="114" t="s">
        <v>1253</v>
      </c>
      <c r="G187" s="107"/>
      <c r="H187" s="123">
        <v>0.33333333333333298</v>
      </c>
      <c r="I187" s="109">
        <f t="shared" si="3"/>
        <v>1</v>
      </c>
      <c r="J187" s="109">
        <v>0.9</v>
      </c>
      <c r="K187" s="82"/>
      <c r="L187" s="82"/>
    </row>
    <row r="188" spans="1:12" ht="14.4" customHeight="1">
      <c r="A188" s="253"/>
      <c r="B188" s="117"/>
      <c r="C188" s="117"/>
      <c r="D188" s="118"/>
      <c r="E188" s="118"/>
      <c r="F188" s="119" t="s">
        <v>1251</v>
      </c>
      <c r="G188" s="124"/>
      <c r="H188" s="124"/>
      <c r="I188" s="120">
        <f>AVERAGEIF(F125:F187,F188,I125:I187)</f>
        <v>0.96130952380952384</v>
      </c>
      <c r="J188" s="121">
        <v>0.9</v>
      </c>
      <c r="K188" s="118"/>
      <c r="L188" s="116"/>
    </row>
    <row r="189" spans="1:12" ht="14.4" customHeight="1">
      <c r="A189" s="253"/>
      <c r="B189" s="117"/>
      <c r="C189" s="117"/>
      <c r="D189" s="118"/>
      <c r="E189" s="118"/>
      <c r="F189" s="119" t="s">
        <v>1252</v>
      </c>
      <c r="G189" s="124"/>
      <c r="H189" s="124"/>
      <c r="I189" s="120">
        <f>AVERAGEIF(F125:F187,F189,I125:I187)</f>
        <v>0.9732142857142857</v>
      </c>
      <c r="J189" s="121">
        <v>0.9</v>
      </c>
      <c r="K189" s="118"/>
      <c r="L189" s="116"/>
    </row>
    <row r="190" spans="1:12" ht="14.4" customHeight="1" thickBot="1">
      <c r="A190" s="253"/>
      <c r="B190" s="117"/>
      <c r="C190" s="117"/>
      <c r="D190" s="118"/>
      <c r="E190" s="118"/>
      <c r="F190" s="119" t="s">
        <v>1253</v>
      </c>
      <c r="G190" s="124"/>
      <c r="H190" s="124"/>
      <c r="I190" s="120">
        <f>AVERAGEIF(F125:F187,F190,I125:I187)</f>
        <v>0.98809523809523814</v>
      </c>
      <c r="J190" s="121">
        <v>0.9</v>
      </c>
      <c r="K190" s="118"/>
      <c r="L190" s="116"/>
    </row>
    <row r="191" spans="1:12" ht="14.4" customHeight="1">
      <c r="A191" s="252" t="s">
        <v>1543</v>
      </c>
      <c r="B191" s="251">
        <v>45950</v>
      </c>
      <c r="C191" s="243" t="s">
        <v>1198</v>
      </c>
      <c r="D191" s="110" t="s">
        <v>1201</v>
      </c>
      <c r="E191" s="156"/>
      <c r="F191" s="111" t="s">
        <v>1251</v>
      </c>
      <c r="G191" s="107"/>
      <c r="H191" s="108">
        <v>0.33333333333333331</v>
      </c>
      <c r="I191" s="109">
        <f>1-(G191/H191)</f>
        <v>1</v>
      </c>
      <c r="J191" s="109">
        <v>0.9</v>
      </c>
      <c r="K191" s="82"/>
      <c r="L191" s="82"/>
    </row>
    <row r="192" spans="1:12" ht="14.4" customHeight="1">
      <c r="A192" s="253"/>
      <c r="B192" s="244"/>
      <c r="C192" s="244"/>
      <c r="D192" s="110" t="s">
        <v>1201</v>
      </c>
      <c r="E192" s="156"/>
      <c r="F192" s="111" t="s">
        <v>1252</v>
      </c>
      <c r="G192" s="107"/>
      <c r="H192" s="108">
        <v>0.33333333333333331</v>
      </c>
      <c r="I192" s="109">
        <f>1-(G192/H192)</f>
        <v>1</v>
      </c>
      <c r="J192" s="109">
        <v>0.9</v>
      </c>
      <c r="K192" s="82"/>
      <c r="L192" s="82"/>
    </row>
    <row r="193" spans="1:12" ht="14.4" customHeight="1">
      <c r="A193" s="253"/>
      <c r="B193" s="244"/>
      <c r="C193" s="245"/>
      <c r="D193" s="110" t="s">
        <v>1201</v>
      </c>
      <c r="E193" s="157"/>
      <c r="F193" s="114" t="s">
        <v>1253</v>
      </c>
      <c r="G193" s="107"/>
      <c r="H193" s="108">
        <v>0.33333333333333298</v>
      </c>
      <c r="I193" s="109">
        <f t="shared" ref="I193:I253" si="4">1-(G193/H193)</f>
        <v>1</v>
      </c>
      <c r="J193" s="109">
        <v>0.9</v>
      </c>
      <c r="K193" s="82"/>
      <c r="L193" s="82"/>
    </row>
    <row r="194" spans="1:12" ht="14.4" customHeight="1">
      <c r="A194" s="253"/>
      <c r="B194" s="244"/>
      <c r="C194" s="248" t="s">
        <v>1196</v>
      </c>
      <c r="D194" s="132" t="s">
        <v>1193</v>
      </c>
      <c r="E194" s="158"/>
      <c r="F194" s="125" t="s">
        <v>1251</v>
      </c>
      <c r="G194" s="127">
        <v>0.1111111111111111</v>
      </c>
      <c r="H194" s="127">
        <v>0.33333333333333331</v>
      </c>
      <c r="I194" s="109">
        <f t="shared" si="4"/>
        <v>0.66666666666666674</v>
      </c>
      <c r="J194" s="134">
        <v>0.9</v>
      </c>
      <c r="K194" s="135" t="s">
        <v>1326</v>
      </c>
      <c r="L194" s="136"/>
    </row>
    <row r="195" spans="1:12" ht="14.4" customHeight="1">
      <c r="A195" s="253"/>
      <c r="B195" s="244"/>
      <c r="C195" s="249"/>
      <c r="D195" s="132" t="s">
        <v>1193</v>
      </c>
      <c r="E195" s="158"/>
      <c r="F195" s="125" t="s">
        <v>1252</v>
      </c>
      <c r="G195" s="126"/>
      <c r="H195" s="127">
        <v>0.33333333333333298</v>
      </c>
      <c r="I195" s="109">
        <f t="shared" si="4"/>
        <v>1</v>
      </c>
      <c r="J195" s="134">
        <v>0.9</v>
      </c>
      <c r="K195" s="135"/>
      <c r="L195" s="136"/>
    </row>
    <row r="196" spans="1:12" ht="14.4" customHeight="1">
      <c r="A196" s="253"/>
      <c r="B196" s="244"/>
      <c r="C196" s="250"/>
      <c r="D196" s="132" t="s">
        <v>1193</v>
      </c>
      <c r="E196" s="133"/>
      <c r="F196" s="128" t="s">
        <v>1253</v>
      </c>
      <c r="G196" s="126"/>
      <c r="H196" s="127">
        <v>0.33333333333333298</v>
      </c>
      <c r="I196" s="109">
        <f t="shared" si="4"/>
        <v>1</v>
      </c>
      <c r="J196" s="134">
        <v>0.9</v>
      </c>
      <c r="K196" s="133"/>
      <c r="L196" s="136"/>
    </row>
    <row r="197" spans="1:12" ht="14.4" customHeight="1">
      <c r="A197" s="253"/>
      <c r="B197" s="244"/>
      <c r="C197" s="243" t="s">
        <v>1197</v>
      </c>
      <c r="D197" s="78" t="s">
        <v>1191</v>
      </c>
      <c r="E197" s="159"/>
      <c r="F197" s="111" t="s">
        <v>1251</v>
      </c>
      <c r="G197" s="107"/>
      <c r="H197" s="108">
        <v>0.33333333333333298</v>
      </c>
      <c r="I197" s="109">
        <f t="shared" si="4"/>
        <v>1</v>
      </c>
      <c r="J197" s="109">
        <v>0.9</v>
      </c>
      <c r="K197" s="82"/>
      <c r="L197" s="112"/>
    </row>
    <row r="198" spans="1:12" ht="14.4" customHeight="1">
      <c r="A198" s="253"/>
      <c r="B198" s="244"/>
      <c r="C198" s="244"/>
      <c r="D198" s="78" t="s">
        <v>1191</v>
      </c>
      <c r="E198" s="159"/>
      <c r="F198" s="111" t="s">
        <v>1252</v>
      </c>
      <c r="G198" s="107"/>
      <c r="H198" s="108">
        <v>0.33333333333333298</v>
      </c>
      <c r="I198" s="109">
        <f t="shared" si="4"/>
        <v>1</v>
      </c>
      <c r="J198" s="109">
        <v>0.9</v>
      </c>
      <c r="K198" s="82"/>
      <c r="L198" s="82"/>
    </row>
    <row r="199" spans="1:12" ht="15" customHeight="1" thickBot="1">
      <c r="A199" s="253"/>
      <c r="B199" s="245"/>
      <c r="C199" s="245"/>
      <c r="D199" s="78" t="s">
        <v>1191</v>
      </c>
      <c r="E199" s="113"/>
      <c r="F199" s="114" t="s">
        <v>1253</v>
      </c>
      <c r="G199" s="107"/>
      <c r="H199" s="108">
        <v>0.33333333333333298</v>
      </c>
      <c r="I199" s="109">
        <f t="shared" si="4"/>
        <v>1</v>
      </c>
      <c r="J199" s="109">
        <v>0.9</v>
      </c>
      <c r="K199" s="82"/>
      <c r="L199" s="82"/>
    </row>
    <row r="200" spans="1:12" ht="14.4" customHeight="1">
      <c r="A200" s="253"/>
      <c r="B200" s="251">
        <v>45951</v>
      </c>
      <c r="C200" s="248" t="s">
        <v>1198</v>
      </c>
      <c r="D200" s="132" t="s">
        <v>1194</v>
      </c>
      <c r="E200" s="158"/>
      <c r="F200" s="125" t="s">
        <v>1251</v>
      </c>
      <c r="G200" s="126"/>
      <c r="H200" s="127">
        <v>0.33333333333333298</v>
      </c>
      <c r="I200" s="109">
        <f t="shared" si="4"/>
        <v>1</v>
      </c>
      <c r="J200" s="134">
        <v>0.9</v>
      </c>
      <c r="K200" s="135"/>
      <c r="L200" s="137"/>
    </row>
    <row r="201" spans="1:12" ht="14.4" customHeight="1">
      <c r="A201" s="253"/>
      <c r="B201" s="244"/>
      <c r="C201" s="249"/>
      <c r="D201" s="132" t="s">
        <v>1194</v>
      </c>
      <c r="E201" s="158"/>
      <c r="F201" s="125" t="s">
        <v>1252</v>
      </c>
      <c r="G201" s="126"/>
      <c r="H201" s="127">
        <v>0.33333333333333298</v>
      </c>
      <c r="I201" s="109">
        <f t="shared" si="4"/>
        <v>1</v>
      </c>
      <c r="J201" s="134">
        <v>0.9</v>
      </c>
      <c r="K201" s="135"/>
      <c r="L201" s="136"/>
    </row>
    <row r="202" spans="1:12" ht="14.4" customHeight="1">
      <c r="A202" s="253"/>
      <c r="B202" s="244"/>
      <c r="C202" s="250"/>
      <c r="D202" s="132" t="s">
        <v>1194</v>
      </c>
      <c r="E202" s="133"/>
      <c r="F202" s="128" t="s">
        <v>1253</v>
      </c>
      <c r="G202" s="126"/>
      <c r="H202" s="127">
        <v>0.33333333333333298</v>
      </c>
      <c r="I202" s="109">
        <f t="shared" si="4"/>
        <v>1</v>
      </c>
      <c r="J202" s="134">
        <v>0.9</v>
      </c>
      <c r="K202" s="133"/>
      <c r="L202" s="136"/>
    </row>
    <row r="203" spans="1:12" ht="14.4" customHeight="1">
      <c r="A203" s="253"/>
      <c r="B203" s="244"/>
      <c r="C203" s="243" t="s">
        <v>1196</v>
      </c>
      <c r="D203" s="78" t="s">
        <v>1193</v>
      </c>
      <c r="E203" s="159"/>
      <c r="F203" s="111" t="s">
        <v>1251</v>
      </c>
      <c r="G203" s="107"/>
      <c r="H203" s="108">
        <v>0.33333333333333298</v>
      </c>
      <c r="I203" s="109">
        <f t="shared" si="4"/>
        <v>1</v>
      </c>
      <c r="J203" s="109">
        <v>0.9</v>
      </c>
      <c r="K203" s="82"/>
      <c r="L203" s="112"/>
    </row>
    <row r="204" spans="1:12" ht="14.4" customHeight="1">
      <c r="A204" s="253"/>
      <c r="B204" s="244"/>
      <c r="C204" s="244"/>
      <c r="D204" s="78" t="s">
        <v>1193</v>
      </c>
      <c r="E204" s="159"/>
      <c r="F204" s="111" t="s">
        <v>1252</v>
      </c>
      <c r="G204" s="108">
        <v>8.3333333333333329E-2</v>
      </c>
      <c r="H204" s="108">
        <v>0.33333333333333298</v>
      </c>
      <c r="I204" s="109">
        <f t="shared" si="4"/>
        <v>0.74999999999999978</v>
      </c>
      <c r="J204" s="109">
        <v>0.9</v>
      </c>
      <c r="K204" s="82" t="s">
        <v>1307</v>
      </c>
      <c r="L204" s="82"/>
    </row>
    <row r="205" spans="1:12" ht="14.4" customHeight="1">
      <c r="A205" s="253"/>
      <c r="B205" s="244"/>
      <c r="C205" s="245"/>
      <c r="D205" s="78" t="s">
        <v>1193</v>
      </c>
      <c r="E205" s="113"/>
      <c r="F205" s="114" t="s">
        <v>1253</v>
      </c>
      <c r="G205" s="107"/>
      <c r="H205" s="108">
        <v>0.33333333333333298</v>
      </c>
      <c r="I205" s="109">
        <f t="shared" si="4"/>
        <v>1</v>
      </c>
      <c r="J205" s="109">
        <v>0.9</v>
      </c>
      <c r="K205" s="82"/>
      <c r="L205" s="82"/>
    </row>
    <row r="206" spans="1:12" ht="14.4" customHeight="1">
      <c r="A206" s="253"/>
      <c r="B206" s="244"/>
      <c r="C206" s="248" t="s">
        <v>1197</v>
      </c>
      <c r="D206" s="132" t="s">
        <v>1191</v>
      </c>
      <c r="E206" s="158"/>
      <c r="F206" s="125" t="s">
        <v>1251</v>
      </c>
      <c r="G206" s="126"/>
      <c r="H206" s="127">
        <v>0.33333333333333298</v>
      </c>
      <c r="I206" s="109">
        <f t="shared" si="4"/>
        <v>1</v>
      </c>
      <c r="J206" s="134">
        <v>0.9</v>
      </c>
      <c r="K206" s="135"/>
      <c r="L206" s="137"/>
    </row>
    <row r="207" spans="1:12" ht="14.4" customHeight="1">
      <c r="A207" s="253"/>
      <c r="B207" s="244"/>
      <c r="C207" s="249"/>
      <c r="D207" s="132" t="s">
        <v>1191</v>
      </c>
      <c r="E207" s="158"/>
      <c r="F207" s="129" t="s">
        <v>1252</v>
      </c>
      <c r="G207" s="126">
        <v>6.25E-2</v>
      </c>
      <c r="H207" s="127">
        <v>0.33333333333333298</v>
      </c>
      <c r="I207" s="109">
        <f t="shared" si="4"/>
        <v>0.81249999999999978</v>
      </c>
      <c r="J207" s="134">
        <v>0.9</v>
      </c>
      <c r="K207" s="135" t="s">
        <v>1307</v>
      </c>
      <c r="L207" s="136"/>
    </row>
    <row r="208" spans="1:12" ht="15" customHeight="1" thickBot="1">
      <c r="A208" s="253"/>
      <c r="B208" s="245"/>
      <c r="C208" s="250"/>
      <c r="D208" s="132" t="s">
        <v>1191</v>
      </c>
      <c r="E208" s="133"/>
      <c r="F208" s="128" t="s">
        <v>1253</v>
      </c>
      <c r="G208" s="126"/>
      <c r="H208" s="131">
        <v>0.33333333333333298</v>
      </c>
      <c r="I208" s="115">
        <f t="shared" si="4"/>
        <v>1</v>
      </c>
      <c r="J208" s="134">
        <v>0.9</v>
      </c>
      <c r="K208" s="133"/>
      <c r="L208" s="136"/>
    </row>
    <row r="209" spans="1:12" ht="14.4" customHeight="1">
      <c r="A209" s="253"/>
      <c r="B209" s="251">
        <v>45952</v>
      </c>
      <c r="C209" s="243" t="s">
        <v>1198</v>
      </c>
      <c r="D209" s="78" t="s">
        <v>1192</v>
      </c>
      <c r="E209" s="159"/>
      <c r="F209" s="111" t="s">
        <v>1251</v>
      </c>
      <c r="G209" s="107"/>
      <c r="H209" s="108">
        <v>0.33333333333333298</v>
      </c>
      <c r="I209" s="109">
        <f t="shared" si="4"/>
        <v>1</v>
      </c>
      <c r="J209" s="109">
        <v>0.9</v>
      </c>
      <c r="K209" s="82"/>
      <c r="L209" s="112"/>
    </row>
    <row r="210" spans="1:12" ht="14.4" customHeight="1">
      <c r="A210" s="253"/>
      <c r="B210" s="244"/>
      <c r="C210" s="244"/>
      <c r="D210" s="78" t="s">
        <v>1192</v>
      </c>
      <c r="E210" s="159"/>
      <c r="F210" s="106" t="s">
        <v>1252</v>
      </c>
      <c r="G210" s="107">
        <v>6.25E-2</v>
      </c>
      <c r="H210" s="108">
        <v>0.33333333333333298</v>
      </c>
      <c r="I210" s="109">
        <f t="shared" si="4"/>
        <v>0.81249999999999978</v>
      </c>
      <c r="J210" s="109">
        <v>0.9</v>
      </c>
      <c r="K210" s="82"/>
      <c r="L210" s="82"/>
    </row>
    <row r="211" spans="1:12" ht="14.4" customHeight="1">
      <c r="A211" s="253"/>
      <c r="B211" s="244"/>
      <c r="C211" s="245"/>
      <c r="D211" s="78" t="s">
        <v>1192</v>
      </c>
      <c r="E211" s="113"/>
      <c r="F211" s="114" t="s">
        <v>1253</v>
      </c>
      <c r="G211" s="107"/>
      <c r="H211" s="108">
        <v>0.33333333333333298</v>
      </c>
      <c r="I211" s="109">
        <f t="shared" si="4"/>
        <v>1</v>
      </c>
      <c r="J211" s="109">
        <v>0.9</v>
      </c>
      <c r="K211" s="82"/>
      <c r="L211" s="82"/>
    </row>
    <row r="212" spans="1:12" ht="14.4" customHeight="1">
      <c r="A212" s="253"/>
      <c r="B212" s="244"/>
      <c r="C212" s="248" t="s">
        <v>1196</v>
      </c>
      <c r="D212" s="132" t="s">
        <v>1194</v>
      </c>
      <c r="E212" s="158"/>
      <c r="F212" s="125" t="s">
        <v>1251</v>
      </c>
      <c r="G212" s="126"/>
      <c r="H212" s="127">
        <v>0.33333333333333298</v>
      </c>
      <c r="I212" s="109">
        <f t="shared" si="4"/>
        <v>1</v>
      </c>
      <c r="J212" s="134">
        <v>0.9</v>
      </c>
      <c r="K212" s="135"/>
      <c r="L212" s="137"/>
    </row>
    <row r="213" spans="1:12" ht="14.4" customHeight="1">
      <c r="A213" s="253"/>
      <c r="B213" s="244"/>
      <c r="C213" s="249"/>
      <c r="D213" s="132" t="s">
        <v>1194</v>
      </c>
      <c r="E213" s="158"/>
      <c r="F213" s="129" t="s">
        <v>1252</v>
      </c>
      <c r="G213" s="126"/>
      <c r="H213" s="127">
        <v>0.33333333333333298</v>
      </c>
      <c r="I213" s="109">
        <f t="shared" si="4"/>
        <v>1</v>
      </c>
      <c r="J213" s="134">
        <v>0.9</v>
      </c>
      <c r="K213" s="135"/>
      <c r="L213" s="136"/>
    </row>
    <row r="214" spans="1:12" ht="14.4" customHeight="1">
      <c r="A214" s="253"/>
      <c r="B214" s="244"/>
      <c r="C214" s="250"/>
      <c r="D214" s="132" t="s">
        <v>1194</v>
      </c>
      <c r="E214" s="133"/>
      <c r="F214" s="128" t="s">
        <v>1253</v>
      </c>
      <c r="G214" s="126"/>
      <c r="H214" s="127">
        <v>0.33333333333333298</v>
      </c>
      <c r="I214" s="109">
        <f t="shared" si="4"/>
        <v>1</v>
      </c>
      <c r="J214" s="134">
        <v>0.9</v>
      </c>
      <c r="K214" s="133"/>
      <c r="L214" s="136"/>
    </row>
    <row r="215" spans="1:12" ht="14.4" customHeight="1">
      <c r="A215" s="253"/>
      <c r="B215" s="244"/>
      <c r="C215" s="243" t="s">
        <v>1197</v>
      </c>
      <c r="D215" s="78" t="s">
        <v>1193</v>
      </c>
      <c r="E215" s="159"/>
      <c r="F215" s="111" t="s">
        <v>1251</v>
      </c>
      <c r="G215" s="107"/>
      <c r="H215" s="108">
        <v>0.33333333333333298</v>
      </c>
      <c r="I215" s="109">
        <f t="shared" si="4"/>
        <v>1</v>
      </c>
      <c r="J215" s="109">
        <v>0.9</v>
      </c>
      <c r="K215" s="82"/>
      <c r="L215" s="112"/>
    </row>
    <row r="216" spans="1:12" ht="14.4" customHeight="1">
      <c r="A216" s="253"/>
      <c r="B216" s="244"/>
      <c r="C216" s="244"/>
      <c r="D216" s="78" t="s">
        <v>1193</v>
      </c>
      <c r="E216" s="159"/>
      <c r="F216" s="106" t="s">
        <v>1252</v>
      </c>
      <c r="G216" s="107"/>
      <c r="H216" s="108">
        <v>0.33333333333333298</v>
      </c>
      <c r="I216" s="109">
        <f t="shared" si="4"/>
        <v>1</v>
      </c>
      <c r="J216" s="109">
        <v>0.9</v>
      </c>
      <c r="K216" s="82"/>
      <c r="L216" s="82"/>
    </row>
    <row r="217" spans="1:12" ht="15" customHeight="1" thickBot="1">
      <c r="A217" s="253"/>
      <c r="B217" s="245"/>
      <c r="C217" s="245"/>
      <c r="D217" s="78" t="s">
        <v>1193</v>
      </c>
      <c r="E217" s="113"/>
      <c r="F217" s="114" t="s">
        <v>1253</v>
      </c>
      <c r="G217" s="107"/>
      <c r="H217" s="108">
        <v>0.33333333333333298</v>
      </c>
      <c r="I217" s="109">
        <f t="shared" si="4"/>
        <v>1</v>
      </c>
      <c r="J217" s="109">
        <v>0.9</v>
      </c>
      <c r="K217" s="82"/>
      <c r="L217" s="82"/>
    </row>
    <row r="218" spans="1:12" ht="14.4" customHeight="1">
      <c r="A218" s="253"/>
      <c r="B218" s="251">
        <v>45953</v>
      </c>
      <c r="C218" s="248" t="s">
        <v>1198</v>
      </c>
      <c r="D218" s="132" t="s">
        <v>1192</v>
      </c>
      <c r="E218" s="158"/>
      <c r="F218" s="125" t="s">
        <v>1251</v>
      </c>
      <c r="G218" s="126"/>
      <c r="H218" s="127">
        <v>0.33333333333333298</v>
      </c>
      <c r="I218" s="109">
        <f t="shared" si="4"/>
        <v>1</v>
      </c>
      <c r="J218" s="134">
        <v>0.9</v>
      </c>
      <c r="K218" s="135"/>
      <c r="L218" s="137"/>
    </row>
    <row r="219" spans="1:12" ht="14.4" customHeight="1">
      <c r="A219" s="253"/>
      <c r="B219" s="244"/>
      <c r="C219" s="249"/>
      <c r="D219" s="132" t="s">
        <v>1192</v>
      </c>
      <c r="E219" s="158"/>
      <c r="F219" s="129" t="s">
        <v>1252</v>
      </c>
      <c r="G219" s="126"/>
      <c r="H219" s="127">
        <v>0.33333333333333331</v>
      </c>
      <c r="I219" s="109">
        <f t="shared" si="4"/>
        <v>1</v>
      </c>
      <c r="J219" s="134">
        <v>0.9</v>
      </c>
      <c r="K219" s="135"/>
      <c r="L219" s="136"/>
    </row>
    <row r="220" spans="1:12" ht="14.4" customHeight="1">
      <c r="A220" s="253"/>
      <c r="B220" s="244"/>
      <c r="C220" s="250"/>
      <c r="D220" s="132" t="s">
        <v>1192</v>
      </c>
      <c r="E220" s="133"/>
      <c r="F220" s="128" t="s">
        <v>1253</v>
      </c>
      <c r="G220" s="126"/>
      <c r="H220" s="127">
        <v>0.33333333333333298</v>
      </c>
      <c r="I220" s="109">
        <f t="shared" si="4"/>
        <v>1</v>
      </c>
      <c r="J220" s="134">
        <v>0.9</v>
      </c>
      <c r="K220" s="133"/>
      <c r="L220" s="136"/>
    </row>
    <row r="221" spans="1:12" ht="14.4" customHeight="1">
      <c r="A221" s="253"/>
      <c r="B221" s="244"/>
      <c r="C221" s="243" t="s">
        <v>1196</v>
      </c>
      <c r="D221" s="78" t="s">
        <v>1194</v>
      </c>
      <c r="E221" s="159"/>
      <c r="F221" s="111" t="s">
        <v>1251</v>
      </c>
      <c r="G221" s="107"/>
      <c r="H221" s="108">
        <v>0.33333333333333298</v>
      </c>
      <c r="I221" s="109">
        <f t="shared" si="4"/>
        <v>1</v>
      </c>
      <c r="J221" s="109">
        <v>0.9</v>
      </c>
      <c r="K221" s="82"/>
      <c r="L221" s="112"/>
    </row>
    <row r="222" spans="1:12" ht="14.4" customHeight="1">
      <c r="A222" s="253"/>
      <c r="B222" s="244"/>
      <c r="C222" s="244"/>
      <c r="D222" s="78" t="s">
        <v>1194</v>
      </c>
      <c r="E222" s="159"/>
      <c r="F222" s="106" t="s">
        <v>1252</v>
      </c>
      <c r="G222" s="107"/>
      <c r="H222" s="108">
        <v>0.33333333333333298</v>
      </c>
      <c r="I222" s="109">
        <f t="shared" si="4"/>
        <v>1</v>
      </c>
      <c r="J222" s="109">
        <v>0.9</v>
      </c>
      <c r="K222" s="82"/>
      <c r="L222" s="82"/>
    </row>
    <row r="223" spans="1:12" ht="14.4" customHeight="1">
      <c r="A223" s="253"/>
      <c r="B223" s="244"/>
      <c r="C223" s="245"/>
      <c r="D223" s="78" t="s">
        <v>1194</v>
      </c>
      <c r="E223" s="113"/>
      <c r="F223" s="114" t="s">
        <v>1253</v>
      </c>
      <c r="G223" s="107"/>
      <c r="H223" s="108">
        <v>0.33333333333333298</v>
      </c>
      <c r="I223" s="109">
        <f t="shared" si="4"/>
        <v>1</v>
      </c>
      <c r="J223" s="109">
        <v>0.9</v>
      </c>
      <c r="K223" s="82"/>
      <c r="L223" s="82"/>
    </row>
    <row r="224" spans="1:12" ht="14.4" customHeight="1">
      <c r="A224" s="253"/>
      <c r="B224" s="244"/>
      <c r="C224" s="248" t="s">
        <v>1197</v>
      </c>
      <c r="D224" s="132" t="s">
        <v>1193</v>
      </c>
      <c r="E224" s="158"/>
      <c r="F224" s="125" t="s">
        <v>1251</v>
      </c>
      <c r="G224" s="126"/>
      <c r="H224" s="127">
        <v>0.33333333333333298</v>
      </c>
      <c r="I224" s="109">
        <f t="shared" si="4"/>
        <v>1</v>
      </c>
      <c r="J224" s="134">
        <v>0.9</v>
      </c>
      <c r="K224" s="133"/>
      <c r="L224" s="137"/>
    </row>
    <row r="225" spans="1:12" ht="14.4" customHeight="1">
      <c r="A225" s="253"/>
      <c r="B225" s="244"/>
      <c r="C225" s="249"/>
      <c r="D225" s="132" t="s">
        <v>1193</v>
      </c>
      <c r="E225" s="158"/>
      <c r="F225" s="129" t="s">
        <v>1252</v>
      </c>
      <c r="G225" s="126"/>
      <c r="H225" s="127">
        <v>0.33333333333333298</v>
      </c>
      <c r="I225" s="109">
        <f t="shared" si="4"/>
        <v>1</v>
      </c>
      <c r="J225" s="134">
        <v>0.9</v>
      </c>
      <c r="K225" s="135"/>
      <c r="L225" s="136"/>
    </row>
    <row r="226" spans="1:12" ht="15" customHeight="1" thickBot="1">
      <c r="A226" s="253"/>
      <c r="B226" s="245"/>
      <c r="C226" s="250"/>
      <c r="D226" s="132" t="s">
        <v>1193</v>
      </c>
      <c r="E226" s="133"/>
      <c r="F226" s="128" t="s">
        <v>1253</v>
      </c>
      <c r="G226" s="126"/>
      <c r="H226" s="127">
        <v>0.33333333333333298</v>
      </c>
      <c r="I226" s="109">
        <f t="shared" si="4"/>
        <v>1</v>
      </c>
      <c r="J226" s="134">
        <v>0.9</v>
      </c>
      <c r="K226" s="133"/>
      <c r="L226" s="136"/>
    </row>
    <row r="227" spans="1:12" ht="14.4" customHeight="1">
      <c r="A227" s="253"/>
      <c r="B227" s="251">
        <v>45954</v>
      </c>
      <c r="C227" s="248" t="s">
        <v>1198</v>
      </c>
      <c r="D227" s="132" t="s">
        <v>1201</v>
      </c>
      <c r="E227" s="158"/>
      <c r="F227" s="125" t="s">
        <v>1251</v>
      </c>
      <c r="G227" s="126"/>
      <c r="H227" s="127">
        <v>0.33333333333333298</v>
      </c>
      <c r="I227" s="109">
        <f t="shared" si="4"/>
        <v>1</v>
      </c>
      <c r="J227" s="134">
        <v>0.9</v>
      </c>
      <c r="K227" s="135" t="s">
        <v>1584</v>
      </c>
      <c r="L227" s="137"/>
    </row>
    <row r="228" spans="1:12" ht="14.4" customHeight="1">
      <c r="A228" s="253"/>
      <c r="B228" s="244"/>
      <c r="C228" s="249"/>
      <c r="D228" s="132" t="s">
        <v>1201</v>
      </c>
      <c r="E228" s="158"/>
      <c r="F228" s="129" t="s">
        <v>1252</v>
      </c>
      <c r="G228" s="126"/>
      <c r="H228" s="127">
        <v>0.33333333333333298</v>
      </c>
      <c r="I228" s="109">
        <f t="shared" si="4"/>
        <v>1</v>
      </c>
      <c r="J228" s="134">
        <v>0.9</v>
      </c>
      <c r="K228" s="135" t="s">
        <v>1584</v>
      </c>
      <c r="L228" s="136"/>
    </row>
    <row r="229" spans="1:12" ht="14.4" customHeight="1">
      <c r="A229" s="253"/>
      <c r="B229" s="244"/>
      <c r="C229" s="250"/>
      <c r="D229" s="132" t="s">
        <v>1201</v>
      </c>
      <c r="E229" s="133"/>
      <c r="F229" s="128" t="s">
        <v>1253</v>
      </c>
      <c r="G229" s="126"/>
      <c r="H229" s="127">
        <v>0.33333333333333331</v>
      </c>
      <c r="I229" s="109">
        <f t="shared" si="4"/>
        <v>1</v>
      </c>
      <c r="J229" s="134">
        <v>0.9</v>
      </c>
      <c r="K229" s="135" t="s">
        <v>1584</v>
      </c>
      <c r="L229" s="136"/>
    </row>
    <row r="230" spans="1:12" ht="14.4" customHeight="1">
      <c r="A230" s="253"/>
      <c r="B230" s="244"/>
      <c r="C230" s="243" t="s">
        <v>1196</v>
      </c>
      <c r="D230" s="132" t="s">
        <v>1201</v>
      </c>
      <c r="E230" s="159"/>
      <c r="F230" s="111" t="s">
        <v>1251</v>
      </c>
      <c r="G230" s="107"/>
      <c r="H230" s="108">
        <v>0.33333333333333298</v>
      </c>
      <c r="I230" s="109">
        <f t="shared" si="4"/>
        <v>1</v>
      </c>
      <c r="J230" s="109">
        <v>0.9</v>
      </c>
      <c r="K230" s="135" t="s">
        <v>1584</v>
      </c>
      <c r="L230" s="112"/>
    </row>
    <row r="231" spans="1:12" ht="14.4" customHeight="1">
      <c r="A231" s="253"/>
      <c r="B231" s="244"/>
      <c r="C231" s="244"/>
      <c r="D231" s="132" t="s">
        <v>1201</v>
      </c>
      <c r="E231" s="159"/>
      <c r="F231" s="106" t="s">
        <v>1252</v>
      </c>
      <c r="G231" s="107"/>
      <c r="H231" s="108">
        <v>0.33333333333333298</v>
      </c>
      <c r="I231" s="109">
        <f t="shared" si="4"/>
        <v>1</v>
      </c>
      <c r="J231" s="109">
        <v>0.9</v>
      </c>
      <c r="K231" s="135" t="s">
        <v>1584</v>
      </c>
      <c r="L231" s="82"/>
    </row>
    <row r="232" spans="1:12" ht="14.4" customHeight="1">
      <c r="A232" s="253"/>
      <c r="B232" s="244"/>
      <c r="C232" s="245"/>
      <c r="D232" s="132" t="s">
        <v>1201</v>
      </c>
      <c r="E232" s="113"/>
      <c r="F232" s="114" t="s">
        <v>1253</v>
      </c>
      <c r="G232" s="107"/>
      <c r="H232" s="108">
        <v>0.33333333333333298</v>
      </c>
      <c r="I232" s="109">
        <f t="shared" si="4"/>
        <v>1</v>
      </c>
      <c r="J232" s="109">
        <v>0.9</v>
      </c>
      <c r="K232" s="135" t="s">
        <v>1584</v>
      </c>
      <c r="L232" s="82"/>
    </row>
    <row r="233" spans="1:12" ht="14.4" customHeight="1">
      <c r="A233" s="253"/>
      <c r="B233" s="244"/>
      <c r="C233" s="248" t="s">
        <v>1197</v>
      </c>
      <c r="D233" s="132" t="s">
        <v>1201</v>
      </c>
      <c r="E233" s="158"/>
      <c r="F233" s="125" t="s">
        <v>1251</v>
      </c>
      <c r="G233" s="126"/>
      <c r="H233" s="127">
        <v>0.33333333333333298</v>
      </c>
      <c r="I233" s="109">
        <f t="shared" si="4"/>
        <v>1</v>
      </c>
      <c r="J233" s="134">
        <v>0.9</v>
      </c>
      <c r="K233" s="135" t="s">
        <v>1584</v>
      </c>
      <c r="L233" s="137"/>
    </row>
    <row r="234" spans="1:12" ht="14.4" customHeight="1">
      <c r="A234" s="253"/>
      <c r="B234" s="244"/>
      <c r="C234" s="249"/>
      <c r="D234" s="132" t="s">
        <v>1201</v>
      </c>
      <c r="E234" s="158"/>
      <c r="F234" s="129" t="s">
        <v>1252</v>
      </c>
      <c r="G234" s="126"/>
      <c r="H234" s="127">
        <v>0.33333333333333298</v>
      </c>
      <c r="I234" s="109">
        <f t="shared" si="4"/>
        <v>1</v>
      </c>
      <c r="J234" s="134">
        <v>0.9</v>
      </c>
      <c r="K234" s="135" t="s">
        <v>1584</v>
      </c>
      <c r="L234" s="136"/>
    </row>
    <row r="235" spans="1:12" ht="15" customHeight="1" thickBot="1">
      <c r="A235" s="253"/>
      <c r="B235" s="245"/>
      <c r="C235" s="250"/>
      <c r="D235" s="132" t="s">
        <v>1201</v>
      </c>
      <c r="E235" s="133"/>
      <c r="F235" s="128" t="s">
        <v>1253</v>
      </c>
      <c r="G235" s="126"/>
      <c r="H235" s="127">
        <v>0.33333333333333298</v>
      </c>
      <c r="I235" s="109">
        <f t="shared" si="4"/>
        <v>1</v>
      </c>
      <c r="J235" s="134">
        <v>0.9</v>
      </c>
      <c r="K235" s="135" t="s">
        <v>1584</v>
      </c>
      <c r="L235" s="136"/>
    </row>
    <row r="236" spans="1:12" ht="14.4" customHeight="1">
      <c r="A236" s="253"/>
      <c r="B236" s="251">
        <v>45955</v>
      </c>
      <c r="C236" s="248" t="s">
        <v>1198</v>
      </c>
      <c r="D236" s="132"/>
      <c r="E236" s="158"/>
      <c r="F236" s="125" t="s">
        <v>1251</v>
      </c>
      <c r="G236" s="126"/>
      <c r="H236" s="127">
        <v>0.33333333333333298</v>
      </c>
      <c r="I236" s="109">
        <f t="shared" si="4"/>
        <v>1</v>
      </c>
      <c r="J236" s="134">
        <v>0.9</v>
      </c>
      <c r="K236" s="135"/>
      <c r="L236" s="137"/>
    </row>
    <row r="237" spans="1:12" ht="14.4" customHeight="1">
      <c r="A237" s="253"/>
      <c r="B237" s="244"/>
      <c r="C237" s="249"/>
      <c r="D237" s="132"/>
      <c r="E237" s="158"/>
      <c r="F237" s="129" t="s">
        <v>1252</v>
      </c>
      <c r="G237" s="126"/>
      <c r="H237" s="127">
        <v>0.33333333333333298</v>
      </c>
      <c r="I237" s="109">
        <f t="shared" si="4"/>
        <v>1</v>
      </c>
      <c r="J237" s="134">
        <v>0.9</v>
      </c>
      <c r="K237" s="135"/>
      <c r="L237" s="136"/>
    </row>
    <row r="238" spans="1:12" ht="14.4" customHeight="1">
      <c r="A238" s="253"/>
      <c r="B238" s="244"/>
      <c r="C238" s="250"/>
      <c r="D238" s="132"/>
      <c r="E238" s="133"/>
      <c r="F238" s="128" t="s">
        <v>1253</v>
      </c>
      <c r="G238" s="126"/>
      <c r="H238" s="127">
        <v>0.33333333333333298</v>
      </c>
      <c r="I238" s="109">
        <f t="shared" si="4"/>
        <v>1</v>
      </c>
      <c r="J238" s="134">
        <v>0.9</v>
      </c>
      <c r="K238" s="135"/>
      <c r="L238" s="136"/>
    </row>
    <row r="239" spans="1:12" ht="14.4" customHeight="1">
      <c r="A239" s="253"/>
      <c r="B239" s="244"/>
      <c r="C239" s="243" t="s">
        <v>1196</v>
      </c>
      <c r="D239" s="78"/>
      <c r="E239" s="159"/>
      <c r="F239" s="111" t="s">
        <v>1251</v>
      </c>
      <c r="G239" s="107"/>
      <c r="H239" s="108">
        <v>0.33333333333333298</v>
      </c>
      <c r="I239" s="109">
        <f t="shared" si="4"/>
        <v>1</v>
      </c>
      <c r="J239" s="109">
        <v>0.9</v>
      </c>
      <c r="K239" s="82"/>
      <c r="L239" s="112"/>
    </row>
    <row r="240" spans="1:12" ht="14.4" customHeight="1">
      <c r="A240" s="253"/>
      <c r="B240" s="244"/>
      <c r="C240" s="244"/>
      <c r="D240" s="78"/>
      <c r="E240" s="159"/>
      <c r="F240" s="106" t="s">
        <v>1252</v>
      </c>
      <c r="G240" s="107"/>
      <c r="H240" s="108">
        <v>0.33333333333333298</v>
      </c>
      <c r="I240" s="109">
        <f t="shared" si="4"/>
        <v>1</v>
      </c>
      <c r="J240" s="109">
        <v>0.9</v>
      </c>
      <c r="K240" s="82"/>
      <c r="L240" s="82"/>
    </row>
    <row r="241" spans="1:12" ht="14.4" customHeight="1">
      <c r="A241" s="253"/>
      <c r="B241" s="244"/>
      <c r="C241" s="245"/>
      <c r="D241" s="78"/>
      <c r="E241" s="113"/>
      <c r="F241" s="114" t="s">
        <v>1253</v>
      </c>
      <c r="G241" s="107"/>
      <c r="H241" s="108">
        <v>0.33333333333333298</v>
      </c>
      <c r="I241" s="109">
        <f t="shared" si="4"/>
        <v>1</v>
      </c>
      <c r="J241" s="109">
        <v>0.9</v>
      </c>
      <c r="K241" s="82"/>
      <c r="L241" s="82"/>
    </row>
    <row r="242" spans="1:12" ht="14.4" customHeight="1">
      <c r="A242" s="253"/>
      <c r="B242" s="244"/>
      <c r="C242" s="248" t="s">
        <v>1197</v>
      </c>
      <c r="D242" s="132"/>
      <c r="E242" s="158"/>
      <c r="F242" s="125" t="s">
        <v>1251</v>
      </c>
      <c r="G242" s="126"/>
      <c r="H242" s="127">
        <v>0.33333333333333298</v>
      </c>
      <c r="I242" s="109">
        <f t="shared" si="4"/>
        <v>1</v>
      </c>
      <c r="J242" s="134">
        <v>0.9</v>
      </c>
      <c r="K242" s="133"/>
      <c r="L242" s="137"/>
    </row>
    <row r="243" spans="1:12" ht="14.4" customHeight="1">
      <c r="A243" s="253"/>
      <c r="B243" s="244"/>
      <c r="C243" s="249"/>
      <c r="D243" s="132"/>
      <c r="E243" s="158"/>
      <c r="F243" s="129" t="s">
        <v>1252</v>
      </c>
      <c r="G243" s="126"/>
      <c r="H243" s="127">
        <v>0.33333333333333298</v>
      </c>
      <c r="I243" s="109">
        <f t="shared" si="4"/>
        <v>1</v>
      </c>
      <c r="J243" s="134">
        <v>0.9</v>
      </c>
      <c r="K243" s="135"/>
      <c r="L243" s="136"/>
    </row>
    <row r="244" spans="1:12" ht="15" customHeight="1" thickBot="1">
      <c r="A244" s="253"/>
      <c r="B244" s="245"/>
      <c r="C244" s="250"/>
      <c r="D244" s="132"/>
      <c r="E244" s="133"/>
      <c r="F244" s="128" t="s">
        <v>1253</v>
      </c>
      <c r="G244" s="126"/>
      <c r="H244" s="127">
        <v>0.33333333333333298</v>
      </c>
      <c r="I244" s="109">
        <f t="shared" si="4"/>
        <v>1</v>
      </c>
      <c r="J244" s="134">
        <v>0.9</v>
      </c>
      <c r="K244" s="133"/>
      <c r="L244" s="136"/>
    </row>
    <row r="245" spans="1:12" ht="14.4" customHeight="1">
      <c r="A245" s="253"/>
      <c r="B245" s="251">
        <v>45956</v>
      </c>
      <c r="C245" s="248" t="s">
        <v>1198</v>
      </c>
      <c r="D245" s="132"/>
      <c r="E245" s="158"/>
      <c r="F245" s="125" t="s">
        <v>1251</v>
      </c>
      <c r="G245" s="126"/>
      <c r="H245" s="127">
        <v>0.33333333333333298</v>
      </c>
      <c r="I245" s="109">
        <f t="shared" si="4"/>
        <v>1</v>
      </c>
      <c r="J245" s="134">
        <v>0.9</v>
      </c>
      <c r="K245" s="135"/>
      <c r="L245" s="137"/>
    </row>
    <row r="246" spans="1:12" ht="14.4" customHeight="1">
      <c r="A246" s="253"/>
      <c r="B246" s="244"/>
      <c r="C246" s="249"/>
      <c r="D246" s="132"/>
      <c r="E246" s="158"/>
      <c r="F246" s="129" t="s">
        <v>1252</v>
      </c>
      <c r="G246" s="126"/>
      <c r="H246" s="127">
        <v>0.33333333333333298</v>
      </c>
      <c r="I246" s="109">
        <f t="shared" si="4"/>
        <v>1</v>
      </c>
      <c r="J246" s="134">
        <v>0.9</v>
      </c>
      <c r="K246" s="135"/>
      <c r="L246" s="136"/>
    </row>
    <row r="247" spans="1:12" ht="14.4" customHeight="1">
      <c r="A247" s="253"/>
      <c r="B247" s="244"/>
      <c r="C247" s="250"/>
      <c r="D247" s="132"/>
      <c r="E247" s="133"/>
      <c r="F247" s="128" t="s">
        <v>1253</v>
      </c>
      <c r="G247" s="126"/>
      <c r="H247" s="127">
        <v>0.33333333333333298</v>
      </c>
      <c r="I247" s="109">
        <f t="shared" si="4"/>
        <v>1</v>
      </c>
      <c r="J247" s="134">
        <v>0.9</v>
      </c>
      <c r="K247" s="133"/>
      <c r="L247" s="136"/>
    </row>
    <row r="248" spans="1:12" ht="14.4" customHeight="1">
      <c r="A248" s="253"/>
      <c r="B248" s="244"/>
      <c r="C248" s="243" t="s">
        <v>1196</v>
      </c>
      <c r="D248" s="78"/>
      <c r="E248" s="159"/>
      <c r="F248" s="111" t="s">
        <v>1251</v>
      </c>
      <c r="G248" s="107"/>
      <c r="H248" s="108">
        <v>0.33333333333333298</v>
      </c>
      <c r="I248" s="109">
        <f t="shared" si="4"/>
        <v>1</v>
      </c>
      <c r="J248" s="109">
        <v>0.9</v>
      </c>
      <c r="K248" s="82"/>
      <c r="L248" s="112"/>
    </row>
    <row r="249" spans="1:12" ht="14.4" customHeight="1">
      <c r="A249" s="253"/>
      <c r="B249" s="244"/>
      <c r="C249" s="244"/>
      <c r="D249" s="78"/>
      <c r="E249" s="159"/>
      <c r="F249" s="106" t="s">
        <v>1252</v>
      </c>
      <c r="G249" s="107"/>
      <c r="H249" s="108">
        <v>0.33333333333333298</v>
      </c>
      <c r="I249" s="109">
        <f t="shared" si="4"/>
        <v>1</v>
      </c>
      <c r="J249" s="109">
        <v>0.9</v>
      </c>
      <c r="K249" s="82"/>
      <c r="L249" s="82"/>
    </row>
    <row r="250" spans="1:12" ht="14.4" customHeight="1">
      <c r="A250" s="253"/>
      <c r="B250" s="244"/>
      <c r="C250" s="245"/>
      <c r="D250" s="78"/>
      <c r="E250" s="113"/>
      <c r="F250" s="114" t="s">
        <v>1253</v>
      </c>
      <c r="G250" s="107"/>
      <c r="H250" s="108">
        <v>0.33333333333333298</v>
      </c>
      <c r="I250" s="109">
        <f t="shared" si="4"/>
        <v>1</v>
      </c>
      <c r="J250" s="109">
        <v>0.9</v>
      </c>
      <c r="K250" s="82"/>
      <c r="L250" s="82"/>
    </row>
    <row r="251" spans="1:12" ht="14.4" customHeight="1">
      <c r="A251" s="253"/>
      <c r="B251" s="244"/>
      <c r="C251" s="248" t="s">
        <v>1197</v>
      </c>
      <c r="D251" s="132"/>
      <c r="E251" s="158"/>
      <c r="F251" s="125" t="s">
        <v>1251</v>
      </c>
      <c r="G251" s="126"/>
      <c r="H251" s="127">
        <v>0.33333333333333298</v>
      </c>
      <c r="I251" s="109">
        <f t="shared" si="4"/>
        <v>1</v>
      </c>
      <c r="J251" s="134">
        <v>0.9</v>
      </c>
      <c r="K251" s="133"/>
      <c r="L251" s="137"/>
    </row>
    <row r="252" spans="1:12" ht="14.4" customHeight="1">
      <c r="A252" s="253"/>
      <c r="B252" s="244"/>
      <c r="C252" s="249"/>
      <c r="D252" s="132"/>
      <c r="E252" s="158"/>
      <c r="F252" s="129" t="s">
        <v>1252</v>
      </c>
      <c r="G252" s="126"/>
      <c r="H252" s="127">
        <v>0.33333333333333298</v>
      </c>
      <c r="I252" s="109">
        <f t="shared" si="4"/>
        <v>1</v>
      </c>
      <c r="J252" s="134">
        <v>0.9</v>
      </c>
      <c r="K252" s="135"/>
      <c r="L252" s="136"/>
    </row>
    <row r="253" spans="1:12" ht="14.4" customHeight="1">
      <c r="A253" s="253"/>
      <c r="B253" s="245"/>
      <c r="C253" s="250"/>
      <c r="D253" s="132"/>
      <c r="E253" s="133"/>
      <c r="F253" s="128" t="s">
        <v>1253</v>
      </c>
      <c r="G253" s="126"/>
      <c r="H253" s="127">
        <v>0.33333333333333298</v>
      </c>
      <c r="I253" s="109">
        <f t="shared" si="4"/>
        <v>1</v>
      </c>
      <c r="J253" s="134">
        <v>0.9</v>
      </c>
      <c r="K253" s="133"/>
      <c r="L253" s="136"/>
    </row>
    <row r="254" spans="1:12" ht="14.4" customHeight="1">
      <c r="A254" s="253"/>
      <c r="B254" s="117"/>
      <c r="C254" s="117"/>
      <c r="D254" s="118"/>
      <c r="E254" s="118"/>
      <c r="F254" s="119" t="s">
        <v>1251</v>
      </c>
      <c r="G254" s="124"/>
      <c r="H254" s="124"/>
      <c r="I254" s="120">
        <f>AVERAGEIF(F191:F253,F254,I191:I253)</f>
        <v>0.98412698412698418</v>
      </c>
      <c r="J254" s="121">
        <v>0.9</v>
      </c>
      <c r="K254" s="118"/>
      <c r="L254" s="116"/>
    </row>
    <row r="255" spans="1:12" ht="14.4" customHeight="1">
      <c r="A255" s="253"/>
      <c r="B255" s="117"/>
      <c r="C255" s="117"/>
      <c r="D255" s="118"/>
      <c r="E255" s="118"/>
      <c r="F255" s="119" t="s">
        <v>1252</v>
      </c>
      <c r="G255" s="124"/>
      <c r="H255" s="124"/>
      <c r="I255" s="120">
        <f>AVERAGEIF(F191:F253,F255,I191:I253)</f>
        <v>0.97023809523809523</v>
      </c>
      <c r="J255" s="121">
        <v>0.9</v>
      </c>
      <c r="K255" s="118"/>
      <c r="L255" s="116"/>
    </row>
    <row r="256" spans="1:12" ht="15" customHeight="1" thickBot="1">
      <c r="A256" s="253"/>
      <c r="B256" s="117"/>
      <c r="C256" s="117"/>
      <c r="D256" s="118"/>
      <c r="E256" s="118"/>
      <c r="F256" s="119" t="s">
        <v>1253</v>
      </c>
      <c r="G256" s="124"/>
      <c r="H256" s="124"/>
      <c r="I256" s="120">
        <f>AVERAGEIF(F191:F253,F256,I191:I253)</f>
        <v>1</v>
      </c>
      <c r="J256" s="121">
        <v>0.9</v>
      </c>
      <c r="K256" s="118"/>
      <c r="L256" s="116"/>
    </row>
    <row r="257" spans="1:12">
      <c r="A257" s="252" t="s">
        <v>1544</v>
      </c>
      <c r="B257" s="251">
        <v>45957</v>
      </c>
      <c r="C257" s="243" t="s">
        <v>1198</v>
      </c>
      <c r="D257" s="110" t="s">
        <v>1201</v>
      </c>
      <c r="E257" s="156"/>
      <c r="F257" s="111" t="s">
        <v>1251</v>
      </c>
      <c r="G257" s="107"/>
      <c r="H257" s="108">
        <v>0.33333333333333331</v>
      </c>
      <c r="I257" s="109">
        <f>1-(G257/H257)</f>
        <v>1</v>
      </c>
      <c r="J257" s="109">
        <v>0.9</v>
      </c>
      <c r="K257" s="82"/>
      <c r="L257" s="82"/>
    </row>
    <row r="258" spans="1:12">
      <c r="A258" s="253"/>
      <c r="B258" s="244"/>
      <c r="C258" s="244"/>
      <c r="D258" s="110" t="s">
        <v>1201</v>
      </c>
      <c r="E258" s="156"/>
      <c r="F258" s="111" t="s">
        <v>1252</v>
      </c>
      <c r="G258" s="107"/>
      <c r="H258" s="108">
        <v>0.33333333333333331</v>
      </c>
      <c r="I258" s="109">
        <f>1-(G258/H258)</f>
        <v>1</v>
      </c>
      <c r="J258" s="109">
        <v>0.9</v>
      </c>
      <c r="K258" s="82"/>
      <c r="L258" s="82"/>
    </row>
    <row r="259" spans="1:12">
      <c r="A259" s="253"/>
      <c r="B259" s="244"/>
      <c r="C259" s="245"/>
      <c r="D259" s="110" t="s">
        <v>1201</v>
      </c>
      <c r="E259" s="157"/>
      <c r="F259" s="114" t="s">
        <v>1253</v>
      </c>
      <c r="G259" s="107"/>
      <c r="H259" s="108">
        <v>0.33333333333333298</v>
      </c>
      <c r="I259" s="109">
        <f t="shared" ref="I259:I292" si="5">1-(G259/H259)</f>
        <v>1</v>
      </c>
      <c r="J259" s="109">
        <v>0.9</v>
      </c>
      <c r="K259" s="82"/>
      <c r="L259" s="82"/>
    </row>
    <row r="260" spans="1:12">
      <c r="A260" s="253"/>
      <c r="B260" s="244"/>
      <c r="C260" s="248" t="s">
        <v>1196</v>
      </c>
      <c r="D260" s="132" t="s">
        <v>1191</v>
      </c>
      <c r="E260" s="158"/>
      <c r="F260" s="125" t="s">
        <v>1251</v>
      </c>
      <c r="G260" s="126"/>
      <c r="H260" s="127">
        <v>0.33333333333333298</v>
      </c>
      <c r="I260" s="109">
        <f t="shared" si="5"/>
        <v>1</v>
      </c>
      <c r="J260" s="134">
        <v>0.9</v>
      </c>
      <c r="K260" s="135"/>
      <c r="L260" s="136"/>
    </row>
    <row r="261" spans="1:12">
      <c r="A261" s="253"/>
      <c r="B261" s="244"/>
      <c r="C261" s="249"/>
      <c r="D261" s="132" t="s">
        <v>1191</v>
      </c>
      <c r="E261" s="158"/>
      <c r="F261" s="125" t="s">
        <v>1252</v>
      </c>
      <c r="G261" s="126"/>
      <c r="H261" s="127">
        <v>0.33333333333333298</v>
      </c>
      <c r="I261" s="109">
        <f t="shared" si="5"/>
        <v>1</v>
      </c>
      <c r="J261" s="134">
        <v>0.9</v>
      </c>
      <c r="K261" s="135"/>
      <c r="L261" s="136"/>
    </row>
    <row r="262" spans="1:12">
      <c r="A262" s="253"/>
      <c r="B262" s="244"/>
      <c r="C262" s="250"/>
      <c r="D262" s="132" t="s">
        <v>1191</v>
      </c>
      <c r="E262" s="133"/>
      <c r="F262" s="128" t="s">
        <v>1253</v>
      </c>
      <c r="G262" s="126"/>
      <c r="H262" s="127">
        <v>0.33333333333333298</v>
      </c>
      <c r="I262" s="109">
        <f t="shared" si="5"/>
        <v>1</v>
      </c>
      <c r="J262" s="134">
        <v>0.9</v>
      </c>
      <c r="K262" s="133"/>
      <c r="L262" s="136"/>
    </row>
    <row r="263" spans="1:12">
      <c r="A263" s="253"/>
      <c r="B263" s="244"/>
      <c r="C263" s="243" t="s">
        <v>1197</v>
      </c>
      <c r="D263" s="78" t="s">
        <v>1192</v>
      </c>
      <c r="E263" s="159"/>
      <c r="F263" s="111" t="s">
        <v>1251</v>
      </c>
      <c r="G263" s="107"/>
      <c r="H263" s="108">
        <v>0.33333333333333298</v>
      </c>
      <c r="I263" s="109">
        <f t="shared" si="5"/>
        <v>1</v>
      </c>
      <c r="J263" s="109">
        <v>0.9</v>
      </c>
      <c r="K263" s="82"/>
      <c r="L263" s="112"/>
    </row>
    <row r="264" spans="1:12">
      <c r="A264" s="253"/>
      <c r="B264" s="244"/>
      <c r="C264" s="244"/>
      <c r="D264" s="78" t="s">
        <v>1192</v>
      </c>
      <c r="E264" s="159"/>
      <c r="F264" s="111" t="s">
        <v>1252</v>
      </c>
      <c r="G264" s="107"/>
      <c r="H264" s="108">
        <v>0.33333333333333298</v>
      </c>
      <c r="I264" s="109">
        <f t="shared" si="5"/>
        <v>1</v>
      </c>
      <c r="J264" s="109">
        <v>0.9</v>
      </c>
      <c r="K264" s="82"/>
      <c r="L264" s="82"/>
    </row>
    <row r="265" spans="1:12" ht="15" thickBot="1">
      <c r="A265" s="253"/>
      <c r="B265" s="245"/>
      <c r="C265" s="245"/>
      <c r="D265" s="78" t="s">
        <v>1192</v>
      </c>
      <c r="E265" s="113"/>
      <c r="F265" s="114" t="s">
        <v>1253</v>
      </c>
      <c r="G265" s="107"/>
      <c r="H265" s="108">
        <v>0.33333333333333331</v>
      </c>
      <c r="I265" s="109">
        <f t="shared" si="5"/>
        <v>1</v>
      </c>
      <c r="J265" s="109">
        <v>0.9</v>
      </c>
      <c r="K265" s="82"/>
      <c r="L265" s="82"/>
    </row>
    <row r="266" spans="1:12">
      <c r="A266" s="253"/>
      <c r="B266" s="251">
        <v>45958</v>
      </c>
      <c r="C266" s="248" t="s">
        <v>1198</v>
      </c>
      <c r="D266" s="132" t="s">
        <v>1194</v>
      </c>
      <c r="E266" s="158"/>
      <c r="F266" s="125" t="s">
        <v>1251</v>
      </c>
      <c r="G266" s="126"/>
      <c r="H266" s="127">
        <v>0.33333333333333298</v>
      </c>
      <c r="I266" s="109">
        <f t="shared" si="5"/>
        <v>1</v>
      </c>
      <c r="J266" s="134">
        <v>0.9</v>
      </c>
      <c r="K266" s="135"/>
      <c r="L266" s="137"/>
    </row>
    <row r="267" spans="1:12">
      <c r="A267" s="253"/>
      <c r="B267" s="244"/>
      <c r="C267" s="249"/>
      <c r="D267" s="132" t="s">
        <v>1194</v>
      </c>
      <c r="E267" s="158"/>
      <c r="F267" s="125" t="s">
        <v>1252</v>
      </c>
      <c r="G267" s="126"/>
      <c r="H267" s="127">
        <v>0.33333333333333298</v>
      </c>
      <c r="I267" s="109">
        <f t="shared" si="5"/>
        <v>1</v>
      </c>
      <c r="J267" s="134">
        <v>0.9</v>
      </c>
      <c r="K267" s="135"/>
      <c r="L267" s="136"/>
    </row>
    <row r="268" spans="1:12">
      <c r="A268" s="253"/>
      <c r="B268" s="244"/>
      <c r="C268" s="250"/>
      <c r="D268" s="132" t="s">
        <v>1194</v>
      </c>
      <c r="E268" s="133"/>
      <c r="F268" s="128" t="s">
        <v>1253</v>
      </c>
      <c r="G268" s="126"/>
      <c r="H268" s="127">
        <v>0.33333333333333298</v>
      </c>
      <c r="I268" s="109">
        <f t="shared" si="5"/>
        <v>1</v>
      </c>
      <c r="J268" s="134">
        <v>0.9</v>
      </c>
      <c r="K268" s="133"/>
      <c r="L268" s="136"/>
    </row>
    <row r="269" spans="1:12">
      <c r="A269" s="253"/>
      <c r="B269" s="244"/>
      <c r="C269" s="243" t="s">
        <v>1196</v>
      </c>
      <c r="D269" s="78" t="s">
        <v>1193</v>
      </c>
      <c r="E269" s="159"/>
      <c r="F269" s="111" t="s">
        <v>1251</v>
      </c>
      <c r="G269" s="107"/>
      <c r="H269" s="108">
        <v>0.33333333333333298</v>
      </c>
      <c r="I269" s="109">
        <f t="shared" si="5"/>
        <v>1</v>
      </c>
      <c r="J269" s="109">
        <v>0.9</v>
      </c>
      <c r="K269" s="82"/>
      <c r="L269" s="112"/>
    </row>
    <row r="270" spans="1:12">
      <c r="A270" s="253"/>
      <c r="B270" s="244"/>
      <c r="C270" s="244"/>
      <c r="D270" s="78" t="s">
        <v>1193</v>
      </c>
      <c r="E270" s="159"/>
      <c r="F270" s="111" t="s">
        <v>1252</v>
      </c>
      <c r="G270" s="107"/>
      <c r="H270" s="108">
        <v>0.33333333333333298</v>
      </c>
      <c r="I270" s="109">
        <f t="shared" si="5"/>
        <v>1</v>
      </c>
      <c r="J270" s="109">
        <v>0.9</v>
      </c>
      <c r="K270" s="82"/>
      <c r="L270" s="82"/>
    </row>
    <row r="271" spans="1:12">
      <c r="A271" s="253"/>
      <c r="B271" s="244"/>
      <c r="C271" s="245"/>
      <c r="D271" s="78" t="s">
        <v>1193</v>
      </c>
      <c r="E271" s="113"/>
      <c r="F271" s="114" t="s">
        <v>1253</v>
      </c>
      <c r="G271" s="107"/>
      <c r="H271" s="108">
        <v>0.33333333333333298</v>
      </c>
      <c r="I271" s="109">
        <f t="shared" si="5"/>
        <v>1</v>
      </c>
      <c r="J271" s="109">
        <v>0.9</v>
      </c>
      <c r="K271" s="82"/>
      <c r="L271" s="82"/>
    </row>
    <row r="272" spans="1:12">
      <c r="A272" s="253"/>
      <c r="B272" s="244"/>
      <c r="C272" s="248" t="s">
        <v>1197</v>
      </c>
      <c r="D272" s="132" t="s">
        <v>1191</v>
      </c>
      <c r="E272" s="158"/>
      <c r="F272" s="125" t="s">
        <v>1251</v>
      </c>
      <c r="G272" s="126">
        <v>3.5416666666666666E-2</v>
      </c>
      <c r="H272" s="127">
        <v>0.33333333333333298</v>
      </c>
      <c r="I272" s="109">
        <f t="shared" si="5"/>
        <v>0.89374999999999993</v>
      </c>
      <c r="J272" s="134">
        <v>0.9</v>
      </c>
      <c r="K272" s="135"/>
      <c r="L272" s="137"/>
    </row>
    <row r="273" spans="1:12">
      <c r="A273" s="253"/>
      <c r="B273" s="244"/>
      <c r="C273" s="249"/>
      <c r="D273" s="132" t="s">
        <v>1191</v>
      </c>
      <c r="E273" s="158"/>
      <c r="F273" s="129" t="s">
        <v>1252</v>
      </c>
      <c r="G273" s="126"/>
      <c r="H273" s="127">
        <v>0.33333333333333298</v>
      </c>
      <c r="I273" s="109">
        <f t="shared" si="5"/>
        <v>1</v>
      </c>
      <c r="J273" s="134">
        <v>0.9</v>
      </c>
      <c r="K273" s="135"/>
      <c r="L273" s="136"/>
    </row>
    <row r="274" spans="1:12" ht="15" thickBot="1">
      <c r="A274" s="253"/>
      <c r="B274" s="245"/>
      <c r="C274" s="250"/>
      <c r="D274" s="132" t="s">
        <v>1191</v>
      </c>
      <c r="E274" s="133"/>
      <c r="F274" s="128" t="s">
        <v>1253</v>
      </c>
      <c r="G274" s="126"/>
      <c r="H274" s="131">
        <v>0.33333333333333298</v>
      </c>
      <c r="I274" s="115">
        <f t="shared" si="5"/>
        <v>1</v>
      </c>
      <c r="J274" s="134">
        <v>0.9</v>
      </c>
      <c r="K274" s="133"/>
      <c r="L274" s="136"/>
    </row>
    <row r="275" spans="1:12">
      <c r="A275" s="253"/>
      <c r="B275" s="251">
        <v>45959</v>
      </c>
      <c r="C275" s="243" t="s">
        <v>1198</v>
      </c>
      <c r="D275" s="78" t="s">
        <v>1194</v>
      </c>
      <c r="E275" s="159"/>
      <c r="F275" s="111" t="s">
        <v>1251</v>
      </c>
      <c r="G275" s="107"/>
      <c r="H275" s="108">
        <v>0.33333333333333331</v>
      </c>
      <c r="I275" s="109">
        <f t="shared" si="5"/>
        <v>1</v>
      </c>
      <c r="J275" s="109">
        <v>0.9</v>
      </c>
      <c r="K275" s="82"/>
      <c r="L275" s="112"/>
    </row>
    <row r="276" spans="1:12">
      <c r="A276" s="253"/>
      <c r="B276" s="244"/>
      <c r="C276" s="244"/>
      <c r="D276" s="78" t="s">
        <v>1194</v>
      </c>
      <c r="E276" s="159"/>
      <c r="F276" s="106" t="s">
        <v>1252</v>
      </c>
      <c r="G276" s="107"/>
      <c r="H276" s="108">
        <v>0.33333333333333298</v>
      </c>
      <c r="I276" s="109">
        <f t="shared" si="5"/>
        <v>1</v>
      </c>
      <c r="J276" s="109">
        <v>0.9</v>
      </c>
      <c r="K276" s="82"/>
      <c r="L276" s="82"/>
    </row>
    <row r="277" spans="1:12">
      <c r="A277" s="253"/>
      <c r="B277" s="244"/>
      <c r="C277" s="245"/>
      <c r="D277" s="78" t="s">
        <v>1194</v>
      </c>
      <c r="E277" s="113"/>
      <c r="F277" s="114" t="s">
        <v>1253</v>
      </c>
      <c r="G277" s="107"/>
      <c r="H277" s="108">
        <v>0.33333333333333298</v>
      </c>
      <c r="I277" s="109">
        <f t="shared" si="5"/>
        <v>1</v>
      </c>
      <c r="J277" s="109">
        <v>0.9</v>
      </c>
      <c r="K277" s="82"/>
      <c r="L277" s="82"/>
    </row>
    <row r="278" spans="1:12">
      <c r="A278" s="253"/>
      <c r="B278" s="244"/>
      <c r="C278" s="248" t="s">
        <v>1196</v>
      </c>
      <c r="D278" s="132" t="s">
        <v>1193</v>
      </c>
      <c r="E278" s="158"/>
      <c r="F278" s="125" t="s">
        <v>1251</v>
      </c>
      <c r="G278" s="126">
        <v>2.7777777777777776E-2</v>
      </c>
      <c r="H278" s="127">
        <v>0.33333333333333298</v>
      </c>
      <c r="I278" s="109">
        <f t="shared" si="5"/>
        <v>0.91666666666666663</v>
      </c>
      <c r="J278" s="134">
        <v>0.9</v>
      </c>
      <c r="K278" s="135" t="s">
        <v>1549</v>
      </c>
      <c r="L278" s="137"/>
    </row>
    <row r="279" spans="1:12">
      <c r="A279" s="253"/>
      <c r="B279" s="244"/>
      <c r="C279" s="249"/>
      <c r="D279" s="132" t="s">
        <v>1193</v>
      </c>
      <c r="E279" s="158"/>
      <c r="F279" s="129" t="s">
        <v>1252</v>
      </c>
      <c r="G279" s="126">
        <v>2.7777777777777776E-2</v>
      </c>
      <c r="H279" s="127">
        <v>0.33333333333333298</v>
      </c>
      <c r="I279" s="109">
        <f t="shared" si="5"/>
        <v>0.91666666666666663</v>
      </c>
      <c r="J279" s="134">
        <v>0.9</v>
      </c>
      <c r="K279" s="135" t="s">
        <v>1549</v>
      </c>
      <c r="L279" s="136"/>
    </row>
    <row r="280" spans="1:12">
      <c r="A280" s="253"/>
      <c r="B280" s="244"/>
      <c r="C280" s="250"/>
      <c r="D280" s="132" t="s">
        <v>1193</v>
      </c>
      <c r="E280" s="133"/>
      <c r="F280" s="128" t="s">
        <v>1253</v>
      </c>
      <c r="G280" s="126">
        <v>2.7777777777777776E-2</v>
      </c>
      <c r="H280" s="127">
        <v>0.33333333333333298</v>
      </c>
      <c r="I280" s="109">
        <f t="shared" si="5"/>
        <v>0.91666666666666663</v>
      </c>
      <c r="J280" s="134">
        <v>0.9</v>
      </c>
      <c r="K280" s="135" t="s">
        <v>1549</v>
      </c>
      <c r="L280" s="136"/>
    </row>
    <row r="281" spans="1:12">
      <c r="A281" s="253"/>
      <c r="B281" s="244"/>
      <c r="C281" s="243" t="s">
        <v>1197</v>
      </c>
      <c r="D281" s="78" t="s">
        <v>1191</v>
      </c>
      <c r="E281" s="159"/>
      <c r="F281" s="111" t="s">
        <v>1251</v>
      </c>
      <c r="G281" s="107"/>
      <c r="H281" s="108">
        <v>0.33333333333333298</v>
      </c>
      <c r="I281" s="109">
        <f t="shared" si="5"/>
        <v>1</v>
      </c>
      <c r="J281" s="109">
        <v>0.9</v>
      </c>
      <c r="K281" s="82"/>
      <c r="L281" s="112"/>
    </row>
    <row r="282" spans="1:12">
      <c r="A282" s="253"/>
      <c r="B282" s="244"/>
      <c r="C282" s="244"/>
      <c r="D282" s="78" t="s">
        <v>1191</v>
      </c>
      <c r="E282" s="159"/>
      <c r="F282" s="106" t="s">
        <v>1252</v>
      </c>
      <c r="G282" s="107"/>
      <c r="H282" s="108">
        <v>0.33333333333333298</v>
      </c>
      <c r="I282" s="109">
        <f t="shared" si="5"/>
        <v>1</v>
      </c>
      <c r="J282" s="109">
        <v>0.9</v>
      </c>
      <c r="K282" s="82"/>
      <c r="L282" s="82"/>
    </row>
    <row r="283" spans="1:12" ht="15" thickBot="1">
      <c r="A283" s="253"/>
      <c r="B283" s="245"/>
      <c r="C283" s="245"/>
      <c r="D283" s="78" t="s">
        <v>1191</v>
      </c>
      <c r="E283" s="113"/>
      <c r="F283" s="114" t="s">
        <v>1253</v>
      </c>
      <c r="G283" s="107"/>
      <c r="H283" s="108">
        <v>0.33333333333333298</v>
      </c>
      <c r="I283" s="109">
        <f t="shared" si="5"/>
        <v>1</v>
      </c>
      <c r="J283" s="109">
        <v>0.9</v>
      </c>
      <c r="K283" s="82"/>
      <c r="L283" s="82"/>
    </row>
    <row r="284" spans="1:12">
      <c r="A284" s="253"/>
      <c r="B284" s="251">
        <v>45960</v>
      </c>
      <c r="C284" s="248" t="s">
        <v>1198</v>
      </c>
      <c r="D284" s="132" t="s">
        <v>1192</v>
      </c>
      <c r="E284" s="158"/>
      <c r="F284" s="125" t="s">
        <v>1251</v>
      </c>
      <c r="G284" s="126"/>
      <c r="H284" s="127">
        <v>0.33333333333333331</v>
      </c>
      <c r="I284" s="109">
        <f t="shared" si="5"/>
        <v>1</v>
      </c>
      <c r="J284" s="134">
        <v>0.9</v>
      </c>
      <c r="K284" s="135"/>
      <c r="L284" s="137"/>
    </row>
    <row r="285" spans="1:12">
      <c r="A285" s="253"/>
      <c r="B285" s="244"/>
      <c r="C285" s="249"/>
      <c r="D285" s="132" t="s">
        <v>1192</v>
      </c>
      <c r="E285" s="158"/>
      <c r="F285" s="129" t="s">
        <v>1252</v>
      </c>
      <c r="G285" s="127">
        <v>4.8611111111111112E-2</v>
      </c>
      <c r="H285" s="127">
        <v>0.33333333333333298</v>
      </c>
      <c r="I285" s="109">
        <f t="shared" si="5"/>
        <v>0.85416666666666652</v>
      </c>
      <c r="J285" s="134">
        <v>0.9</v>
      </c>
      <c r="K285" s="135" t="s">
        <v>1307</v>
      </c>
      <c r="L285" s="136"/>
    </row>
    <row r="286" spans="1:12">
      <c r="A286" s="253"/>
      <c r="B286" s="244"/>
      <c r="C286" s="250"/>
      <c r="D286" s="132" t="s">
        <v>1192</v>
      </c>
      <c r="E286" s="133"/>
      <c r="F286" s="128" t="s">
        <v>1253</v>
      </c>
      <c r="G286" s="126"/>
      <c r="H286" s="127">
        <v>0.33333333333333298</v>
      </c>
      <c r="I286" s="109">
        <f t="shared" si="5"/>
        <v>1</v>
      </c>
      <c r="J286" s="134">
        <v>0.9</v>
      </c>
      <c r="K286" s="135"/>
      <c r="L286" s="136"/>
    </row>
    <row r="287" spans="1:12">
      <c r="A287" s="253"/>
      <c r="B287" s="244"/>
      <c r="C287" s="243" t="s">
        <v>1196</v>
      </c>
      <c r="D287" s="78" t="s">
        <v>1194</v>
      </c>
      <c r="E287" s="159"/>
      <c r="F287" s="111" t="s">
        <v>1251</v>
      </c>
      <c r="G287" s="107"/>
      <c r="H287" s="108">
        <v>0.33333333333333298</v>
      </c>
      <c r="I287" s="109">
        <f t="shared" si="5"/>
        <v>1</v>
      </c>
      <c r="J287" s="109">
        <v>0.9</v>
      </c>
      <c r="K287" s="82"/>
      <c r="L287" s="112"/>
    </row>
    <row r="288" spans="1:12">
      <c r="A288" s="253"/>
      <c r="B288" s="244"/>
      <c r="C288" s="244"/>
      <c r="D288" s="78" t="s">
        <v>1194</v>
      </c>
      <c r="E288" s="159"/>
      <c r="F288" s="106" t="s">
        <v>1252</v>
      </c>
      <c r="G288" s="107"/>
      <c r="H288" s="108">
        <v>0.33333333333333298</v>
      </c>
      <c r="I288" s="109">
        <f t="shared" si="5"/>
        <v>1</v>
      </c>
      <c r="J288" s="109">
        <v>0.9</v>
      </c>
      <c r="K288" s="82"/>
      <c r="L288" s="82"/>
    </row>
    <row r="289" spans="1:12">
      <c r="A289" s="253"/>
      <c r="B289" s="244"/>
      <c r="C289" s="245"/>
      <c r="D289" s="78" t="s">
        <v>1194</v>
      </c>
      <c r="E289" s="113"/>
      <c r="F289" s="114" t="s">
        <v>1253</v>
      </c>
      <c r="G289" s="107"/>
      <c r="H289" s="108">
        <v>0.33333333333333298</v>
      </c>
      <c r="I289" s="109">
        <f t="shared" si="5"/>
        <v>1</v>
      </c>
      <c r="J289" s="109">
        <v>0.9</v>
      </c>
      <c r="K289" s="82"/>
      <c r="L289" s="82"/>
    </row>
    <row r="290" spans="1:12">
      <c r="A290" s="253"/>
      <c r="B290" s="244"/>
      <c r="C290" s="248" t="s">
        <v>1197</v>
      </c>
      <c r="D290" s="132" t="s">
        <v>1193</v>
      </c>
      <c r="E290" s="158"/>
      <c r="F290" s="125" t="s">
        <v>1251</v>
      </c>
      <c r="G290" s="126"/>
      <c r="H290" s="127">
        <v>0.33333333333333298</v>
      </c>
      <c r="I290" s="109">
        <f t="shared" si="5"/>
        <v>1</v>
      </c>
      <c r="J290" s="134">
        <v>0.9</v>
      </c>
      <c r="K290" s="133"/>
      <c r="L290" s="137"/>
    </row>
    <row r="291" spans="1:12">
      <c r="A291" s="253"/>
      <c r="B291" s="244"/>
      <c r="C291" s="249"/>
      <c r="D291" s="132" t="s">
        <v>1193</v>
      </c>
      <c r="E291" s="158"/>
      <c r="F291" s="129" t="s">
        <v>1252</v>
      </c>
      <c r="G291" s="126"/>
      <c r="H291" s="127">
        <v>0.33333333333333298</v>
      </c>
      <c r="I291" s="109">
        <f t="shared" si="5"/>
        <v>1</v>
      </c>
      <c r="J291" s="134">
        <v>0.9</v>
      </c>
      <c r="K291" s="135"/>
      <c r="L291" s="136"/>
    </row>
    <row r="292" spans="1:12" ht="15" thickBot="1">
      <c r="A292" s="253"/>
      <c r="B292" s="245"/>
      <c r="C292" s="250"/>
      <c r="D292" s="132" t="s">
        <v>1193</v>
      </c>
      <c r="E292" s="133"/>
      <c r="F292" s="128" t="s">
        <v>1253</v>
      </c>
      <c r="G292" s="126"/>
      <c r="H292" s="127">
        <v>0.33333333333333298</v>
      </c>
      <c r="I292" s="109">
        <f t="shared" si="5"/>
        <v>1</v>
      </c>
      <c r="J292" s="134">
        <v>0.9</v>
      </c>
      <c r="K292" s="133"/>
      <c r="L292" s="136"/>
    </row>
    <row r="293" spans="1:12">
      <c r="A293" s="253"/>
      <c r="B293" s="251">
        <v>45961</v>
      </c>
      <c r="C293" s="248" t="s">
        <v>1198</v>
      </c>
      <c r="D293" s="132" t="s">
        <v>1192</v>
      </c>
      <c r="E293" s="158"/>
      <c r="F293" s="125" t="s">
        <v>1251</v>
      </c>
      <c r="G293" s="126"/>
      <c r="H293" s="127">
        <v>0.33333333333333331</v>
      </c>
      <c r="I293" s="109">
        <f t="shared" ref="I293:I301" si="6">1-(G293/H293)</f>
        <v>1</v>
      </c>
      <c r="J293" s="134">
        <v>0.9</v>
      </c>
      <c r="K293" s="135"/>
      <c r="L293" s="137"/>
    </row>
    <row r="294" spans="1:12">
      <c r="A294" s="253"/>
      <c r="B294" s="244"/>
      <c r="C294" s="249"/>
      <c r="D294" s="132" t="s">
        <v>1192</v>
      </c>
      <c r="E294" s="158"/>
      <c r="F294" s="129" t="s">
        <v>1252</v>
      </c>
      <c r="G294" s="126"/>
      <c r="H294" s="127">
        <v>0.33333333333333298</v>
      </c>
      <c r="I294" s="109">
        <f t="shared" si="6"/>
        <v>1</v>
      </c>
      <c r="J294" s="134">
        <v>0.9</v>
      </c>
      <c r="K294" s="135"/>
      <c r="L294" s="136"/>
    </row>
    <row r="295" spans="1:12">
      <c r="A295" s="253"/>
      <c r="B295" s="244"/>
      <c r="C295" s="250"/>
      <c r="D295" s="132" t="s">
        <v>1192</v>
      </c>
      <c r="E295" s="133"/>
      <c r="F295" s="128" t="s">
        <v>1253</v>
      </c>
      <c r="G295" s="126"/>
      <c r="H295" s="127">
        <v>0.33333333333333298</v>
      </c>
      <c r="I295" s="109">
        <f t="shared" si="6"/>
        <v>1</v>
      </c>
      <c r="J295" s="134">
        <v>0.9</v>
      </c>
      <c r="K295" s="135"/>
      <c r="L295" s="136"/>
    </row>
    <row r="296" spans="1:12">
      <c r="A296" s="253"/>
      <c r="B296" s="244"/>
      <c r="C296" s="243" t="s">
        <v>1196</v>
      </c>
      <c r="D296" s="78" t="s">
        <v>1194</v>
      </c>
      <c r="E296" s="159"/>
      <c r="F296" s="111" t="s">
        <v>1251</v>
      </c>
      <c r="G296" s="107"/>
      <c r="H296" s="108">
        <v>0.33333333333333298</v>
      </c>
      <c r="I296" s="109">
        <f t="shared" si="6"/>
        <v>1</v>
      </c>
      <c r="J296" s="109">
        <v>0.9</v>
      </c>
      <c r="K296" s="82"/>
      <c r="L296" s="112"/>
    </row>
    <row r="297" spans="1:12">
      <c r="A297" s="253"/>
      <c r="B297" s="244"/>
      <c r="C297" s="244"/>
      <c r="D297" s="78" t="s">
        <v>1194</v>
      </c>
      <c r="E297" s="159"/>
      <c r="F297" s="106" t="s">
        <v>1252</v>
      </c>
      <c r="G297" s="107"/>
      <c r="H297" s="108">
        <v>0.33333333333333298</v>
      </c>
      <c r="I297" s="109">
        <f t="shared" si="6"/>
        <v>1</v>
      </c>
      <c r="J297" s="109">
        <v>0.9</v>
      </c>
      <c r="K297" s="82"/>
      <c r="L297" s="82"/>
    </row>
    <row r="298" spans="1:12">
      <c r="A298" s="253"/>
      <c r="B298" s="244"/>
      <c r="C298" s="245"/>
      <c r="D298" s="78" t="s">
        <v>1194</v>
      </c>
      <c r="E298" s="113"/>
      <c r="F298" s="114" t="s">
        <v>1253</v>
      </c>
      <c r="G298" s="107"/>
      <c r="H298" s="108">
        <v>0.33333333333333298</v>
      </c>
      <c r="I298" s="109">
        <f t="shared" si="6"/>
        <v>1</v>
      </c>
      <c r="J298" s="109">
        <v>0.9</v>
      </c>
      <c r="K298" s="82"/>
      <c r="L298" s="82"/>
    </row>
    <row r="299" spans="1:12">
      <c r="A299" s="253"/>
      <c r="B299" s="244"/>
      <c r="C299" s="248" t="s">
        <v>1197</v>
      </c>
      <c r="D299" s="132" t="s">
        <v>1193</v>
      </c>
      <c r="E299" s="158"/>
      <c r="F299" s="125" t="s">
        <v>1251</v>
      </c>
      <c r="G299" s="127">
        <v>3.125E-2</v>
      </c>
      <c r="H299" s="127">
        <v>0.33333333333333298</v>
      </c>
      <c r="I299" s="109">
        <f t="shared" si="6"/>
        <v>0.90624999999999989</v>
      </c>
      <c r="J299" s="134">
        <v>0.9</v>
      </c>
      <c r="K299" s="133" t="s">
        <v>1326</v>
      </c>
      <c r="L299" s="137"/>
    </row>
    <row r="300" spans="1:12">
      <c r="A300" s="253"/>
      <c r="B300" s="244"/>
      <c r="C300" s="249"/>
      <c r="D300" s="132" t="s">
        <v>1193</v>
      </c>
      <c r="E300" s="158"/>
      <c r="F300" s="129" t="s">
        <v>1252</v>
      </c>
      <c r="G300" s="126"/>
      <c r="H300" s="127">
        <v>0.33333333333333298</v>
      </c>
      <c r="I300" s="109">
        <f t="shared" si="6"/>
        <v>1</v>
      </c>
      <c r="J300" s="134">
        <v>0.9</v>
      </c>
      <c r="K300" s="135"/>
      <c r="L300" s="136"/>
    </row>
    <row r="301" spans="1:12">
      <c r="A301" s="253"/>
      <c r="B301" s="245"/>
      <c r="C301" s="250"/>
      <c r="D301" s="132" t="s">
        <v>1193</v>
      </c>
      <c r="E301" s="133"/>
      <c r="F301" s="128" t="s">
        <v>1253</v>
      </c>
      <c r="G301" s="126"/>
      <c r="H301" s="127">
        <v>0.33333333333333298</v>
      </c>
      <c r="I301" s="109">
        <f t="shared" si="6"/>
        <v>1</v>
      </c>
      <c r="J301" s="134">
        <v>0.9</v>
      </c>
      <c r="K301" s="133"/>
      <c r="L301" s="136"/>
    </row>
    <row r="302" spans="1:12">
      <c r="A302" s="253"/>
      <c r="B302" s="117"/>
      <c r="C302" s="117"/>
      <c r="D302" s="118"/>
      <c r="E302" s="118"/>
      <c r="F302" s="119" t="s">
        <v>1251</v>
      </c>
      <c r="G302" s="124"/>
      <c r="H302" s="124"/>
      <c r="I302" s="120">
        <f>AVERAGEIF(F257:F292,F302,I257:I292)</f>
        <v>0.98420138888888886</v>
      </c>
      <c r="J302" s="121">
        <v>0.9</v>
      </c>
      <c r="K302" s="118"/>
      <c r="L302" s="116"/>
    </row>
    <row r="303" spans="1:12">
      <c r="A303" s="253"/>
      <c r="B303" s="117"/>
      <c r="C303" s="117"/>
      <c r="D303" s="118"/>
      <c r="E303" s="118"/>
      <c r="F303" s="119" t="s">
        <v>1252</v>
      </c>
      <c r="G303" s="124"/>
      <c r="H303" s="124"/>
      <c r="I303" s="120">
        <f>AVERAGEIF(F257:F292,F303,I257:I292)</f>
        <v>0.98090277777777779</v>
      </c>
      <c r="J303" s="121">
        <v>0.9</v>
      </c>
      <c r="K303" s="118"/>
      <c r="L303" s="116"/>
    </row>
    <row r="304" spans="1:12">
      <c r="A304" s="253"/>
      <c r="B304" s="117"/>
      <c r="C304" s="117"/>
      <c r="D304" s="118"/>
      <c r="E304" s="118"/>
      <c r="F304" s="119" t="s">
        <v>1253</v>
      </c>
      <c r="G304" s="124"/>
      <c r="H304" s="124"/>
      <c r="I304" s="120">
        <f>AVERAGEIF(F257:F292,F304,I257:I292)</f>
        <v>0.99305555555555569</v>
      </c>
      <c r="J304" s="121">
        <v>0.9</v>
      </c>
      <c r="K304" s="118"/>
      <c r="L304" s="116"/>
    </row>
  </sheetData>
  <mergeCells count="169">
    <mergeCell ref="C269:C271"/>
    <mergeCell ref="C272:C274"/>
    <mergeCell ref="B275:B283"/>
    <mergeCell ref="C275:C277"/>
    <mergeCell ref="C278:C280"/>
    <mergeCell ref="C281:C283"/>
    <mergeCell ref="B245:B253"/>
    <mergeCell ref="C245:C247"/>
    <mergeCell ref="C248:C250"/>
    <mergeCell ref="C251:C253"/>
    <mergeCell ref="A257:A304"/>
    <mergeCell ref="B257:B265"/>
    <mergeCell ref="C257:C259"/>
    <mergeCell ref="C260:C262"/>
    <mergeCell ref="C263:C265"/>
    <mergeCell ref="B266:B274"/>
    <mergeCell ref="A191:A256"/>
    <mergeCell ref="B191:B199"/>
    <mergeCell ref="C191:C193"/>
    <mergeCell ref="C194:C196"/>
    <mergeCell ref="C197:C199"/>
    <mergeCell ref="B200:B208"/>
    <mergeCell ref="C200:C202"/>
    <mergeCell ref="C203:C205"/>
    <mergeCell ref="C206:C208"/>
    <mergeCell ref="B284:B292"/>
    <mergeCell ref="C284:C286"/>
    <mergeCell ref="C287:C289"/>
    <mergeCell ref="C290:C292"/>
    <mergeCell ref="C266:C268"/>
    <mergeCell ref="B227:B235"/>
    <mergeCell ref="C227:C229"/>
    <mergeCell ref="C230:C232"/>
    <mergeCell ref="C233:C235"/>
    <mergeCell ref="B236:B244"/>
    <mergeCell ref="C236:C238"/>
    <mergeCell ref="C239:C241"/>
    <mergeCell ref="C242:C244"/>
    <mergeCell ref="C209:C211"/>
    <mergeCell ref="C212:C214"/>
    <mergeCell ref="C215:C217"/>
    <mergeCell ref="B218:B226"/>
    <mergeCell ref="C218:C220"/>
    <mergeCell ref="C221:C223"/>
    <mergeCell ref="C224:C226"/>
    <mergeCell ref="B209:B217"/>
    <mergeCell ref="B179:B187"/>
    <mergeCell ref="C179:C181"/>
    <mergeCell ref="C182:C184"/>
    <mergeCell ref="C185:C187"/>
    <mergeCell ref="B152:B160"/>
    <mergeCell ref="C152:C154"/>
    <mergeCell ref="C155:C157"/>
    <mergeCell ref="C158:C160"/>
    <mergeCell ref="B161:B169"/>
    <mergeCell ref="C161:C163"/>
    <mergeCell ref="C164:C166"/>
    <mergeCell ref="C167:C169"/>
    <mergeCell ref="C140:C142"/>
    <mergeCell ref="B143:B151"/>
    <mergeCell ref="C143:C145"/>
    <mergeCell ref="C146:C148"/>
    <mergeCell ref="C149:C151"/>
    <mergeCell ref="B113:B121"/>
    <mergeCell ref="C113:C115"/>
    <mergeCell ref="C116:C118"/>
    <mergeCell ref="B170:B178"/>
    <mergeCell ref="C170:C172"/>
    <mergeCell ref="C173:C175"/>
    <mergeCell ref="C176:C178"/>
    <mergeCell ref="C95:C97"/>
    <mergeCell ref="C98:C100"/>
    <mergeCell ref="C101:C103"/>
    <mergeCell ref="B104:B112"/>
    <mergeCell ref="C104:C106"/>
    <mergeCell ref="C107:C109"/>
    <mergeCell ref="C110:C112"/>
    <mergeCell ref="C134:C136"/>
    <mergeCell ref="C137:C139"/>
    <mergeCell ref="N43:N44"/>
    <mergeCell ref="B38:B46"/>
    <mergeCell ref="C77:C79"/>
    <mergeCell ref="C80:C82"/>
    <mergeCell ref="C83:C85"/>
    <mergeCell ref="B86:B94"/>
    <mergeCell ref="C86:C88"/>
    <mergeCell ref="C89:C91"/>
    <mergeCell ref="C92:C94"/>
    <mergeCell ref="B59:B67"/>
    <mergeCell ref="C59:C61"/>
    <mergeCell ref="C62:C64"/>
    <mergeCell ref="C65:C67"/>
    <mergeCell ref="B68:B76"/>
    <mergeCell ref="C68:C70"/>
    <mergeCell ref="C71:C73"/>
    <mergeCell ref="C74:C76"/>
    <mergeCell ref="B77:B85"/>
    <mergeCell ref="N22:N23"/>
    <mergeCell ref="O22:O23"/>
    <mergeCell ref="P22:P23"/>
    <mergeCell ref="Q22:Q23"/>
    <mergeCell ref="C23:C25"/>
    <mergeCell ref="P24:P27"/>
    <mergeCell ref="Q24:Q27"/>
    <mergeCell ref="C26:C28"/>
    <mergeCell ref="O43:O44"/>
    <mergeCell ref="P43:P44"/>
    <mergeCell ref="Q43:Q44"/>
    <mergeCell ref="C44:C46"/>
    <mergeCell ref="P45:P48"/>
    <mergeCell ref="Q45:Q48"/>
    <mergeCell ref="C35:C37"/>
    <mergeCell ref="N36:N37"/>
    <mergeCell ref="O36:O37"/>
    <mergeCell ref="P36:P37"/>
    <mergeCell ref="Q36:Q37"/>
    <mergeCell ref="C38:C40"/>
    <mergeCell ref="P38:P41"/>
    <mergeCell ref="Q38:Q41"/>
    <mergeCell ref="C41:C43"/>
    <mergeCell ref="C47:C49"/>
    <mergeCell ref="N15:N16"/>
    <mergeCell ref="O15:O16"/>
    <mergeCell ref="P15:P16"/>
    <mergeCell ref="Q15:Q16"/>
    <mergeCell ref="C17:C19"/>
    <mergeCell ref="P17:P19"/>
    <mergeCell ref="Q17:Q19"/>
    <mergeCell ref="A4:F4"/>
    <mergeCell ref="G4:J4"/>
    <mergeCell ref="K4:L4"/>
    <mergeCell ref="A11:A58"/>
    <mergeCell ref="B11:B19"/>
    <mergeCell ref="C11:C13"/>
    <mergeCell ref="C14:C16"/>
    <mergeCell ref="B20:B28"/>
    <mergeCell ref="C20:C22"/>
    <mergeCell ref="B29:B37"/>
    <mergeCell ref="C29:C31"/>
    <mergeCell ref="N29:N30"/>
    <mergeCell ref="O29:O30"/>
    <mergeCell ref="P29:P30"/>
    <mergeCell ref="Q29:Q30"/>
    <mergeCell ref="P31:P34"/>
    <mergeCell ref="Q31:Q34"/>
    <mergeCell ref="B293:B301"/>
    <mergeCell ref="C293:C295"/>
    <mergeCell ref="C296:C298"/>
    <mergeCell ref="C299:C301"/>
    <mergeCell ref="A1:F1"/>
    <mergeCell ref="G1:J1"/>
    <mergeCell ref="K1:L1"/>
    <mergeCell ref="A2:L2"/>
    <mergeCell ref="A3:F3"/>
    <mergeCell ref="G3:J3"/>
    <mergeCell ref="K3:L3"/>
    <mergeCell ref="C32:C34"/>
    <mergeCell ref="B47:B55"/>
    <mergeCell ref="C50:C52"/>
    <mergeCell ref="C53:C55"/>
    <mergeCell ref="A59:A124"/>
    <mergeCell ref="C119:C121"/>
    <mergeCell ref="A125:A190"/>
    <mergeCell ref="B125:B133"/>
    <mergeCell ref="C125:C127"/>
    <mergeCell ref="C128:C130"/>
    <mergeCell ref="C131:C133"/>
    <mergeCell ref="B134:B142"/>
    <mergeCell ref="B95:B103"/>
  </mergeCells>
  <phoneticPr fontId="13" type="noConversion"/>
  <conditionalFormatting sqref="F11:F55">
    <cfRule type="containsText" dxfId="42" priority="1" operator="containsText" text="P'SUP">
      <formula>NOT(ISERROR(SEARCH("P'SUP",F11)))</formula>
    </cfRule>
    <cfRule type="containsText" dxfId="41" priority="2" operator="containsText" text="P'NUT">
      <formula>NOT(ISERROR(SEARCH("P'NUT",F11)))</formula>
    </cfRule>
  </conditionalFormatting>
  <conditionalFormatting sqref="F11:F304">
    <cfRule type="containsText" dxfId="40" priority="3" operator="containsText" text="P'SUP">
      <formula>NOT(ISERROR(SEARCH("P'SUP",F11)))</formula>
    </cfRule>
  </conditionalFormatting>
  <conditionalFormatting sqref="F56:F304">
    <cfRule type="containsText" dxfId="39" priority="12" operator="containsText" text="P'NUT">
      <formula>NOT(ISERROR(SEARCH("P'NUT",F56)))</formula>
    </cfRule>
    <cfRule type="containsText" dxfId="38" priority="13" operator="containsText" text="P'SUP">
      <formula>NOT(ISERROR(SEARCH("P'SUP",F56)))</formula>
    </cfRule>
  </conditionalFormatting>
  <conditionalFormatting sqref="I11:I304">
    <cfRule type="cellIs" dxfId="37" priority="10" operator="greaterThan">
      <formula>0.85</formula>
    </cfRule>
    <cfRule type="cellIs" dxfId="36" priority="11" operator="lessThan">
      <formula>0.85</formula>
    </cfRule>
  </conditionalFormatting>
  <conditionalFormatting sqref="O25:O27">
    <cfRule type="cellIs" dxfId="35" priority="6" operator="lessThan">
      <formula>0.85</formula>
    </cfRule>
  </conditionalFormatting>
  <conditionalFormatting sqref="O17:P19">
    <cfRule type="cellIs" dxfId="34" priority="9" operator="lessThan">
      <formula>0.85</formula>
    </cfRule>
  </conditionalFormatting>
  <conditionalFormatting sqref="O24:P24">
    <cfRule type="cellIs" dxfId="33" priority="8" operator="lessThan">
      <formula>0.85</formula>
    </cfRule>
  </conditionalFormatting>
  <conditionalFormatting sqref="O31:P31 O32:O34">
    <cfRule type="cellIs" dxfId="32" priority="7" operator="lessThan">
      <formula>0.85</formula>
    </cfRule>
  </conditionalFormatting>
  <conditionalFormatting sqref="O38:P38 O39:O41">
    <cfRule type="cellIs" dxfId="31" priority="5" operator="lessThan">
      <formula>0.85</formula>
    </cfRule>
  </conditionalFormatting>
  <conditionalFormatting sqref="O45:P45 O46:O48">
    <cfRule type="cellIs" dxfId="30" priority="4" operator="lessThan">
      <formula>0.85</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C64EE5B6-034A-4202-A258-A38A8550EFC9}">
          <x14:formula1>
            <xm:f>n!$A$2:$A$6</xm:f>
          </x14:formula1>
          <xm:sqref>P31 P24 P38 P45</xm:sqref>
        </x14:dataValidation>
        <x14:dataValidation type="list" allowBlank="1" showInputMessage="1" showErrorMessage="1" xr:uid="{55C95BC3-80E3-41B8-9617-CDDFA655A60A}">
          <x14:formula1>
            <xm:f>n!$B$2:$B$4</xm:f>
          </x14:formula1>
          <xm:sqref>C11:C304</xm:sqref>
        </x14:dataValidation>
        <x14:dataValidation type="list" allowBlank="1" showInputMessage="1" showErrorMessage="1" xr:uid="{7651E0B1-8F66-4422-A465-63E2F57D39DA}">
          <x14:formula1>
            <xm:f>n!$A$1:$A$6</xm:f>
          </x14:formula1>
          <xm:sqref>D11:E304</xm:sqref>
        </x14:dataValidation>
        <x14:dataValidation type="list" allowBlank="1" showInputMessage="1" showErrorMessage="1" xr:uid="{FC9778E5-ABF2-4630-BE46-99584A6A53A1}">
          <x14:formula1>
            <xm:f>n!$A$8:$A$10</xm:f>
          </x14:formula1>
          <xm:sqref>F11:F304</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89AE1-8850-472C-8F46-859C9D6FB3A2}">
  <dimension ref="A1:Q295"/>
  <sheetViews>
    <sheetView topLeftCell="D23" zoomScale="70" zoomScaleNormal="70" workbookViewId="0">
      <selection activeCell="Q48" sqref="Q48:Q51"/>
    </sheetView>
  </sheetViews>
  <sheetFormatPr baseColWidth="10" defaultRowHeight="14.4"/>
  <cols>
    <col min="2" max="2" width="15.5546875" customWidth="1"/>
    <col min="3" max="3" width="13.21875" customWidth="1"/>
    <col min="4" max="4" width="14.88671875" customWidth="1"/>
    <col min="5" max="5" width="14.33203125" customWidth="1"/>
    <col min="7" max="7" width="14.21875" customWidth="1"/>
    <col min="9" max="10" width="14.5546875" customWidth="1"/>
    <col min="11" max="11" width="30.21875" customWidth="1"/>
    <col min="12" max="12" width="30.44140625" customWidth="1"/>
    <col min="14" max="14" width="14.44140625" customWidth="1"/>
    <col min="15" max="15" width="16.77734375" customWidth="1"/>
    <col min="16" max="16" width="15.21875" customWidth="1"/>
    <col min="17" max="17" width="58.5546875" customWidth="1"/>
  </cols>
  <sheetData>
    <row r="1" spans="1:17" ht="38.4" customHeight="1">
      <c r="A1" s="201"/>
      <c r="B1" s="201"/>
      <c r="C1" s="201"/>
      <c r="D1" s="201"/>
      <c r="E1" s="201"/>
      <c r="F1" s="201"/>
      <c r="G1" s="201"/>
      <c r="H1" s="201"/>
      <c r="I1" s="201"/>
      <c r="J1" s="201"/>
      <c r="K1" s="246" t="s">
        <v>1228</v>
      </c>
      <c r="L1" s="246"/>
    </row>
    <row r="2" spans="1:17" ht="26.4" customHeight="1">
      <c r="A2" s="210" t="s">
        <v>1227</v>
      </c>
      <c r="B2" s="210"/>
      <c r="C2" s="210"/>
      <c r="D2" s="210"/>
      <c r="E2" s="210"/>
      <c r="F2" s="210"/>
      <c r="G2" s="210"/>
      <c r="H2" s="210"/>
      <c r="I2" s="210"/>
      <c r="J2" s="210"/>
      <c r="K2" s="210"/>
      <c r="L2" s="210"/>
    </row>
    <row r="3" spans="1:17" ht="26.4" customHeight="1">
      <c r="A3" s="221" t="s">
        <v>1210</v>
      </c>
      <c r="B3" s="222"/>
      <c r="C3" s="222"/>
      <c r="D3" s="222"/>
      <c r="E3" s="222"/>
      <c r="F3" s="222"/>
      <c r="G3" s="221" t="s">
        <v>1209</v>
      </c>
      <c r="H3" s="222"/>
      <c r="I3" s="222"/>
      <c r="J3" s="222"/>
      <c r="K3" s="247" t="s">
        <v>1230</v>
      </c>
      <c r="L3" s="247"/>
      <c r="N3" s="67"/>
    </row>
    <row r="4" spans="1:17" ht="63" customHeight="1">
      <c r="A4" s="221" t="s">
        <v>1224</v>
      </c>
      <c r="B4" s="222"/>
      <c r="C4" s="222"/>
      <c r="D4" s="222"/>
      <c r="E4" s="222"/>
      <c r="F4" s="222"/>
      <c r="G4" s="221" t="s">
        <v>1225</v>
      </c>
      <c r="H4" s="222"/>
      <c r="I4" s="222"/>
      <c r="J4" s="222"/>
      <c r="K4" s="221" t="s">
        <v>1226</v>
      </c>
      <c r="L4" s="221"/>
    </row>
    <row r="5" spans="1:17" ht="14.4" customHeight="1"/>
    <row r="6" spans="1:17" hidden="1"/>
    <row r="7" spans="1:17" hidden="1"/>
    <row r="8" spans="1:17" hidden="1"/>
    <row r="9" spans="1:17" ht="24.6" customHeight="1" thickBot="1"/>
    <row r="10" spans="1:17" ht="36.6" customHeight="1" thickTop="1" thickBot="1">
      <c r="A10" s="139" t="s">
        <v>1190</v>
      </c>
      <c r="B10" s="140" t="s">
        <v>1258</v>
      </c>
      <c r="C10" s="141" t="s">
        <v>1257</v>
      </c>
      <c r="D10" s="141" t="s">
        <v>1250</v>
      </c>
      <c r="E10" s="141" t="s">
        <v>1285</v>
      </c>
      <c r="F10" s="141" t="s">
        <v>1246</v>
      </c>
      <c r="G10" s="142" t="s">
        <v>1259</v>
      </c>
      <c r="H10" s="143" t="s">
        <v>1248</v>
      </c>
      <c r="I10" s="143" t="s">
        <v>1249</v>
      </c>
      <c r="J10" s="143" t="s">
        <v>1254</v>
      </c>
      <c r="K10" s="144" t="s">
        <v>1247</v>
      </c>
      <c r="L10" s="145" t="s">
        <v>1255</v>
      </c>
    </row>
    <row r="11" spans="1:17" ht="14.4" customHeight="1">
      <c r="A11" s="252"/>
      <c r="B11" s="251">
        <v>45962</v>
      </c>
      <c r="C11" s="243" t="s">
        <v>1198</v>
      </c>
      <c r="D11" s="110" t="s">
        <v>1191</v>
      </c>
      <c r="E11" s="156"/>
      <c r="F11" s="111" t="s">
        <v>1251</v>
      </c>
      <c r="G11" s="107"/>
      <c r="H11" s="108">
        <v>0.33333333333333331</v>
      </c>
      <c r="I11" s="109">
        <f>1-(G11/H11)</f>
        <v>1</v>
      </c>
      <c r="J11" s="109">
        <v>0.9</v>
      </c>
      <c r="K11" s="82"/>
      <c r="L11" s="82"/>
    </row>
    <row r="12" spans="1:17" ht="14.4" customHeight="1">
      <c r="A12" s="253"/>
      <c r="B12" s="244"/>
      <c r="C12" s="244"/>
      <c r="D12" s="110" t="s">
        <v>1191</v>
      </c>
      <c r="E12" s="156"/>
      <c r="F12" s="111" t="s">
        <v>1252</v>
      </c>
      <c r="G12" s="107"/>
      <c r="H12" s="108">
        <v>0.33333333333333331</v>
      </c>
      <c r="I12" s="109">
        <f>1-(G12/H12)</f>
        <v>1</v>
      </c>
      <c r="J12" s="109">
        <v>0.9</v>
      </c>
      <c r="K12" s="82"/>
      <c r="L12" s="82"/>
    </row>
    <row r="13" spans="1:17" ht="14.4" customHeight="1">
      <c r="A13" s="253"/>
      <c r="B13" s="244"/>
      <c r="C13" s="245"/>
      <c r="D13" s="110" t="s">
        <v>1191</v>
      </c>
      <c r="E13" s="157"/>
      <c r="F13" s="114" t="s">
        <v>1253</v>
      </c>
      <c r="G13" s="107"/>
      <c r="H13" s="108">
        <v>0.33333333333333298</v>
      </c>
      <c r="I13" s="109">
        <f t="shared" ref="I13:I67" si="0">1-(G13/H13)</f>
        <v>1</v>
      </c>
      <c r="J13" s="109">
        <v>0.9</v>
      </c>
      <c r="K13" s="82"/>
      <c r="L13" s="82"/>
    </row>
    <row r="14" spans="1:17" ht="14.4" customHeight="1">
      <c r="A14" s="253"/>
      <c r="B14" s="244"/>
      <c r="C14" s="248" t="s">
        <v>1196</v>
      </c>
      <c r="D14" s="132" t="s">
        <v>1192</v>
      </c>
      <c r="E14" s="158"/>
      <c r="F14" s="125" t="s">
        <v>1251</v>
      </c>
      <c r="G14" s="126"/>
      <c r="H14" s="127">
        <v>0.33333333333333298</v>
      </c>
      <c r="I14" s="134">
        <f t="shared" si="0"/>
        <v>1</v>
      </c>
      <c r="J14" s="134">
        <v>0.9</v>
      </c>
      <c r="K14" s="135"/>
      <c r="L14" s="136"/>
    </row>
    <row r="15" spans="1:17" ht="14.4" customHeight="1">
      <c r="A15" s="253"/>
      <c r="B15" s="244"/>
      <c r="C15" s="249"/>
      <c r="D15" s="132" t="s">
        <v>1192</v>
      </c>
      <c r="E15" s="158"/>
      <c r="F15" s="125" t="s">
        <v>1252</v>
      </c>
      <c r="G15" s="126"/>
      <c r="H15" s="127">
        <v>0.33333333333333298</v>
      </c>
      <c r="I15" s="134">
        <f t="shared" si="0"/>
        <v>1</v>
      </c>
      <c r="J15" s="134">
        <v>0.9</v>
      </c>
      <c r="K15" s="135"/>
      <c r="L15" s="136"/>
      <c r="N15" s="255" t="s">
        <v>1287</v>
      </c>
      <c r="O15" s="255" t="s">
        <v>1288</v>
      </c>
      <c r="P15" s="255" t="s">
        <v>1289</v>
      </c>
      <c r="Q15" s="255" t="s">
        <v>1290</v>
      </c>
    </row>
    <row r="16" spans="1:17" ht="14.4" customHeight="1">
      <c r="A16" s="253"/>
      <c r="B16" s="244"/>
      <c r="C16" s="250"/>
      <c r="D16" s="132" t="s">
        <v>1192</v>
      </c>
      <c r="E16" s="133"/>
      <c r="F16" s="128" t="s">
        <v>1253</v>
      </c>
      <c r="G16" s="126"/>
      <c r="H16" s="127">
        <v>0.33333333333333298</v>
      </c>
      <c r="I16" s="134">
        <f t="shared" si="0"/>
        <v>1</v>
      </c>
      <c r="J16" s="134">
        <v>0.9</v>
      </c>
      <c r="K16" s="133"/>
      <c r="L16" s="136"/>
      <c r="N16" s="255"/>
      <c r="O16" s="255"/>
      <c r="P16" s="255"/>
      <c r="Q16" s="255"/>
    </row>
    <row r="17" spans="1:17" ht="14.4" customHeight="1">
      <c r="A17" s="253"/>
      <c r="B17" s="244"/>
      <c r="C17" s="243" t="s">
        <v>1197</v>
      </c>
      <c r="D17" s="78" t="s">
        <v>1194</v>
      </c>
      <c r="E17" s="159"/>
      <c r="F17" s="111" t="s">
        <v>1251</v>
      </c>
      <c r="G17" s="107"/>
      <c r="H17" s="108">
        <v>0.33333333333333298</v>
      </c>
      <c r="I17" s="109">
        <f t="shared" si="0"/>
        <v>1</v>
      </c>
      <c r="J17" s="109">
        <v>0.9</v>
      </c>
      <c r="K17" s="82"/>
      <c r="L17" s="112"/>
      <c r="N17" s="161" t="s">
        <v>1251</v>
      </c>
      <c r="O17" s="162">
        <f>(I29+I95+I161+I227+I293)/5</f>
        <v>0.87311507936507926</v>
      </c>
      <c r="P17" s="254">
        <f>(O17+O18+O19)/3</f>
        <v>0.8600066137566138</v>
      </c>
      <c r="Q17" s="256" t="s">
        <v>1609</v>
      </c>
    </row>
    <row r="18" spans="1:17" ht="14.4" customHeight="1">
      <c r="A18" s="253"/>
      <c r="B18" s="244"/>
      <c r="C18" s="244"/>
      <c r="D18" s="78" t="s">
        <v>1194</v>
      </c>
      <c r="E18" s="159"/>
      <c r="F18" s="111" t="s">
        <v>1252</v>
      </c>
      <c r="G18" s="107"/>
      <c r="H18" s="108">
        <v>0.33333333333333298</v>
      </c>
      <c r="I18" s="109">
        <f t="shared" si="0"/>
        <v>1</v>
      </c>
      <c r="J18" s="109">
        <v>0.9</v>
      </c>
      <c r="K18" s="82"/>
      <c r="L18" s="82"/>
      <c r="N18" s="161" t="s">
        <v>1252</v>
      </c>
      <c r="O18" s="162">
        <f>(I30+I96+I162+I228+I294)/5</f>
        <v>0.8763293650793651</v>
      </c>
      <c r="P18" s="254"/>
      <c r="Q18" s="257"/>
    </row>
    <row r="19" spans="1:17" ht="15" customHeight="1" thickBot="1">
      <c r="A19" s="253"/>
      <c r="B19" s="245"/>
      <c r="C19" s="245"/>
      <c r="D19" s="78" t="s">
        <v>1194</v>
      </c>
      <c r="E19" s="113"/>
      <c r="F19" s="114" t="s">
        <v>1253</v>
      </c>
      <c r="G19" s="107"/>
      <c r="H19" s="108">
        <v>0.33333333333333298</v>
      </c>
      <c r="I19" s="109">
        <f t="shared" si="0"/>
        <v>1</v>
      </c>
      <c r="J19" s="109">
        <v>0.9</v>
      </c>
      <c r="K19" s="82"/>
      <c r="L19" s="82"/>
      <c r="N19" s="161" t="s">
        <v>1253</v>
      </c>
      <c r="O19" s="162">
        <f>(I31+I97+I163+I229+I295)/5</f>
        <v>0.83057539682539683</v>
      </c>
      <c r="P19" s="254"/>
      <c r="Q19" s="257"/>
    </row>
    <row r="20" spans="1:17" ht="14.4" customHeight="1">
      <c r="A20" s="253"/>
      <c r="B20" s="251">
        <v>45963</v>
      </c>
      <c r="C20" s="248" t="s">
        <v>1198</v>
      </c>
      <c r="D20" s="132" t="s">
        <v>1191</v>
      </c>
      <c r="E20" s="158"/>
      <c r="F20" s="125" t="s">
        <v>1251</v>
      </c>
      <c r="G20" s="126">
        <v>3.4722222222222224E-2</v>
      </c>
      <c r="H20" s="127">
        <v>0.33333333333333298</v>
      </c>
      <c r="I20" s="134">
        <f t="shared" si="0"/>
        <v>0.89583333333333326</v>
      </c>
      <c r="J20" s="134">
        <v>0.9</v>
      </c>
      <c r="K20" s="135" t="s">
        <v>1588</v>
      </c>
      <c r="L20" s="137"/>
    </row>
    <row r="21" spans="1:17" ht="14.4" customHeight="1">
      <c r="A21" s="253"/>
      <c r="B21" s="244"/>
      <c r="C21" s="249"/>
      <c r="D21" s="132" t="s">
        <v>1191</v>
      </c>
      <c r="E21" s="158"/>
      <c r="F21" s="125" t="s">
        <v>1252</v>
      </c>
      <c r="G21" s="126">
        <v>3.4722222222222224E-2</v>
      </c>
      <c r="H21" s="127">
        <v>0.33333333333333298</v>
      </c>
      <c r="I21" s="134">
        <f t="shared" si="0"/>
        <v>0.89583333333333326</v>
      </c>
      <c r="J21" s="134">
        <v>0.9</v>
      </c>
      <c r="K21" s="135" t="s">
        <v>1588</v>
      </c>
      <c r="L21" s="136"/>
    </row>
    <row r="22" spans="1:17" ht="14.4" customHeight="1">
      <c r="A22" s="253"/>
      <c r="B22" s="244"/>
      <c r="C22" s="250"/>
      <c r="D22" s="132" t="s">
        <v>1191</v>
      </c>
      <c r="E22" s="133"/>
      <c r="F22" s="128" t="s">
        <v>1253</v>
      </c>
      <c r="G22" s="126">
        <v>3.4722222222222224E-2</v>
      </c>
      <c r="H22" s="127">
        <v>0.33333333333333298</v>
      </c>
      <c r="I22" s="134">
        <f t="shared" si="0"/>
        <v>0.89583333333333326</v>
      </c>
      <c r="J22" s="134">
        <v>0.9</v>
      </c>
      <c r="K22" s="135" t="s">
        <v>1588</v>
      </c>
      <c r="L22" s="136"/>
      <c r="N22" s="255" t="s">
        <v>1287</v>
      </c>
      <c r="O22" s="255" t="s">
        <v>1288</v>
      </c>
      <c r="P22" s="255" t="s">
        <v>1292</v>
      </c>
      <c r="Q22" s="255" t="s">
        <v>1290</v>
      </c>
    </row>
    <row r="23" spans="1:17" ht="14.4" customHeight="1">
      <c r="A23" s="253"/>
      <c r="B23" s="244"/>
      <c r="C23" s="243" t="s">
        <v>1196</v>
      </c>
      <c r="D23" s="78" t="s">
        <v>1192</v>
      </c>
      <c r="E23" s="159"/>
      <c r="F23" s="111" t="s">
        <v>1251</v>
      </c>
      <c r="G23" s="107"/>
      <c r="H23" s="108">
        <v>0.33333333333333298</v>
      </c>
      <c r="I23" s="109">
        <f t="shared" si="0"/>
        <v>1</v>
      </c>
      <c r="J23" s="109">
        <v>0.9</v>
      </c>
      <c r="K23" s="82"/>
      <c r="L23" s="112"/>
      <c r="N23" s="255"/>
      <c r="O23" s="255"/>
      <c r="P23" s="255"/>
      <c r="Q23" s="255"/>
    </row>
    <row r="24" spans="1:17" ht="14.4" customHeight="1">
      <c r="A24" s="253"/>
      <c r="B24" s="244"/>
      <c r="C24" s="244"/>
      <c r="D24" s="78" t="s">
        <v>1192</v>
      </c>
      <c r="E24" s="159"/>
      <c r="F24" s="111" t="s">
        <v>1252</v>
      </c>
      <c r="G24" s="107"/>
      <c r="H24" s="108">
        <v>0.33333333333333298</v>
      </c>
      <c r="I24" s="109">
        <f t="shared" si="0"/>
        <v>1</v>
      </c>
      <c r="J24" s="109">
        <v>0.9</v>
      </c>
      <c r="K24" s="82"/>
      <c r="L24" s="82"/>
      <c r="N24" s="161" t="s">
        <v>1251</v>
      </c>
      <c r="O24" s="162">
        <f>(AVERAGEIFS(I11:I28,D11:D28,P24,F11:F28,N24)+AVERAGEIFS(I32:I94,D32:D94,P24,F32:F94,N24)+AVERAGEIFS(I98:I160,D98:D160,P24,F98:F160,N24)+AVERAGEIFS(I164:I226,D164:D226,P24,F164:F226,N24)+AVERAGEIFS(I230:I292,D230:D292,P24,F230:F292,N24))/5</f>
        <v>0.92430555555555549</v>
      </c>
      <c r="P24" s="260" t="s">
        <v>1191</v>
      </c>
      <c r="Q24" s="224"/>
    </row>
    <row r="25" spans="1:17" ht="14.4" customHeight="1">
      <c r="A25" s="253"/>
      <c r="B25" s="244"/>
      <c r="C25" s="245"/>
      <c r="D25" s="78" t="s">
        <v>1192</v>
      </c>
      <c r="E25" s="113"/>
      <c r="F25" s="114" t="s">
        <v>1253</v>
      </c>
      <c r="G25" s="107"/>
      <c r="H25" s="108">
        <v>0.33333333333333298</v>
      </c>
      <c r="I25" s="109">
        <f t="shared" si="0"/>
        <v>1</v>
      </c>
      <c r="J25" s="109">
        <v>0.9</v>
      </c>
      <c r="K25" s="82"/>
      <c r="L25" s="82"/>
      <c r="N25" s="161" t="s">
        <v>1252</v>
      </c>
      <c r="O25" s="162">
        <f>(AVERAGEIFS(I11:I28,D11:D28,P24,F11:F28,N25)+AVERAGEIFS(I32:I94,D32:D94,P24,F32:F94,N25)+AVERAGEIFS(I98:I160,D98:D160,P24,F98:F160,N25)+AVERAGEIFS(I164:I226,D164:D226,P24,F164:F226,N25)+AVERAGEIFS(I230:I292,D230:D292,P24,F230:F292,N25))/5</f>
        <v>0.89791666666666659</v>
      </c>
      <c r="P25" s="261"/>
      <c r="Q25" s="227"/>
    </row>
    <row r="26" spans="1:17" ht="14.4" customHeight="1">
      <c r="A26" s="253"/>
      <c r="B26" s="244"/>
      <c r="C26" s="248" t="s">
        <v>1197</v>
      </c>
      <c r="D26" s="132" t="s">
        <v>1194</v>
      </c>
      <c r="E26" s="158"/>
      <c r="F26" s="125" t="s">
        <v>1251</v>
      </c>
      <c r="G26" s="126"/>
      <c r="H26" s="127">
        <v>0.33333333333333298</v>
      </c>
      <c r="I26" s="134">
        <f t="shared" si="0"/>
        <v>1</v>
      </c>
      <c r="J26" s="134">
        <v>0.9</v>
      </c>
      <c r="K26" s="77" t="s">
        <v>1589</v>
      </c>
      <c r="L26" s="137"/>
      <c r="N26" s="161" t="s">
        <v>1253</v>
      </c>
      <c r="O26" s="162">
        <f>(AVERAGEIFS(I11:I28,D11:D28,P24,F11:F28,N26)+AVERAGEIFS(I32:I94,D32:D94,P24,F32:F94,N26)+AVERAGEIFS(I98:I160,D98:D160,P24,F98:F160,N26)+AVERAGEIFS(I164:I226,D164:D226,P24,F164:F226,N26)+AVERAGEIFS(I230:I292,D230:D292,P24,F230:F292,N26))/5</f>
        <v>0.91208333333333336</v>
      </c>
      <c r="P26" s="261"/>
      <c r="Q26" s="227"/>
    </row>
    <row r="27" spans="1:17" ht="14.4" customHeight="1">
      <c r="A27" s="253"/>
      <c r="B27" s="244"/>
      <c r="C27" s="249"/>
      <c r="D27" s="132" t="s">
        <v>1194</v>
      </c>
      <c r="E27" s="158"/>
      <c r="F27" s="129" t="s">
        <v>1252</v>
      </c>
      <c r="G27" s="126"/>
      <c r="H27" s="127">
        <v>0.33333333333333298</v>
      </c>
      <c r="I27" s="134">
        <f t="shared" si="0"/>
        <v>1</v>
      </c>
      <c r="J27" s="134">
        <v>0.9</v>
      </c>
      <c r="K27" s="77" t="s">
        <v>1589</v>
      </c>
      <c r="L27" s="136"/>
      <c r="N27" s="161" t="s">
        <v>1293</v>
      </c>
      <c r="O27" s="162">
        <f>(O24+O25+O26)/3</f>
        <v>0.91143518518518507</v>
      </c>
      <c r="P27" s="261"/>
      <c r="Q27" s="227"/>
    </row>
    <row r="28" spans="1:17" ht="14.4" customHeight="1">
      <c r="A28" s="253"/>
      <c r="B28" s="245"/>
      <c r="C28" s="250"/>
      <c r="D28" s="132" t="s">
        <v>1194</v>
      </c>
      <c r="E28" s="133"/>
      <c r="F28" s="128" t="s">
        <v>1253</v>
      </c>
      <c r="G28" s="126"/>
      <c r="H28" s="131">
        <v>0.33333333333333298</v>
      </c>
      <c r="I28" s="138">
        <f t="shared" si="0"/>
        <v>1</v>
      </c>
      <c r="J28" s="134">
        <v>0.9</v>
      </c>
      <c r="K28" s="77" t="s">
        <v>1589</v>
      </c>
      <c r="L28" s="136"/>
    </row>
    <row r="29" spans="1:17" ht="14.4" customHeight="1">
      <c r="A29" s="253"/>
      <c r="B29" s="117"/>
      <c r="C29" s="117"/>
      <c r="D29" s="118"/>
      <c r="E29" s="118"/>
      <c r="F29" s="119" t="s">
        <v>1251</v>
      </c>
      <c r="G29" s="124"/>
      <c r="H29" s="124"/>
      <c r="I29" s="120">
        <f>AVERAGEIF(F11:F28,F29,I11:I28)</f>
        <v>0.98263888888888884</v>
      </c>
      <c r="J29" s="121">
        <v>0.9</v>
      </c>
      <c r="K29" s="118"/>
      <c r="L29" s="116"/>
    </row>
    <row r="30" spans="1:17" ht="14.4" customHeight="1">
      <c r="A30" s="253"/>
      <c r="B30" s="117"/>
      <c r="C30" s="117"/>
      <c r="D30" s="118"/>
      <c r="E30" s="118"/>
      <c r="F30" s="119" t="s">
        <v>1252</v>
      </c>
      <c r="G30" s="124"/>
      <c r="H30" s="124"/>
      <c r="I30" s="120">
        <f>AVERAGEIF(F11:F28,F30,I11:I28)</f>
        <v>0.98263888888888884</v>
      </c>
      <c r="J30" s="121">
        <v>0.9</v>
      </c>
      <c r="K30" s="118"/>
      <c r="L30" s="116"/>
    </row>
    <row r="31" spans="1:17" ht="14.4" customHeight="1" thickBot="1">
      <c r="A31" s="253"/>
      <c r="B31" s="117"/>
      <c r="C31" s="117"/>
      <c r="D31" s="118"/>
      <c r="E31" s="118"/>
      <c r="F31" s="119" t="s">
        <v>1253</v>
      </c>
      <c r="G31" s="124"/>
      <c r="H31" s="124"/>
      <c r="I31" s="120">
        <f>AVERAGEIF(F11:F28,F31,I11:I28)</f>
        <v>0.98263888888888884</v>
      </c>
      <c r="J31" s="121">
        <v>0.9</v>
      </c>
      <c r="K31" s="118"/>
      <c r="L31" s="116"/>
    </row>
    <row r="32" spans="1:17" ht="15" customHeight="1">
      <c r="A32" s="253"/>
      <c r="B32" s="251">
        <v>45964</v>
      </c>
      <c r="C32" s="243" t="s">
        <v>1198</v>
      </c>
      <c r="D32" s="78" t="s">
        <v>1201</v>
      </c>
      <c r="E32" s="159"/>
      <c r="F32" s="111" t="s">
        <v>1251</v>
      </c>
      <c r="G32" s="107"/>
      <c r="H32" s="108">
        <v>0.33333333333333298</v>
      </c>
      <c r="I32" s="109">
        <f t="shared" si="0"/>
        <v>1</v>
      </c>
      <c r="J32" s="109">
        <v>0.9</v>
      </c>
      <c r="K32" s="168" t="s">
        <v>1585</v>
      </c>
      <c r="L32" s="112"/>
      <c r="N32" s="255" t="s">
        <v>1287</v>
      </c>
      <c r="O32" s="255" t="s">
        <v>1288</v>
      </c>
      <c r="P32" s="255" t="s">
        <v>1292</v>
      </c>
      <c r="Q32" s="255" t="s">
        <v>1290</v>
      </c>
    </row>
    <row r="33" spans="1:17" ht="15" customHeight="1">
      <c r="A33" s="253"/>
      <c r="B33" s="244"/>
      <c r="C33" s="244"/>
      <c r="D33" s="78" t="s">
        <v>1201</v>
      </c>
      <c r="E33" s="159"/>
      <c r="F33" s="106" t="s">
        <v>1252</v>
      </c>
      <c r="G33" s="107"/>
      <c r="H33" s="108">
        <v>0.33333333333333298</v>
      </c>
      <c r="I33" s="109">
        <f t="shared" si="0"/>
        <v>1</v>
      </c>
      <c r="J33" s="109">
        <v>0.9</v>
      </c>
      <c r="K33" s="168" t="s">
        <v>1585</v>
      </c>
      <c r="L33" s="82"/>
      <c r="N33" s="255"/>
      <c r="O33" s="255"/>
      <c r="P33" s="255"/>
      <c r="Q33" s="255"/>
    </row>
    <row r="34" spans="1:17" ht="15" customHeight="1">
      <c r="A34" s="253"/>
      <c r="B34" s="244"/>
      <c r="C34" s="245"/>
      <c r="D34" s="78" t="s">
        <v>1201</v>
      </c>
      <c r="E34" s="113"/>
      <c r="F34" s="114" t="s">
        <v>1253</v>
      </c>
      <c r="G34" s="107"/>
      <c r="H34" s="108">
        <v>0.33333333333333298</v>
      </c>
      <c r="I34" s="109">
        <f t="shared" si="0"/>
        <v>1</v>
      </c>
      <c r="J34" s="109">
        <v>0.9</v>
      </c>
      <c r="K34" s="168" t="s">
        <v>1585</v>
      </c>
      <c r="L34" s="82"/>
      <c r="N34" s="161" t="s">
        <v>1251</v>
      </c>
      <c r="O34" s="162">
        <f>(AVERAGEIFS(I11:I28,D11:D28,P34,F11:F28,N34)+AVERAGEIFS(I32:I94,D32:D94,P34,F32:F94,N34)+AVERAGEIFS(I98:I160,D98:D160,P34,F98:F160,N34)+AVERAGEIFS(I164:I226,D164:D226,P34,F164:F226,N34)+AVERAGEIFS(I230:I292,D230:D292,P34,F230:F292,N34))/5</f>
        <v>0.86624999999999996</v>
      </c>
      <c r="P34" s="254" t="s">
        <v>1194</v>
      </c>
      <c r="Q34" s="224"/>
    </row>
    <row r="35" spans="1:17" ht="15" customHeight="1">
      <c r="A35" s="253"/>
      <c r="B35" s="244"/>
      <c r="C35" s="248" t="s">
        <v>1196</v>
      </c>
      <c r="D35" s="132" t="s">
        <v>1191</v>
      </c>
      <c r="E35" s="158"/>
      <c r="F35" s="125" t="s">
        <v>1251</v>
      </c>
      <c r="G35" s="126"/>
      <c r="H35" s="127">
        <v>0.33333333333333298</v>
      </c>
      <c r="I35" s="134">
        <f t="shared" si="0"/>
        <v>1</v>
      </c>
      <c r="J35" s="134">
        <v>0.9</v>
      </c>
      <c r="K35" s="135"/>
      <c r="L35" s="137"/>
      <c r="N35" s="161" t="s">
        <v>1252</v>
      </c>
      <c r="O35" s="162">
        <f>(AVERAGEIFS(I11:I28,D11:D28,P34,F11:F28,N35)+AVERAGEIFS(I32:I94,D32:D94,P34,F32:F94,N35)+AVERAGEIFS(I98:I160,D98:D160,P34,F98:F160,N35)+AVERAGEIFS(I164:I226,D164:D226,P34,F164:F226,N35)+AVERAGEIFS(I230:I292,D230:D292,P34,F230:F292,N35))/5</f>
        <v>0.88541666666666663</v>
      </c>
      <c r="P35" s="254"/>
      <c r="Q35" s="227"/>
    </row>
    <row r="36" spans="1:17" ht="15" customHeight="1">
      <c r="A36" s="253"/>
      <c r="B36" s="244"/>
      <c r="C36" s="249"/>
      <c r="D36" s="132" t="s">
        <v>1191</v>
      </c>
      <c r="E36" s="158"/>
      <c r="F36" s="129" t="s">
        <v>1252</v>
      </c>
      <c r="G36" s="126"/>
      <c r="H36" s="127">
        <v>0.33333333333333298</v>
      </c>
      <c r="I36" s="134">
        <f t="shared" si="0"/>
        <v>1</v>
      </c>
      <c r="J36" s="134">
        <v>0.9</v>
      </c>
      <c r="K36" s="135"/>
      <c r="L36" s="136"/>
      <c r="N36" s="161" t="s">
        <v>1253</v>
      </c>
      <c r="O36" s="162">
        <f>(AVERAGEIFS(I11:I28,D11:D28,P34,F11:F28,N36)+AVERAGEIFS(I32:I94,D32:D94,P34,F32:F94,N36)+AVERAGEIFS(I98:I160,D98:D160,P34,F98:F160,N36)+AVERAGEIFS(I164:I226,D164:D226,P34,F164:F226,N36)+AVERAGEIFS(I230:I292,D230:D292,P34,F230:F292,N36))/5</f>
        <v>0.82666666666666655</v>
      </c>
      <c r="P36" s="254"/>
      <c r="Q36" s="227"/>
    </row>
    <row r="37" spans="1:17" ht="15" customHeight="1">
      <c r="A37" s="253"/>
      <c r="B37" s="244"/>
      <c r="C37" s="250"/>
      <c r="D37" s="132" t="s">
        <v>1191</v>
      </c>
      <c r="E37" s="133"/>
      <c r="F37" s="128" t="s">
        <v>1253</v>
      </c>
      <c r="G37" s="126"/>
      <c r="H37" s="127">
        <v>0.33333333333333298</v>
      </c>
      <c r="I37" s="134">
        <f t="shared" si="0"/>
        <v>1</v>
      </c>
      <c r="J37" s="134">
        <v>0.9</v>
      </c>
      <c r="K37" s="133"/>
      <c r="L37" s="136"/>
      <c r="N37" s="161" t="s">
        <v>1293</v>
      </c>
      <c r="O37" s="162">
        <f>(O34+O35+O36)/3</f>
        <v>0.85944444444444434</v>
      </c>
      <c r="P37" s="254"/>
      <c r="Q37" s="227"/>
    </row>
    <row r="38" spans="1:17" ht="15" customHeight="1">
      <c r="A38" s="253"/>
      <c r="B38" s="244"/>
      <c r="C38" s="243" t="s">
        <v>1197</v>
      </c>
      <c r="D38" s="78" t="s">
        <v>1192</v>
      </c>
      <c r="E38" s="159"/>
      <c r="F38" s="111" t="s">
        <v>1251</v>
      </c>
      <c r="G38" s="107"/>
      <c r="H38" s="108">
        <v>0.33333333333333298</v>
      </c>
      <c r="I38" s="109">
        <f t="shared" si="0"/>
        <v>1</v>
      </c>
      <c r="J38" s="109">
        <v>0.9</v>
      </c>
      <c r="K38" s="82"/>
      <c r="L38" s="112"/>
    </row>
    <row r="39" spans="1:17" ht="15" customHeight="1">
      <c r="A39" s="253"/>
      <c r="B39" s="244"/>
      <c r="C39" s="244"/>
      <c r="D39" s="78" t="s">
        <v>1192</v>
      </c>
      <c r="E39" s="159"/>
      <c r="F39" s="106" t="s">
        <v>1252</v>
      </c>
      <c r="G39" s="107"/>
      <c r="H39" s="108">
        <v>0.33333333333333298</v>
      </c>
      <c r="I39" s="109">
        <f t="shared" si="0"/>
        <v>1</v>
      </c>
      <c r="J39" s="109">
        <v>0.9</v>
      </c>
      <c r="K39" s="82"/>
      <c r="L39" s="82"/>
      <c r="N39" s="255" t="s">
        <v>1287</v>
      </c>
      <c r="O39" s="255" t="s">
        <v>1288</v>
      </c>
      <c r="P39" s="255" t="s">
        <v>1292</v>
      </c>
      <c r="Q39" s="255" t="s">
        <v>1290</v>
      </c>
    </row>
    <row r="40" spans="1:17" ht="15.6" customHeight="1" thickBot="1">
      <c r="A40" s="253"/>
      <c r="B40" s="245"/>
      <c r="C40" s="245"/>
      <c r="D40" s="78" t="s">
        <v>1192</v>
      </c>
      <c r="E40" s="113"/>
      <c r="F40" s="114" t="s">
        <v>1253</v>
      </c>
      <c r="G40" s="107"/>
      <c r="H40" s="108">
        <v>0.33333333333333298</v>
      </c>
      <c r="I40" s="109">
        <f t="shared" si="0"/>
        <v>1</v>
      </c>
      <c r="J40" s="109">
        <v>0.9</v>
      </c>
      <c r="K40" s="82"/>
      <c r="L40" s="82"/>
      <c r="N40" s="255"/>
      <c r="O40" s="255"/>
      <c r="P40" s="255"/>
      <c r="Q40" s="255"/>
    </row>
    <row r="41" spans="1:17" ht="15" customHeight="1">
      <c r="A41" s="253"/>
      <c r="B41" s="251">
        <v>45965</v>
      </c>
      <c r="C41" s="248" t="s">
        <v>1198</v>
      </c>
      <c r="D41" s="132"/>
      <c r="E41" s="158"/>
      <c r="F41" s="125" t="s">
        <v>1251</v>
      </c>
      <c r="G41" s="126"/>
      <c r="H41" s="127">
        <v>0.33333333333333298</v>
      </c>
      <c r="I41" s="134">
        <f t="shared" si="0"/>
        <v>1</v>
      </c>
      <c r="J41" s="134">
        <v>0.9</v>
      </c>
      <c r="K41" s="77" t="s">
        <v>1585</v>
      </c>
      <c r="L41" s="137"/>
      <c r="N41" s="161" t="s">
        <v>1251</v>
      </c>
      <c r="O41" s="162">
        <f>(AVERAGEIFS(I32:I94,D32:D94,P41,F32:F94,N41)+AVERAGEIFS(I98:I160,D98:D160,P41,F98:F160,N41)+AVERAGEIFS(I164:I226,D164:D226,P41,F164:F226,N41)+AVERAGEIFS(I230:I292,D230:D292,P41,F230:F292,N41))/4</f>
        <v>0.89375000000000004</v>
      </c>
      <c r="P41" s="254" t="s">
        <v>1193</v>
      </c>
      <c r="Q41" s="224"/>
    </row>
    <row r="42" spans="1:17" ht="15" customHeight="1">
      <c r="A42" s="253"/>
      <c r="B42" s="244"/>
      <c r="C42" s="249"/>
      <c r="D42" s="132"/>
      <c r="E42" s="158"/>
      <c r="F42" s="129" t="s">
        <v>1252</v>
      </c>
      <c r="G42" s="126"/>
      <c r="H42" s="127">
        <v>0.33333333333333298</v>
      </c>
      <c r="I42" s="134">
        <f t="shared" si="0"/>
        <v>1</v>
      </c>
      <c r="J42" s="134">
        <v>0.9</v>
      </c>
      <c r="K42" s="77" t="s">
        <v>1585</v>
      </c>
      <c r="L42" s="136"/>
      <c r="N42" s="161" t="s">
        <v>1252</v>
      </c>
      <c r="O42" s="162">
        <f>(AVERAGEIFS(I32:I94,D32:D94,P41,F32:F94,N42)+AVERAGEIFS(I98:I160,D98:D160,P41,F98:F160,N42)+AVERAGEIFS(I164:I226,D164:D226,P41,F164:F226,N42)+AVERAGEIFS(I230:I292,D230:D292,P41,F230:F292,N42))/4</f>
        <v>0.92625000000000002</v>
      </c>
      <c r="P42" s="254"/>
      <c r="Q42" s="227"/>
    </row>
    <row r="43" spans="1:17" ht="15" customHeight="1">
      <c r="A43" s="253"/>
      <c r="B43" s="244"/>
      <c r="C43" s="250"/>
      <c r="D43" s="132"/>
      <c r="E43" s="133"/>
      <c r="F43" s="128" t="s">
        <v>1253</v>
      </c>
      <c r="G43" s="126"/>
      <c r="H43" s="127">
        <v>0.33333333333333298</v>
      </c>
      <c r="I43" s="134">
        <f t="shared" si="0"/>
        <v>1</v>
      </c>
      <c r="J43" s="134">
        <v>0.9</v>
      </c>
      <c r="K43" s="77" t="s">
        <v>1585</v>
      </c>
      <c r="L43" s="136"/>
      <c r="N43" s="161" t="s">
        <v>1253</v>
      </c>
      <c r="O43" s="162">
        <f>(AVERAGEIFS(I32:I94,D32:D94,P41,F32:F94,N43)+AVERAGEIFS(I98:I160,D98:D160,P41,F98:F160,N43)+AVERAGEIFS(I164:I226,D164:D226,P41,F164:F226,N43)+AVERAGEIFS(I230:I292,D230:D292,P41,F230:F292,N43))/4</f>
        <v>0.85416666666666663</v>
      </c>
      <c r="P43" s="254"/>
      <c r="Q43" s="227"/>
    </row>
    <row r="44" spans="1:17" ht="15" customHeight="1">
      <c r="A44" s="253"/>
      <c r="B44" s="244"/>
      <c r="C44" s="243" t="s">
        <v>1196</v>
      </c>
      <c r="D44" s="78" t="s">
        <v>1191</v>
      </c>
      <c r="E44" s="159"/>
      <c r="F44" s="111" t="s">
        <v>1251</v>
      </c>
      <c r="G44" s="107"/>
      <c r="H44" s="108">
        <v>0.33333333333333298</v>
      </c>
      <c r="I44" s="109">
        <f t="shared" si="0"/>
        <v>1</v>
      </c>
      <c r="J44" s="109">
        <v>0.9</v>
      </c>
      <c r="K44" s="82"/>
      <c r="L44" s="112"/>
      <c r="N44" s="161" t="s">
        <v>1293</v>
      </c>
      <c r="O44" s="162">
        <f>(O41+O42+O43)/3</f>
        <v>0.8913888888888889</v>
      </c>
      <c r="P44" s="254"/>
      <c r="Q44" s="227"/>
    </row>
    <row r="45" spans="1:17" ht="15" customHeight="1">
      <c r="A45" s="253"/>
      <c r="B45" s="244"/>
      <c r="C45" s="244"/>
      <c r="D45" s="78" t="s">
        <v>1191</v>
      </c>
      <c r="E45" s="159"/>
      <c r="F45" s="106" t="s">
        <v>1252</v>
      </c>
      <c r="G45" s="107"/>
      <c r="H45" s="108">
        <v>0.33333333333333298</v>
      </c>
      <c r="I45" s="109">
        <f t="shared" si="0"/>
        <v>1</v>
      </c>
      <c r="J45" s="109">
        <v>0.9</v>
      </c>
      <c r="K45" s="82"/>
      <c r="L45" s="82"/>
    </row>
    <row r="46" spans="1:17" ht="15" customHeight="1">
      <c r="A46" s="253"/>
      <c r="B46" s="244"/>
      <c r="C46" s="245"/>
      <c r="D46" s="78" t="s">
        <v>1191</v>
      </c>
      <c r="E46" s="113"/>
      <c r="F46" s="114" t="s">
        <v>1253</v>
      </c>
      <c r="G46" s="107">
        <v>0.125</v>
      </c>
      <c r="H46" s="108">
        <v>0.33333333333333331</v>
      </c>
      <c r="I46" s="109">
        <f t="shared" si="0"/>
        <v>0.625</v>
      </c>
      <c r="J46" s="109">
        <v>0.9</v>
      </c>
      <c r="K46" s="82" t="s">
        <v>1590</v>
      </c>
      <c r="L46" s="82"/>
      <c r="N46" s="255" t="s">
        <v>1287</v>
      </c>
      <c r="O46" s="255" t="s">
        <v>1288</v>
      </c>
      <c r="P46" s="255" t="s">
        <v>1292</v>
      </c>
      <c r="Q46" s="255" t="s">
        <v>1290</v>
      </c>
    </row>
    <row r="47" spans="1:17" ht="15" customHeight="1">
      <c r="A47" s="253"/>
      <c r="B47" s="244"/>
      <c r="C47" s="248" t="s">
        <v>1197</v>
      </c>
      <c r="D47" s="132" t="s">
        <v>1192</v>
      </c>
      <c r="E47" s="158"/>
      <c r="F47" s="125" t="s">
        <v>1251</v>
      </c>
      <c r="G47" s="126"/>
      <c r="H47" s="127">
        <v>0.33333333333333298</v>
      </c>
      <c r="I47" s="134">
        <f t="shared" si="0"/>
        <v>1</v>
      </c>
      <c r="J47" s="134">
        <v>0.9</v>
      </c>
      <c r="K47" s="135"/>
      <c r="L47" s="137"/>
      <c r="N47" s="255"/>
      <c r="O47" s="255"/>
      <c r="P47" s="255"/>
      <c r="Q47" s="255"/>
    </row>
    <row r="48" spans="1:17" ht="15" customHeight="1">
      <c r="A48" s="253"/>
      <c r="B48" s="244"/>
      <c r="C48" s="249"/>
      <c r="D48" s="132" t="s">
        <v>1192</v>
      </c>
      <c r="E48" s="158"/>
      <c r="F48" s="129" t="s">
        <v>1252</v>
      </c>
      <c r="G48" s="126"/>
      <c r="H48" s="127">
        <v>0.33333333333333298</v>
      </c>
      <c r="I48" s="134">
        <f t="shared" si="0"/>
        <v>1</v>
      </c>
      <c r="J48" s="134">
        <v>0.9</v>
      </c>
      <c r="K48" s="135"/>
      <c r="L48" s="136"/>
      <c r="N48" s="161" t="s">
        <v>1251</v>
      </c>
      <c r="O48" s="162">
        <f>(AVERAGEIFS(I11:I28,D11:D28,P48,F11:F28,N48)+AVERAGEIFS(I32:I94,D32:D94,P48,F32:F94,N48)+AVERAGEIFS(I98:I160,D98:D160,P48,F98:F160,N48)+AVERAGEIFS(I164:I226,D164:D226,P48,F164:F226,N48)+AVERAGEIFS(I230:I292,D230:D292,P48,F230:F292,N48))/5</f>
        <v>0.9033333333333331</v>
      </c>
      <c r="P48" s="254" t="s">
        <v>1192</v>
      </c>
      <c r="Q48" s="224"/>
    </row>
    <row r="49" spans="1:17" ht="15.6" customHeight="1" thickBot="1">
      <c r="A49" s="253"/>
      <c r="B49" s="245"/>
      <c r="C49" s="250"/>
      <c r="D49" s="132" t="s">
        <v>1192</v>
      </c>
      <c r="E49" s="133"/>
      <c r="F49" s="128" t="s">
        <v>1253</v>
      </c>
      <c r="G49" s="126">
        <v>3.0555555555555555E-2</v>
      </c>
      <c r="H49" s="127">
        <v>0.33333333333333298</v>
      </c>
      <c r="I49" s="134">
        <f t="shared" si="0"/>
        <v>0.90833333333333321</v>
      </c>
      <c r="J49" s="134">
        <v>0.9</v>
      </c>
      <c r="K49" s="135" t="s">
        <v>1591</v>
      </c>
      <c r="L49" s="136"/>
      <c r="N49" s="161" t="s">
        <v>1252</v>
      </c>
      <c r="O49" s="162">
        <f>(AVERAGEIFS(I11:I28,D11:D28,P48,F11:F28,N49)+AVERAGEIFS(I32:I94,D32:D94,P48,F32:F94,N49)+AVERAGEIFS(I98:I160,D98:D160,P48,F98:F160,N49)+AVERAGEIFS(I164:I226,D164:D226,P48,F164:F226,N49)+AVERAGEIFS(I230:I292,D230:D292,P48,F230:F292,N49))/5</f>
        <v>0.9033333333333331</v>
      </c>
      <c r="P49" s="254"/>
      <c r="Q49" s="227"/>
    </row>
    <row r="50" spans="1:17" ht="15" customHeight="1">
      <c r="A50" s="253"/>
      <c r="B50" s="251">
        <v>45966</v>
      </c>
      <c r="C50" s="243" t="s">
        <v>1198</v>
      </c>
      <c r="D50" s="78" t="s">
        <v>1194</v>
      </c>
      <c r="E50" s="159"/>
      <c r="F50" s="111" t="s">
        <v>1251</v>
      </c>
      <c r="G50" s="107"/>
      <c r="H50" s="108">
        <v>0.33333333333333298</v>
      </c>
      <c r="I50" s="109">
        <f t="shared" si="0"/>
        <v>1</v>
      </c>
      <c r="J50" s="109">
        <v>0.9</v>
      </c>
      <c r="K50" s="82"/>
      <c r="L50" s="112"/>
      <c r="N50" s="161" t="s">
        <v>1253</v>
      </c>
      <c r="O50" s="162">
        <f>(AVERAGEIFS(I11:I28,D11:D28,P48,F11:F28,N50)+AVERAGEIFS(I32:I94,D32:D94,P48,F32:F94,N50)+AVERAGEIFS(I98:I160,D98:D160,P48,F98:F160,N50)+AVERAGEIFS(I164:I226,D164:D226,P48,F164:F226,N50)+AVERAGEIFS(I230:I292,D230:D292,P48,F230:F292,N50))/5</f>
        <v>0.79633333333333323</v>
      </c>
      <c r="P50" s="254"/>
      <c r="Q50" s="227"/>
    </row>
    <row r="51" spans="1:17" ht="15" customHeight="1">
      <c r="A51" s="253"/>
      <c r="B51" s="244"/>
      <c r="C51" s="244"/>
      <c r="D51" s="78" t="s">
        <v>1194</v>
      </c>
      <c r="E51" s="159"/>
      <c r="F51" s="106" t="s">
        <v>1252</v>
      </c>
      <c r="G51" s="108">
        <v>6.9444444444444448E-2</v>
      </c>
      <c r="H51" s="108">
        <v>0.33333333333333298</v>
      </c>
      <c r="I51" s="109">
        <f t="shared" si="0"/>
        <v>0.79166666666666641</v>
      </c>
      <c r="J51" s="109">
        <v>0.9</v>
      </c>
      <c r="K51" s="82" t="s">
        <v>1307</v>
      </c>
      <c r="L51" s="82"/>
      <c r="N51" s="161" t="s">
        <v>1293</v>
      </c>
      <c r="O51" s="162">
        <f>(O48+O49+O50)/3</f>
        <v>0.86766666666666648</v>
      </c>
      <c r="P51" s="254"/>
      <c r="Q51" s="227"/>
    </row>
    <row r="52" spans="1:17" ht="15" customHeight="1">
      <c r="A52" s="253"/>
      <c r="B52" s="244"/>
      <c r="C52" s="245"/>
      <c r="D52" s="78" t="s">
        <v>1194</v>
      </c>
      <c r="E52" s="113"/>
      <c r="F52" s="114" t="s">
        <v>1253</v>
      </c>
      <c r="G52" s="107"/>
      <c r="H52" s="108">
        <v>0.33333333333333298</v>
      </c>
      <c r="I52" s="109">
        <f t="shared" si="0"/>
        <v>1</v>
      </c>
      <c r="J52" s="109">
        <v>0.9</v>
      </c>
      <c r="K52" s="82"/>
      <c r="L52" s="82"/>
    </row>
    <row r="53" spans="1:17" ht="15" customHeight="1">
      <c r="A53" s="253"/>
      <c r="B53" s="244"/>
      <c r="C53" s="248" t="s">
        <v>1196</v>
      </c>
      <c r="D53" s="132" t="s">
        <v>1193</v>
      </c>
      <c r="E53" s="158"/>
      <c r="F53" s="125" t="s">
        <v>1251</v>
      </c>
      <c r="G53" s="126"/>
      <c r="H53" s="127">
        <v>0.33333333333333298</v>
      </c>
      <c r="I53" s="134">
        <f t="shared" si="0"/>
        <v>1</v>
      </c>
      <c r="J53" s="134">
        <v>0.9</v>
      </c>
      <c r="K53" s="135"/>
      <c r="L53" s="137"/>
    </row>
    <row r="54" spans="1:17" ht="15" customHeight="1">
      <c r="A54" s="253"/>
      <c r="B54" s="244"/>
      <c r="C54" s="249"/>
      <c r="D54" s="132" t="s">
        <v>1193</v>
      </c>
      <c r="E54" s="158"/>
      <c r="F54" s="129" t="s">
        <v>1252</v>
      </c>
      <c r="G54" s="126"/>
      <c r="H54" s="127">
        <v>0.33333333333333298</v>
      </c>
      <c r="I54" s="134">
        <f t="shared" si="0"/>
        <v>1</v>
      </c>
      <c r="J54" s="134">
        <v>0.9</v>
      </c>
      <c r="K54" s="135"/>
      <c r="L54" s="136"/>
    </row>
    <row r="55" spans="1:17" ht="15" customHeight="1">
      <c r="A55" s="253"/>
      <c r="B55" s="244"/>
      <c r="C55" s="250"/>
      <c r="D55" s="132" t="s">
        <v>1193</v>
      </c>
      <c r="E55" s="133"/>
      <c r="F55" s="128" t="s">
        <v>1253</v>
      </c>
      <c r="G55" s="127"/>
      <c r="H55" s="127">
        <v>0.33333333333333298</v>
      </c>
      <c r="I55" s="134">
        <f t="shared" si="0"/>
        <v>1</v>
      </c>
      <c r="J55" s="134">
        <v>0.9</v>
      </c>
      <c r="K55" s="133"/>
      <c r="L55" s="136"/>
    </row>
    <row r="56" spans="1:17" ht="15" customHeight="1">
      <c r="A56" s="253"/>
      <c r="B56" s="244"/>
      <c r="C56" s="243" t="s">
        <v>1197</v>
      </c>
      <c r="D56" s="78" t="s">
        <v>1191</v>
      </c>
      <c r="E56" s="159"/>
      <c r="F56" s="111" t="s">
        <v>1251</v>
      </c>
      <c r="G56" s="108"/>
      <c r="H56" s="108">
        <v>0.33333333333333298</v>
      </c>
      <c r="I56" s="109">
        <f t="shared" si="0"/>
        <v>1</v>
      </c>
      <c r="J56" s="109">
        <v>0.9</v>
      </c>
      <c r="K56" s="82"/>
      <c r="L56" s="82"/>
    </row>
    <row r="57" spans="1:17" ht="15" customHeight="1">
      <c r="A57" s="253"/>
      <c r="B57" s="244"/>
      <c r="C57" s="244"/>
      <c r="D57" s="78" t="s">
        <v>1191</v>
      </c>
      <c r="E57" s="159"/>
      <c r="F57" s="106" t="s">
        <v>1252</v>
      </c>
      <c r="G57" s="108"/>
      <c r="H57" s="108">
        <v>0.33333333333333298</v>
      </c>
      <c r="I57" s="109">
        <f t="shared" si="0"/>
        <v>1</v>
      </c>
      <c r="J57" s="109">
        <v>0.9</v>
      </c>
      <c r="K57" s="82"/>
      <c r="L57" s="82"/>
    </row>
    <row r="58" spans="1:17" ht="15.6" customHeight="1" thickBot="1">
      <c r="A58" s="253"/>
      <c r="B58" s="245"/>
      <c r="C58" s="245"/>
      <c r="D58" s="78" t="s">
        <v>1191</v>
      </c>
      <c r="E58" s="113"/>
      <c r="F58" s="114" t="s">
        <v>1253</v>
      </c>
      <c r="G58" s="108"/>
      <c r="H58" s="123">
        <v>0.33333333333333298</v>
      </c>
      <c r="I58" s="109">
        <f t="shared" si="0"/>
        <v>1</v>
      </c>
      <c r="J58" s="109">
        <v>0.9</v>
      </c>
      <c r="K58" s="82"/>
      <c r="L58" s="82"/>
    </row>
    <row r="59" spans="1:17" ht="15.6" customHeight="1">
      <c r="A59" s="253"/>
      <c r="B59" s="251">
        <v>45967</v>
      </c>
      <c r="C59" s="243" t="s">
        <v>1198</v>
      </c>
      <c r="D59" s="78" t="s">
        <v>1194</v>
      </c>
      <c r="E59" s="159"/>
      <c r="F59" s="111" t="s">
        <v>1251</v>
      </c>
      <c r="G59" s="108"/>
      <c r="H59" s="108">
        <v>0.33333333333333298</v>
      </c>
      <c r="I59" s="109">
        <f t="shared" si="0"/>
        <v>1</v>
      </c>
      <c r="J59" s="109">
        <v>0.9</v>
      </c>
      <c r="K59" s="82"/>
      <c r="L59" s="112"/>
    </row>
    <row r="60" spans="1:17" ht="15.6" customHeight="1">
      <c r="A60" s="253"/>
      <c r="B60" s="244"/>
      <c r="C60" s="244"/>
      <c r="D60" s="78" t="s">
        <v>1194</v>
      </c>
      <c r="E60" s="159"/>
      <c r="F60" s="106" t="s">
        <v>1252</v>
      </c>
      <c r="G60" s="108"/>
      <c r="H60" s="108">
        <v>0.33333333333333298</v>
      </c>
      <c r="I60" s="109">
        <f t="shared" si="0"/>
        <v>1</v>
      </c>
      <c r="J60" s="109">
        <v>0.9</v>
      </c>
      <c r="K60" s="82"/>
      <c r="L60" s="82"/>
    </row>
    <row r="61" spans="1:17" ht="15.6" customHeight="1">
      <c r="A61" s="253"/>
      <c r="B61" s="244"/>
      <c r="C61" s="245"/>
      <c r="D61" s="78" t="s">
        <v>1194</v>
      </c>
      <c r="E61" s="113"/>
      <c r="F61" s="114" t="s">
        <v>1253</v>
      </c>
      <c r="G61" s="108"/>
      <c r="H61" s="123">
        <v>0.33333333333333298</v>
      </c>
      <c r="I61" s="109">
        <f t="shared" si="0"/>
        <v>1</v>
      </c>
      <c r="J61" s="109">
        <v>0.9</v>
      </c>
      <c r="K61" s="82"/>
      <c r="L61" s="82"/>
    </row>
    <row r="62" spans="1:17" ht="15.6" customHeight="1">
      <c r="A62" s="253"/>
      <c r="B62" s="244"/>
      <c r="C62" s="248" t="s">
        <v>1196</v>
      </c>
      <c r="D62" s="132" t="s">
        <v>1193</v>
      </c>
      <c r="E62" s="158"/>
      <c r="F62" s="125" t="s">
        <v>1251</v>
      </c>
      <c r="G62" s="126"/>
      <c r="H62" s="108">
        <v>0.33333333333333298</v>
      </c>
      <c r="I62" s="109">
        <f t="shared" si="0"/>
        <v>1</v>
      </c>
      <c r="J62" s="134">
        <v>0.9</v>
      </c>
      <c r="K62" s="135"/>
      <c r="L62" s="137"/>
    </row>
    <row r="63" spans="1:17" ht="15.6" customHeight="1">
      <c r="A63" s="253"/>
      <c r="B63" s="244"/>
      <c r="C63" s="249"/>
      <c r="D63" s="132" t="s">
        <v>1193</v>
      </c>
      <c r="E63" s="158"/>
      <c r="F63" s="129" t="s">
        <v>1252</v>
      </c>
      <c r="G63" s="126"/>
      <c r="H63" s="108">
        <v>0.33333333333333298</v>
      </c>
      <c r="I63" s="109">
        <f t="shared" si="0"/>
        <v>1</v>
      </c>
      <c r="J63" s="134">
        <v>0.9</v>
      </c>
      <c r="K63" s="135"/>
      <c r="L63" s="136"/>
    </row>
    <row r="64" spans="1:17" ht="15.6" customHeight="1">
      <c r="A64" s="253"/>
      <c r="B64" s="244"/>
      <c r="C64" s="250"/>
      <c r="D64" s="132" t="s">
        <v>1193</v>
      </c>
      <c r="E64" s="133"/>
      <c r="F64" s="128" t="s">
        <v>1253</v>
      </c>
      <c r="G64" s="126"/>
      <c r="H64" s="123">
        <v>0.33333333333333298</v>
      </c>
      <c r="I64" s="109">
        <f t="shared" si="0"/>
        <v>1</v>
      </c>
      <c r="J64" s="134">
        <v>0.9</v>
      </c>
      <c r="K64" s="135"/>
      <c r="L64" s="136"/>
    </row>
    <row r="65" spans="1:12" ht="15.6" customHeight="1">
      <c r="A65" s="253"/>
      <c r="B65" s="244"/>
      <c r="C65" s="243" t="s">
        <v>1197</v>
      </c>
      <c r="D65" s="78" t="s">
        <v>1191</v>
      </c>
      <c r="E65" s="159"/>
      <c r="F65" s="111" t="s">
        <v>1251</v>
      </c>
      <c r="G65" s="107"/>
      <c r="H65" s="108">
        <v>0.33333333333333298</v>
      </c>
      <c r="I65" s="109">
        <f t="shared" si="0"/>
        <v>1</v>
      </c>
      <c r="J65" s="109">
        <v>0.9</v>
      </c>
      <c r="K65" s="82"/>
      <c r="L65" s="82"/>
    </row>
    <row r="66" spans="1:12" ht="15.6" customHeight="1">
      <c r="A66" s="253"/>
      <c r="B66" s="244"/>
      <c r="C66" s="244"/>
      <c r="D66" s="78" t="s">
        <v>1191</v>
      </c>
      <c r="E66" s="159"/>
      <c r="F66" s="106" t="s">
        <v>1252</v>
      </c>
      <c r="G66" s="107"/>
      <c r="H66" s="108">
        <v>0.33333333333333298</v>
      </c>
      <c r="I66" s="109">
        <f t="shared" si="0"/>
        <v>1</v>
      </c>
      <c r="J66" s="109">
        <v>0.9</v>
      </c>
      <c r="K66" s="82"/>
      <c r="L66" s="82"/>
    </row>
    <row r="67" spans="1:12" ht="15.6" customHeight="1" thickBot="1">
      <c r="A67" s="253"/>
      <c r="B67" s="245"/>
      <c r="C67" s="245"/>
      <c r="D67" s="78" t="s">
        <v>1191</v>
      </c>
      <c r="E67" s="113"/>
      <c r="F67" s="114" t="s">
        <v>1253</v>
      </c>
      <c r="G67" s="107"/>
      <c r="H67" s="123">
        <v>0.33333333333333331</v>
      </c>
      <c r="I67" s="109">
        <f t="shared" si="0"/>
        <v>1</v>
      </c>
      <c r="J67" s="109">
        <v>0.9</v>
      </c>
      <c r="K67" s="82"/>
      <c r="L67" s="82"/>
    </row>
    <row r="68" spans="1:12" ht="14.4" customHeight="1">
      <c r="A68" s="252"/>
      <c r="B68" s="251">
        <v>45968</v>
      </c>
      <c r="C68" s="243" t="s">
        <v>1198</v>
      </c>
      <c r="D68" s="110" t="s">
        <v>1192</v>
      </c>
      <c r="E68" s="156"/>
      <c r="F68" s="111" t="s">
        <v>1251</v>
      </c>
      <c r="G68" s="107"/>
      <c r="H68" s="108">
        <v>0.33333333333333331</v>
      </c>
      <c r="I68" s="109">
        <f>1-(G68/H68)</f>
        <v>1</v>
      </c>
      <c r="J68" s="109">
        <v>0.9</v>
      </c>
      <c r="K68" s="82"/>
      <c r="L68" s="82"/>
    </row>
    <row r="69" spans="1:12" ht="14.4" customHeight="1">
      <c r="A69" s="253"/>
      <c r="B69" s="244"/>
      <c r="C69" s="244"/>
      <c r="D69" s="110" t="s">
        <v>1192</v>
      </c>
      <c r="E69" s="156"/>
      <c r="F69" s="111" t="s">
        <v>1252</v>
      </c>
      <c r="G69" s="107"/>
      <c r="H69" s="108">
        <v>0.33333333333333331</v>
      </c>
      <c r="I69" s="109">
        <f>1-(G69/H69)</f>
        <v>1</v>
      </c>
      <c r="J69" s="109">
        <v>0.9</v>
      </c>
      <c r="K69" s="82"/>
      <c r="L69" s="82"/>
    </row>
    <row r="70" spans="1:12" ht="14.4" customHeight="1">
      <c r="A70" s="253"/>
      <c r="B70" s="244"/>
      <c r="C70" s="245"/>
      <c r="D70" s="110" t="s">
        <v>1192</v>
      </c>
      <c r="E70" s="157"/>
      <c r="F70" s="114" t="s">
        <v>1253</v>
      </c>
      <c r="G70" s="107"/>
      <c r="H70" s="108">
        <v>0.33333333333333298</v>
      </c>
      <c r="I70" s="109">
        <f t="shared" ref="I70:I94" si="1">1-(G70/H70)</f>
        <v>1</v>
      </c>
      <c r="J70" s="109">
        <v>0.9</v>
      </c>
      <c r="K70" s="82"/>
      <c r="L70" s="82"/>
    </row>
    <row r="71" spans="1:12" ht="14.4" customHeight="1">
      <c r="A71" s="253"/>
      <c r="B71" s="244"/>
      <c r="C71" s="248" t="s">
        <v>1196</v>
      </c>
      <c r="D71" s="132" t="s">
        <v>1194</v>
      </c>
      <c r="E71" s="158"/>
      <c r="F71" s="125" t="s">
        <v>1251</v>
      </c>
      <c r="G71" s="126"/>
      <c r="H71" s="127">
        <v>0.33333333333333298</v>
      </c>
      <c r="I71" s="109">
        <f t="shared" si="1"/>
        <v>1</v>
      </c>
      <c r="J71" s="134">
        <v>0.9</v>
      </c>
      <c r="K71" s="135"/>
      <c r="L71" s="136"/>
    </row>
    <row r="72" spans="1:12" ht="14.4" customHeight="1">
      <c r="A72" s="253"/>
      <c r="B72" s="244"/>
      <c r="C72" s="249"/>
      <c r="D72" s="132" t="s">
        <v>1194</v>
      </c>
      <c r="E72" s="158"/>
      <c r="F72" s="125" t="s">
        <v>1252</v>
      </c>
      <c r="G72" s="126"/>
      <c r="H72" s="127">
        <v>0.33333333333333298</v>
      </c>
      <c r="I72" s="109">
        <f t="shared" si="1"/>
        <v>1</v>
      </c>
      <c r="J72" s="134">
        <v>0.9</v>
      </c>
      <c r="K72" s="135"/>
      <c r="L72" s="136"/>
    </row>
    <row r="73" spans="1:12" ht="14.4" customHeight="1">
      <c r="A73" s="253"/>
      <c r="B73" s="244"/>
      <c r="C73" s="250"/>
      <c r="D73" s="132" t="s">
        <v>1194</v>
      </c>
      <c r="E73" s="133"/>
      <c r="F73" s="128" t="s">
        <v>1253</v>
      </c>
      <c r="G73" s="126"/>
      <c r="H73" s="127">
        <v>0.33333333333333298</v>
      </c>
      <c r="I73" s="109">
        <f t="shared" si="1"/>
        <v>1</v>
      </c>
      <c r="J73" s="134">
        <v>0.9</v>
      </c>
      <c r="K73" s="135"/>
      <c r="L73" s="136"/>
    </row>
    <row r="74" spans="1:12" ht="14.4" customHeight="1">
      <c r="A74" s="253"/>
      <c r="B74" s="244"/>
      <c r="C74" s="243" t="s">
        <v>1197</v>
      </c>
      <c r="D74" s="78" t="s">
        <v>1193</v>
      </c>
      <c r="E74" s="159"/>
      <c r="F74" s="111" t="s">
        <v>1251</v>
      </c>
      <c r="G74" s="107"/>
      <c r="H74" s="108">
        <v>0.33333333333333298</v>
      </c>
      <c r="I74" s="109">
        <f t="shared" si="1"/>
        <v>1</v>
      </c>
      <c r="J74" s="109">
        <v>0.9</v>
      </c>
      <c r="K74" s="82"/>
      <c r="L74" s="82"/>
    </row>
    <row r="75" spans="1:12" ht="14.4" customHeight="1">
      <c r="A75" s="253"/>
      <c r="B75" s="244"/>
      <c r="C75" s="244"/>
      <c r="D75" s="78" t="s">
        <v>1193</v>
      </c>
      <c r="E75" s="159"/>
      <c r="F75" s="111" t="s">
        <v>1252</v>
      </c>
      <c r="G75" s="107"/>
      <c r="H75" s="108">
        <v>0.33333333333333298</v>
      </c>
      <c r="I75" s="109">
        <f t="shared" si="1"/>
        <v>1</v>
      </c>
      <c r="J75" s="109">
        <v>0.9</v>
      </c>
      <c r="K75" s="82"/>
      <c r="L75" s="82"/>
    </row>
    <row r="76" spans="1:12" ht="15" customHeight="1" thickBot="1">
      <c r="A76" s="253"/>
      <c r="B76" s="245"/>
      <c r="C76" s="245"/>
      <c r="D76" s="78" t="s">
        <v>1193</v>
      </c>
      <c r="E76" s="113"/>
      <c r="F76" s="114" t="s">
        <v>1253</v>
      </c>
      <c r="G76" s="108"/>
      <c r="H76" s="108">
        <v>0.33333333333333298</v>
      </c>
      <c r="I76" s="109">
        <f t="shared" si="1"/>
        <v>1</v>
      </c>
      <c r="J76" s="109">
        <v>0.9</v>
      </c>
      <c r="K76" s="82"/>
      <c r="L76" s="82"/>
    </row>
    <row r="77" spans="1:12" ht="14.4" customHeight="1">
      <c r="A77" s="253"/>
      <c r="B77" s="251">
        <v>45969</v>
      </c>
      <c r="C77" s="248" t="s">
        <v>1198</v>
      </c>
      <c r="D77" s="132" t="s">
        <v>1192</v>
      </c>
      <c r="E77" s="158"/>
      <c r="F77" s="125" t="s">
        <v>1251</v>
      </c>
      <c r="G77" s="126"/>
      <c r="H77" s="127">
        <v>0.33333333333333298</v>
      </c>
      <c r="I77" s="109">
        <f t="shared" si="1"/>
        <v>1</v>
      </c>
      <c r="J77" s="134">
        <v>0.9</v>
      </c>
      <c r="K77" s="135"/>
      <c r="L77" s="137"/>
    </row>
    <row r="78" spans="1:12" ht="14.4" customHeight="1">
      <c r="A78" s="253"/>
      <c r="B78" s="244"/>
      <c r="C78" s="249"/>
      <c r="D78" s="132" t="s">
        <v>1192</v>
      </c>
      <c r="E78" s="158"/>
      <c r="F78" s="125" t="s">
        <v>1252</v>
      </c>
      <c r="G78" s="126"/>
      <c r="H78" s="127">
        <v>0.33333333333333298</v>
      </c>
      <c r="I78" s="109">
        <f t="shared" si="1"/>
        <v>1</v>
      </c>
      <c r="J78" s="134">
        <v>0.9</v>
      </c>
      <c r="K78" s="135"/>
      <c r="L78" s="136"/>
    </row>
    <row r="79" spans="1:12" ht="14.4" customHeight="1">
      <c r="A79" s="253"/>
      <c r="B79" s="244"/>
      <c r="C79" s="250"/>
      <c r="D79" s="132" t="s">
        <v>1192</v>
      </c>
      <c r="E79" s="133"/>
      <c r="F79" s="128" t="s">
        <v>1253</v>
      </c>
      <c r="G79" s="127"/>
      <c r="H79" s="127">
        <v>0.33333333333333298</v>
      </c>
      <c r="I79" s="109">
        <f t="shared" si="1"/>
        <v>1</v>
      </c>
      <c r="J79" s="134">
        <v>0.9</v>
      </c>
      <c r="K79" s="133"/>
      <c r="L79" s="136"/>
    </row>
    <row r="80" spans="1:12" ht="14.4" customHeight="1">
      <c r="A80" s="253"/>
      <c r="B80" s="244"/>
      <c r="C80" s="243" t="s">
        <v>1196</v>
      </c>
      <c r="D80" s="78" t="s">
        <v>1193</v>
      </c>
      <c r="E80" s="159"/>
      <c r="F80" s="111" t="s">
        <v>1251</v>
      </c>
      <c r="G80" s="107"/>
      <c r="H80" s="108">
        <v>0.33333333333333298</v>
      </c>
      <c r="I80" s="109">
        <f t="shared" si="1"/>
        <v>1</v>
      </c>
      <c r="J80" s="109">
        <v>0.9</v>
      </c>
      <c r="K80" s="112"/>
      <c r="L80" s="112"/>
    </row>
    <row r="81" spans="1:12" ht="14.4" customHeight="1">
      <c r="A81" s="253"/>
      <c r="B81" s="244"/>
      <c r="C81" s="244"/>
      <c r="D81" s="78" t="s">
        <v>1193</v>
      </c>
      <c r="E81" s="159"/>
      <c r="F81" s="111" t="s">
        <v>1252</v>
      </c>
      <c r="G81" s="107"/>
      <c r="H81" s="108">
        <v>0.33333333333333298</v>
      </c>
      <c r="I81" s="109">
        <f t="shared" si="1"/>
        <v>1</v>
      </c>
      <c r="J81" s="109">
        <v>0.9</v>
      </c>
      <c r="K81" s="82"/>
      <c r="L81" s="82"/>
    </row>
    <row r="82" spans="1:12" ht="14.4" customHeight="1">
      <c r="A82" s="253"/>
      <c r="B82" s="244"/>
      <c r="C82" s="245"/>
      <c r="D82" s="78" t="s">
        <v>1193</v>
      </c>
      <c r="E82" s="113"/>
      <c r="F82" s="114" t="s">
        <v>1253</v>
      </c>
      <c r="G82" s="107"/>
      <c r="H82" s="108">
        <v>0.33333333333333331</v>
      </c>
      <c r="I82" s="109">
        <f t="shared" si="1"/>
        <v>1</v>
      </c>
      <c r="J82" s="109">
        <v>0.9</v>
      </c>
      <c r="K82" s="82"/>
      <c r="L82" s="82"/>
    </row>
    <row r="83" spans="1:12" ht="14.4" customHeight="1">
      <c r="A83" s="253"/>
      <c r="B83" s="244"/>
      <c r="C83" s="248" t="s">
        <v>1197</v>
      </c>
      <c r="D83" s="132" t="s">
        <v>1194</v>
      </c>
      <c r="E83" s="158"/>
      <c r="F83" s="125" t="s">
        <v>1251</v>
      </c>
      <c r="G83" s="126"/>
      <c r="H83" s="127">
        <v>0.33333333333333298</v>
      </c>
      <c r="I83" s="109">
        <f t="shared" si="1"/>
        <v>1</v>
      </c>
      <c r="J83" s="134">
        <v>0.9</v>
      </c>
      <c r="K83" s="146"/>
      <c r="L83" s="136"/>
    </row>
    <row r="84" spans="1:12" ht="14.4" customHeight="1">
      <c r="A84" s="253"/>
      <c r="B84" s="244"/>
      <c r="C84" s="249"/>
      <c r="D84" s="132" t="s">
        <v>1194</v>
      </c>
      <c r="E84" s="158"/>
      <c r="F84" s="129" t="s">
        <v>1252</v>
      </c>
      <c r="G84" s="126"/>
      <c r="H84" s="127">
        <v>0.33333333333333298</v>
      </c>
      <c r="I84" s="109">
        <f t="shared" si="1"/>
        <v>1</v>
      </c>
      <c r="J84" s="134">
        <v>0.9</v>
      </c>
      <c r="K84" s="136"/>
      <c r="L84" s="136"/>
    </row>
    <row r="85" spans="1:12" ht="15" customHeight="1" thickBot="1">
      <c r="A85" s="253"/>
      <c r="B85" s="245"/>
      <c r="C85" s="250"/>
      <c r="D85" s="132" t="s">
        <v>1194</v>
      </c>
      <c r="E85" s="133"/>
      <c r="F85" s="128" t="s">
        <v>1253</v>
      </c>
      <c r="G85" s="131">
        <v>4.8611111111111112E-2</v>
      </c>
      <c r="H85" s="131">
        <v>0.33333333333333298</v>
      </c>
      <c r="I85" s="115">
        <f t="shared" si="1"/>
        <v>0.85416666666666652</v>
      </c>
      <c r="J85" s="134">
        <v>0.9</v>
      </c>
      <c r="K85" s="136" t="s">
        <v>1307</v>
      </c>
      <c r="L85" s="136"/>
    </row>
    <row r="86" spans="1:12" ht="14.4" customHeight="1">
      <c r="A86" s="253"/>
      <c r="B86" s="251">
        <v>45970</v>
      </c>
      <c r="C86" s="243" t="s">
        <v>1198</v>
      </c>
      <c r="D86" s="78" t="s">
        <v>1191</v>
      </c>
      <c r="E86" s="159"/>
      <c r="F86" s="111" t="s">
        <v>1251</v>
      </c>
      <c r="G86" s="107"/>
      <c r="H86" s="108">
        <v>0.33333333333333298</v>
      </c>
      <c r="I86" s="109">
        <f t="shared" si="1"/>
        <v>1</v>
      </c>
      <c r="J86" s="109">
        <v>0.9</v>
      </c>
      <c r="K86" s="82"/>
      <c r="L86" s="112"/>
    </row>
    <row r="87" spans="1:12" ht="14.4" customHeight="1">
      <c r="A87" s="253"/>
      <c r="B87" s="244"/>
      <c r="C87" s="244"/>
      <c r="D87" s="78" t="s">
        <v>1191</v>
      </c>
      <c r="E87" s="159"/>
      <c r="F87" s="106" t="s">
        <v>1252</v>
      </c>
      <c r="G87" s="107"/>
      <c r="H87" s="108">
        <v>0.33333333333333298</v>
      </c>
      <c r="I87" s="109">
        <f t="shared" si="1"/>
        <v>1</v>
      </c>
      <c r="J87" s="109">
        <v>0.9</v>
      </c>
      <c r="K87" s="82"/>
      <c r="L87" s="82"/>
    </row>
    <row r="88" spans="1:12" ht="14.4" customHeight="1">
      <c r="A88" s="253"/>
      <c r="B88" s="244"/>
      <c r="C88" s="245"/>
      <c r="D88" s="78" t="s">
        <v>1191</v>
      </c>
      <c r="E88" s="113"/>
      <c r="F88" s="114" t="s">
        <v>1253</v>
      </c>
      <c r="G88" s="107"/>
      <c r="H88" s="108">
        <v>0.33333333333333298</v>
      </c>
      <c r="I88" s="109">
        <f t="shared" si="1"/>
        <v>1</v>
      </c>
      <c r="J88" s="109">
        <v>0.9</v>
      </c>
      <c r="K88" s="82"/>
      <c r="L88" s="82"/>
    </row>
    <row r="89" spans="1:12" ht="14.4" customHeight="1">
      <c r="A89" s="253"/>
      <c r="B89" s="244"/>
      <c r="C89" s="248" t="s">
        <v>1196</v>
      </c>
      <c r="D89" s="132" t="s">
        <v>1192</v>
      </c>
      <c r="E89" s="158"/>
      <c r="F89" s="125" t="s">
        <v>1251</v>
      </c>
      <c r="G89" s="126"/>
      <c r="H89" s="127">
        <v>0.33333333333333298</v>
      </c>
      <c r="I89" s="109">
        <f t="shared" si="1"/>
        <v>1</v>
      </c>
      <c r="J89" s="134">
        <v>0.9</v>
      </c>
      <c r="K89" s="135"/>
      <c r="L89" s="136"/>
    </row>
    <row r="90" spans="1:12" ht="14.4" customHeight="1">
      <c r="A90" s="253"/>
      <c r="B90" s="244"/>
      <c r="C90" s="249"/>
      <c r="D90" s="132" t="s">
        <v>1192</v>
      </c>
      <c r="E90" s="158"/>
      <c r="F90" s="129" t="s">
        <v>1252</v>
      </c>
      <c r="G90" s="126"/>
      <c r="H90" s="127">
        <v>0.33333333333333298</v>
      </c>
      <c r="I90" s="109">
        <f t="shared" si="1"/>
        <v>1</v>
      </c>
      <c r="J90" s="134">
        <v>0.9</v>
      </c>
      <c r="K90" s="135"/>
      <c r="L90" s="136"/>
    </row>
    <row r="91" spans="1:12" ht="14.4" customHeight="1">
      <c r="A91" s="253"/>
      <c r="B91" s="244"/>
      <c r="C91" s="250"/>
      <c r="D91" s="132" t="s">
        <v>1192</v>
      </c>
      <c r="E91" s="133"/>
      <c r="F91" s="128" t="s">
        <v>1253</v>
      </c>
      <c r="G91" s="126"/>
      <c r="H91" s="127">
        <v>0.33333333333333298</v>
      </c>
      <c r="I91" s="109">
        <f t="shared" si="1"/>
        <v>1</v>
      </c>
      <c r="J91" s="134">
        <v>0.9</v>
      </c>
      <c r="K91" s="133"/>
      <c r="L91" s="136"/>
    </row>
    <row r="92" spans="1:12" ht="14.4" customHeight="1">
      <c r="A92" s="253"/>
      <c r="B92" s="244"/>
      <c r="C92" s="243" t="s">
        <v>1197</v>
      </c>
      <c r="D92" s="78" t="s">
        <v>1194</v>
      </c>
      <c r="E92" s="159"/>
      <c r="F92" s="111" t="s">
        <v>1251</v>
      </c>
      <c r="G92" s="107"/>
      <c r="H92" s="108">
        <v>0.33333333333333298</v>
      </c>
      <c r="I92" s="109">
        <f t="shared" si="1"/>
        <v>1</v>
      </c>
      <c r="J92" s="109">
        <v>0.9</v>
      </c>
      <c r="K92" s="82"/>
      <c r="L92" s="82"/>
    </row>
    <row r="93" spans="1:12" ht="14.4" customHeight="1">
      <c r="A93" s="253"/>
      <c r="B93" s="244"/>
      <c r="C93" s="244"/>
      <c r="D93" s="78" t="s">
        <v>1194</v>
      </c>
      <c r="E93" s="159"/>
      <c r="F93" s="106" t="s">
        <v>1252</v>
      </c>
      <c r="G93" s="107"/>
      <c r="H93" s="108">
        <v>0.33333333333333298</v>
      </c>
      <c r="I93" s="109">
        <f t="shared" si="1"/>
        <v>1</v>
      </c>
      <c r="J93" s="109">
        <v>0.9</v>
      </c>
      <c r="K93" s="82"/>
      <c r="L93" s="82"/>
    </row>
    <row r="94" spans="1:12" ht="15" customHeight="1">
      <c r="A94" s="253"/>
      <c r="B94" s="245"/>
      <c r="C94" s="245"/>
      <c r="D94" s="78" t="s">
        <v>1194</v>
      </c>
      <c r="E94" s="113"/>
      <c r="F94" s="114" t="s">
        <v>1253</v>
      </c>
      <c r="G94" s="107"/>
      <c r="H94" s="108">
        <v>0.33333333333333298</v>
      </c>
      <c r="I94" s="109">
        <f t="shared" si="1"/>
        <v>1</v>
      </c>
      <c r="J94" s="109">
        <v>0.9</v>
      </c>
      <c r="K94" s="82"/>
      <c r="L94" s="82"/>
    </row>
    <row r="95" spans="1:12" ht="14.4" customHeight="1">
      <c r="A95" s="253"/>
      <c r="B95" s="117"/>
      <c r="C95" s="117"/>
      <c r="D95" s="118"/>
      <c r="E95" s="118"/>
      <c r="F95" s="119" t="s">
        <v>1251</v>
      </c>
      <c r="G95" s="124"/>
      <c r="H95" s="124"/>
      <c r="I95" s="120">
        <f>AVERAGEIF(F32:F94,F95,I32:I94)</f>
        <v>1</v>
      </c>
      <c r="J95" s="121">
        <v>0.9</v>
      </c>
      <c r="K95" s="118"/>
      <c r="L95" s="116"/>
    </row>
    <row r="96" spans="1:12" ht="14.4" customHeight="1">
      <c r="A96" s="253"/>
      <c r="B96" s="117"/>
      <c r="C96" s="117"/>
      <c r="D96" s="118"/>
      <c r="E96" s="118"/>
      <c r="F96" s="119" t="s">
        <v>1252</v>
      </c>
      <c r="G96" s="124"/>
      <c r="H96" s="124"/>
      <c r="I96" s="120">
        <f>AVERAGEIF(F32:F94,F96,I32:I94)</f>
        <v>0.990079365079365</v>
      </c>
      <c r="J96" s="121">
        <v>0.9</v>
      </c>
      <c r="K96" s="118"/>
      <c r="L96" s="116"/>
    </row>
    <row r="97" spans="1:12" ht="15" customHeight="1" thickBot="1">
      <c r="A97" s="253"/>
      <c r="B97" s="117"/>
      <c r="C97" s="117"/>
      <c r="D97" s="118"/>
      <c r="E97" s="118"/>
      <c r="F97" s="119" t="s">
        <v>1253</v>
      </c>
      <c r="G97" s="124"/>
      <c r="H97" s="124"/>
      <c r="I97" s="120">
        <f>AVERAGEIF(F32:F94,F97,I32:I94)</f>
        <v>0.97083333333333333</v>
      </c>
      <c r="J97" s="121">
        <v>0.9</v>
      </c>
      <c r="K97" s="118"/>
      <c r="L97" s="116"/>
    </row>
    <row r="98" spans="1:12" ht="14.4" customHeight="1">
      <c r="A98" s="252"/>
      <c r="B98" s="251">
        <v>45971</v>
      </c>
      <c r="C98" s="243" t="s">
        <v>1198</v>
      </c>
      <c r="D98" s="110" t="s">
        <v>1201</v>
      </c>
      <c r="E98" s="156"/>
      <c r="F98" s="111" t="s">
        <v>1251</v>
      </c>
      <c r="G98" s="107"/>
      <c r="H98" s="108">
        <v>0.33333333333333331</v>
      </c>
      <c r="I98" s="109">
        <f>1-(G98/H98)</f>
        <v>1</v>
      </c>
      <c r="J98" s="109">
        <v>0.9</v>
      </c>
      <c r="K98" s="82"/>
      <c r="L98" s="82"/>
    </row>
    <row r="99" spans="1:12" ht="14.4" customHeight="1">
      <c r="A99" s="253"/>
      <c r="B99" s="244"/>
      <c r="C99" s="244"/>
      <c r="D99" s="110" t="s">
        <v>1201</v>
      </c>
      <c r="E99" s="156"/>
      <c r="F99" s="111" t="s">
        <v>1252</v>
      </c>
      <c r="G99" s="107"/>
      <c r="H99" s="108">
        <v>0.33333333333333331</v>
      </c>
      <c r="I99" s="109">
        <f>1-(G99/H99)</f>
        <v>1</v>
      </c>
      <c r="J99" s="109">
        <v>0.9</v>
      </c>
      <c r="K99" s="82"/>
      <c r="L99" s="82"/>
    </row>
    <row r="100" spans="1:12" ht="14.4" customHeight="1">
      <c r="A100" s="253"/>
      <c r="B100" s="244"/>
      <c r="C100" s="245"/>
      <c r="D100" s="110" t="s">
        <v>1201</v>
      </c>
      <c r="E100" s="157"/>
      <c r="F100" s="114" t="s">
        <v>1253</v>
      </c>
      <c r="G100" s="107"/>
      <c r="H100" s="108">
        <v>0.33333333333333298</v>
      </c>
      <c r="I100" s="109">
        <f t="shared" ref="I100:I142" si="2">1-(G100/H100)</f>
        <v>1</v>
      </c>
      <c r="J100" s="109">
        <v>0.9</v>
      </c>
      <c r="L100" s="82"/>
    </row>
    <row r="101" spans="1:12" ht="14.4" customHeight="1">
      <c r="A101" s="253"/>
      <c r="B101" s="244"/>
      <c r="C101" s="248" t="s">
        <v>1196</v>
      </c>
      <c r="D101" s="132" t="s">
        <v>1192</v>
      </c>
      <c r="E101" s="158"/>
      <c r="F101" s="125" t="s">
        <v>1251</v>
      </c>
      <c r="G101" s="127">
        <v>0.25</v>
      </c>
      <c r="H101" s="127">
        <v>0.33333333333333298</v>
      </c>
      <c r="I101" s="109">
        <f t="shared" si="2"/>
        <v>0.24999999999999922</v>
      </c>
      <c r="J101" s="134">
        <v>0.9</v>
      </c>
      <c r="K101" s="136" t="s">
        <v>1592</v>
      </c>
      <c r="L101" s="136"/>
    </row>
    <row r="102" spans="1:12" ht="14.4" customHeight="1">
      <c r="A102" s="253"/>
      <c r="B102" s="244"/>
      <c r="C102" s="249"/>
      <c r="D102" s="132" t="s">
        <v>1192</v>
      </c>
      <c r="E102" s="158"/>
      <c r="F102" s="125" t="s">
        <v>1252</v>
      </c>
      <c r="G102" s="127">
        <v>0.25</v>
      </c>
      <c r="H102" s="127">
        <v>0.33333333333333298</v>
      </c>
      <c r="I102" s="109">
        <f t="shared" si="2"/>
        <v>0.24999999999999922</v>
      </c>
      <c r="J102" s="134">
        <v>0.9</v>
      </c>
      <c r="K102" s="136" t="s">
        <v>1592</v>
      </c>
      <c r="L102" s="136"/>
    </row>
    <row r="103" spans="1:12" ht="14.4" customHeight="1">
      <c r="A103" s="253"/>
      <c r="B103" s="244"/>
      <c r="C103" s="250"/>
      <c r="D103" s="132" t="s">
        <v>1192</v>
      </c>
      <c r="E103" s="133"/>
      <c r="F103" s="128" t="s">
        <v>1253</v>
      </c>
      <c r="G103" s="127">
        <v>0.25</v>
      </c>
      <c r="H103" s="127">
        <v>0.33333333333333298</v>
      </c>
      <c r="I103" s="109">
        <f t="shared" si="2"/>
        <v>0.24999999999999922</v>
      </c>
      <c r="J103" s="134">
        <v>0.9</v>
      </c>
      <c r="K103" s="136" t="s">
        <v>1592</v>
      </c>
      <c r="L103" s="136"/>
    </row>
    <row r="104" spans="1:12" ht="14.4" customHeight="1">
      <c r="A104" s="253"/>
      <c r="B104" s="244"/>
      <c r="C104" s="243" t="s">
        <v>1197</v>
      </c>
      <c r="D104" s="78" t="s">
        <v>1194</v>
      </c>
      <c r="E104" s="159"/>
      <c r="F104" s="111" t="s">
        <v>1251</v>
      </c>
      <c r="G104" s="108"/>
      <c r="H104" s="108">
        <v>0.33333333333333298</v>
      </c>
      <c r="I104" s="109">
        <f t="shared" si="2"/>
        <v>1</v>
      </c>
      <c r="J104" s="109">
        <v>0.9</v>
      </c>
      <c r="K104" s="82"/>
      <c r="L104" s="112"/>
    </row>
    <row r="105" spans="1:12" ht="14.4" customHeight="1">
      <c r="A105" s="253"/>
      <c r="B105" s="244"/>
      <c r="C105" s="244"/>
      <c r="D105" s="78" t="s">
        <v>1194</v>
      </c>
      <c r="E105" s="159"/>
      <c r="F105" s="111" t="s">
        <v>1252</v>
      </c>
      <c r="G105" s="108">
        <v>0.10416666666666667</v>
      </c>
      <c r="H105" s="108">
        <v>0.33333333333333298</v>
      </c>
      <c r="I105" s="109">
        <f t="shared" si="2"/>
        <v>0.68749999999999967</v>
      </c>
      <c r="J105" s="109">
        <v>0.9</v>
      </c>
      <c r="K105" s="82" t="s">
        <v>1593</v>
      </c>
      <c r="L105" s="82"/>
    </row>
    <row r="106" spans="1:12" ht="15" customHeight="1" thickBot="1">
      <c r="A106" s="253"/>
      <c r="B106" s="245"/>
      <c r="C106" s="245"/>
      <c r="D106" s="78" t="s">
        <v>1194</v>
      </c>
      <c r="E106" s="113"/>
      <c r="F106" s="114" t="s">
        <v>1253</v>
      </c>
      <c r="G106" s="108"/>
      <c r="H106" s="108">
        <v>0.33333333333333298</v>
      </c>
      <c r="I106" s="109">
        <f t="shared" si="2"/>
        <v>1</v>
      </c>
      <c r="J106" s="109">
        <v>0.9</v>
      </c>
      <c r="K106" s="82"/>
      <c r="L106" s="82"/>
    </row>
    <row r="107" spans="1:12" ht="14.4" customHeight="1">
      <c r="A107" s="253"/>
      <c r="B107" s="251">
        <v>45972</v>
      </c>
      <c r="C107" s="248" t="s">
        <v>1198</v>
      </c>
      <c r="D107" s="132" t="s">
        <v>1193</v>
      </c>
      <c r="E107" s="158"/>
      <c r="F107" s="125" t="s">
        <v>1251</v>
      </c>
      <c r="G107" s="126"/>
      <c r="H107" s="127">
        <v>0.33333333333333298</v>
      </c>
      <c r="I107" s="109">
        <f t="shared" si="2"/>
        <v>1</v>
      </c>
      <c r="J107" s="134">
        <v>0.9</v>
      </c>
      <c r="K107" s="135"/>
      <c r="L107" s="137"/>
    </row>
    <row r="108" spans="1:12" ht="14.4" customHeight="1">
      <c r="A108" s="253"/>
      <c r="B108" s="244"/>
      <c r="C108" s="249"/>
      <c r="D108" s="132" t="s">
        <v>1193</v>
      </c>
      <c r="E108" s="158"/>
      <c r="F108" s="125" t="s">
        <v>1252</v>
      </c>
      <c r="G108" s="126"/>
      <c r="H108" s="127">
        <v>0.33333333333333298</v>
      </c>
      <c r="I108" s="109">
        <f t="shared" si="2"/>
        <v>1</v>
      </c>
      <c r="J108" s="134">
        <v>0.9</v>
      </c>
      <c r="K108" s="135"/>
      <c r="L108" s="136"/>
    </row>
    <row r="109" spans="1:12" ht="14.4" customHeight="1">
      <c r="A109" s="253"/>
      <c r="B109" s="244"/>
      <c r="C109" s="250"/>
      <c r="D109" s="132" t="s">
        <v>1193</v>
      </c>
      <c r="E109" s="133"/>
      <c r="F109" s="128" t="s">
        <v>1253</v>
      </c>
      <c r="G109" s="126"/>
      <c r="H109" s="127">
        <v>0.33333333333333331</v>
      </c>
      <c r="I109" s="109">
        <f t="shared" si="2"/>
        <v>1</v>
      </c>
      <c r="J109" s="134">
        <v>0.9</v>
      </c>
      <c r="K109" s="133"/>
      <c r="L109" s="136"/>
    </row>
    <row r="110" spans="1:12" ht="14.4" customHeight="1">
      <c r="A110" s="253"/>
      <c r="B110" s="244"/>
      <c r="C110" s="243" t="s">
        <v>1196</v>
      </c>
      <c r="D110" s="78" t="s">
        <v>1191</v>
      </c>
      <c r="E110" s="159"/>
      <c r="F110" s="111" t="s">
        <v>1251</v>
      </c>
      <c r="G110" s="107"/>
      <c r="H110" s="108">
        <v>0.33333333333333298</v>
      </c>
      <c r="I110" s="109">
        <f t="shared" si="2"/>
        <v>1</v>
      </c>
      <c r="J110" s="109">
        <v>0.9</v>
      </c>
      <c r="K110" s="82"/>
      <c r="L110" s="112"/>
    </row>
    <row r="111" spans="1:12" ht="14.4" customHeight="1">
      <c r="A111" s="253"/>
      <c r="B111" s="244"/>
      <c r="C111" s="244"/>
      <c r="D111" s="78" t="s">
        <v>1191</v>
      </c>
      <c r="E111" s="159"/>
      <c r="F111" s="111" t="s">
        <v>1252</v>
      </c>
      <c r="G111" s="107"/>
      <c r="H111" s="108">
        <v>0.33333333333333298</v>
      </c>
      <c r="I111" s="109">
        <f t="shared" si="2"/>
        <v>1</v>
      </c>
      <c r="J111" s="109">
        <v>0.9</v>
      </c>
      <c r="K111" s="82"/>
      <c r="L111" s="82"/>
    </row>
    <row r="112" spans="1:12" ht="14.4" customHeight="1">
      <c r="A112" s="253"/>
      <c r="B112" s="244"/>
      <c r="C112" s="245"/>
      <c r="D112" s="78" t="s">
        <v>1191</v>
      </c>
      <c r="E112" s="113"/>
      <c r="F112" s="114" t="s">
        <v>1253</v>
      </c>
      <c r="G112" s="107"/>
      <c r="H112" s="108">
        <v>0.33333333333333298</v>
      </c>
      <c r="I112" s="109">
        <f t="shared" si="2"/>
        <v>1</v>
      </c>
      <c r="J112" s="109">
        <v>0.9</v>
      </c>
      <c r="K112" s="82"/>
      <c r="L112" s="82"/>
    </row>
    <row r="113" spans="1:12" ht="14.4" customHeight="1">
      <c r="A113" s="253"/>
      <c r="B113" s="244"/>
      <c r="C113" s="248" t="s">
        <v>1197</v>
      </c>
      <c r="D113" s="132" t="s">
        <v>1192</v>
      </c>
      <c r="E113" s="158"/>
      <c r="F113" s="125" t="s">
        <v>1251</v>
      </c>
      <c r="G113" s="126"/>
      <c r="H113" s="127">
        <v>0.33333333333333298</v>
      </c>
      <c r="I113" s="109">
        <f t="shared" si="2"/>
        <v>1</v>
      </c>
      <c r="J113" s="134">
        <v>0.9</v>
      </c>
      <c r="K113" s="135"/>
      <c r="L113" s="137"/>
    </row>
    <row r="114" spans="1:12" ht="14.4" customHeight="1">
      <c r="A114" s="253"/>
      <c r="B114" s="244"/>
      <c r="C114" s="249"/>
      <c r="D114" s="132" t="s">
        <v>1192</v>
      </c>
      <c r="E114" s="158"/>
      <c r="F114" s="129" t="s">
        <v>1252</v>
      </c>
      <c r="G114" s="126"/>
      <c r="H114" s="127">
        <v>0.33333333333333298</v>
      </c>
      <c r="I114" s="109">
        <f t="shared" si="2"/>
        <v>1</v>
      </c>
      <c r="J114" s="134">
        <v>0.9</v>
      </c>
      <c r="K114" s="135"/>
      <c r="L114" s="136"/>
    </row>
    <row r="115" spans="1:12" ht="15" customHeight="1" thickBot="1">
      <c r="A115" s="253"/>
      <c r="B115" s="245"/>
      <c r="C115" s="250"/>
      <c r="D115" s="132" t="s">
        <v>1192</v>
      </c>
      <c r="E115" s="133"/>
      <c r="F115" s="128" t="s">
        <v>1253</v>
      </c>
      <c r="G115" s="126"/>
      <c r="H115" s="131">
        <v>0.33333333333333298</v>
      </c>
      <c r="I115" s="115">
        <f t="shared" si="2"/>
        <v>1</v>
      </c>
      <c r="J115" s="134">
        <v>0.9</v>
      </c>
      <c r="K115" s="135"/>
      <c r="L115" s="136"/>
    </row>
    <row r="116" spans="1:12" ht="14.4" customHeight="1">
      <c r="A116" s="253"/>
      <c r="B116" s="251">
        <v>45973</v>
      </c>
      <c r="C116" s="243" t="s">
        <v>1198</v>
      </c>
      <c r="D116" s="78" t="s">
        <v>1193</v>
      </c>
      <c r="E116" s="159"/>
      <c r="F116" s="111" t="s">
        <v>1251</v>
      </c>
      <c r="G116" s="107"/>
      <c r="H116" s="108">
        <v>0.33333333333333331</v>
      </c>
      <c r="I116" s="109">
        <f>1-(G117/H116)</f>
        <v>1</v>
      </c>
      <c r="J116" s="109">
        <v>0.9</v>
      </c>
      <c r="K116" s="82"/>
      <c r="L116" s="112"/>
    </row>
    <row r="117" spans="1:12" ht="14.4" customHeight="1">
      <c r="A117" s="253"/>
      <c r="B117" s="244"/>
      <c r="C117" s="244"/>
      <c r="D117" s="78" t="s">
        <v>1193</v>
      </c>
      <c r="E117" s="159"/>
      <c r="F117" s="106" t="s">
        <v>1252</v>
      </c>
      <c r="G117" s="107"/>
      <c r="H117" s="108">
        <v>0.33333333333333331</v>
      </c>
      <c r="I117" s="109">
        <f>1-(G118/H117)</f>
        <v>1</v>
      </c>
      <c r="J117" s="109">
        <v>0.9</v>
      </c>
      <c r="K117" s="82"/>
      <c r="L117" s="82"/>
    </row>
    <row r="118" spans="1:12" ht="14.4" customHeight="1">
      <c r="A118" s="253"/>
      <c r="B118" s="244"/>
      <c r="C118" s="245"/>
      <c r="D118" s="78" t="s">
        <v>1193</v>
      </c>
      <c r="E118" s="113"/>
      <c r="F118" s="114" t="s">
        <v>1253</v>
      </c>
      <c r="G118" s="107"/>
      <c r="H118" s="108">
        <v>0.33333333333333298</v>
      </c>
      <c r="I118" s="109">
        <f t="shared" si="2"/>
        <v>1</v>
      </c>
      <c r="J118" s="109">
        <v>0.9</v>
      </c>
      <c r="K118" s="82"/>
      <c r="L118" s="82"/>
    </row>
    <row r="119" spans="1:12" ht="14.4" customHeight="1">
      <c r="A119" s="253"/>
      <c r="B119" s="244"/>
      <c r="C119" s="248" t="s">
        <v>1196</v>
      </c>
      <c r="D119" s="132" t="s">
        <v>1191</v>
      </c>
      <c r="E119" s="158"/>
      <c r="F119" s="125" t="s">
        <v>1251</v>
      </c>
      <c r="G119" s="126"/>
      <c r="H119" s="127">
        <v>0.33333333333333298</v>
      </c>
      <c r="I119" s="109">
        <f t="shared" si="2"/>
        <v>1</v>
      </c>
      <c r="J119" s="134">
        <v>0.9</v>
      </c>
      <c r="K119" s="135"/>
      <c r="L119" s="137"/>
    </row>
    <row r="120" spans="1:12" ht="14.4" customHeight="1">
      <c r="A120" s="253"/>
      <c r="B120" s="244"/>
      <c r="C120" s="249"/>
      <c r="D120" s="132" t="s">
        <v>1191</v>
      </c>
      <c r="E120" s="158"/>
      <c r="F120" s="129" t="s">
        <v>1252</v>
      </c>
      <c r="G120" s="126"/>
      <c r="H120" s="127">
        <v>0.33333333333333331</v>
      </c>
      <c r="I120" s="109">
        <f t="shared" si="2"/>
        <v>1</v>
      </c>
      <c r="J120" s="134">
        <v>0.9</v>
      </c>
      <c r="K120" s="135"/>
      <c r="L120" s="136"/>
    </row>
    <row r="121" spans="1:12" ht="14.4" customHeight="1">
      <c r="A121" s="253"/>
      <c r="B121" s="244"/>
      <c r="C121" s="250"/>
      <c r="D121" s="132" t="s">
        <v>1191</v>
      </c>
      <c r="E121" s="133"/>
      <c r="F121" s="128" t="s">
        <v>1253</v>
      </c>
      <c r="G121" s="127"/>
      <c r="H121" s="127">
        <v>0.33333333333333298</v>
      </c>
      <c r="I121" s="109">
        <f t="shared" si="2"/>
        <v>1</v>
      </c>
      <c r="J121" s="134">
        <v>0.9</v>
      </c>
      <c r="K121" s="133"/>
      <c r="L121" s="136"/>
    </row>
    <row r="122" spans="1:12" ht="14.4" customHeight="1">
      <c r="A122" s="253"/>
      <c r="B122" s="244"/>
      <c r="C122" s="243" t="s">
        <v>1197</v>
      </c>
      <c r="D122" s="78" t="s">
        <v>1192</v>
      </c>
      <c r="E122" s="159"/>
      <c r="F122" s="111" t="s">
        <v>1251</v>
      </c>
      <c r="G122" s="107"/>
      <c r="H122" s="108">
        <v>0.33333333333333298</v>
      </c>
      <c r="I122" s="109">
        <f t="shared" si="2"/>
        <v>1</v>
      </c>
      <c r="J122" s="109">
        <v>0.9</v>
      </c>
      <c r="K122" s="82"/>
      <c r="L122" s="112"/>
    </row>
    <row r="123" spans="1:12" ht="14.4" customHeight="1">
      <c r="A123" s="253"/>
      <c r="B123" s="244"/>
      <c r="C123" s="244"/>
      <c r="D123" s="78" t="s">
        <v>1192</v>
      </c>
      <c r="E123" s="159"/>
      <c r="F123" s="106" t="s">
        <v>1252</v>
      </c>
      <c r="G123" s="107"/>
      <c r="H123" s="108">
        <v>0.33333333333333298</v>
      </c>
      <c r="I123" s="109">
        <f t="shared" si="2"/>
        <v>1</v>
      </c>
      <c r="J123" s="109">
        <v>0.9</v>
      </c>
      <c r="K123" s="82"/>
      <c r="L123" s="82"/>
    </row>
    <row r="124" spans="1:12" ht="15" customHeight="1" thickBot="1">
      <c r="A124" s="253"/>
      <c r="B124" s="245"/>
      <c r="C124" s="245"/>
      <c r="D124" s="78" t="s">
        <v>1192</v>
      </c>
      <c r="E124" s="113"/>
      <c r="F124" s="114" t="s">
        <v>1253</v>
      </c>
      <c r="G124" s="108"/>
      <c r="H124" s="108">
        <v>0.33333333333333298</v>
      </c>
      <c r="I124" s="109">
        <f t="shared" si="2"/>
        <v>1</v>
      </c>
      <c r="J124" s="109">
        <v>0.9</v>
      </c>
      <c r="K124" s="82"/>
      <c r="L124" s="82"/>
    </row>
    <row r="125" spans="1:12" ht="14.4" customHeight="1">
      <c r="A125" s="253"/>
      <c r="B125" s="251">
        <v>45974</v>
      </c>
      <c r="C125" s="248" t="s">
        <v>1198</v>
      </c>
      <c r="D125" s="132" t="s">
        <v>1194</v>
      </c>
      <c r="E125" s="158"/>
      <c r="F125" s="125" t="s">
        <v>1251</v>
      </c>
      <c r="G125" s="126"/>
      <c r="H125" s="127">
        <v>0.33333333333333298</v>
      </c>
      <c r="I125" s="109">
        <f t="shared" si="2"/>
        <v>1</v>
      </c>
      <c r="J125" s="134">
        <v>0.9</v>
      </c>
      <c r="K125" s="135"/>
      <c r="L125" s="137"/>
    </row>
    <row r="126" spans="1:12" ht="14.4" customHeight="1">
      <c r="A126" s="253"/>
      <c r="B126" s="244"/>
      <c r="C126" s="249"/>
      <c r="D126" s="132" t="s">
        <v>1194</v>
      </c>
      <c r="E126" s="158"/>
      <c r="F126" s="129" t="s">
        <v>1252</v>
      </c>
      <c r="G126" s="126"/>
      <c r="H126" s="127">
        <v>0.33333333333333298</v>
      </c>
      <c r="I126" s="109">
        <f t="shared" si="2"/>
        <v>1</v>
      </c>
      <c r="J126" s="134">
        <v>0.9</v>
      </c>
      <c r="K126" s="135"/>
      <c r="L126" s="136"/>
    </row>
    <row r="127" spans="1:12" ht="14.4" customHeight="1">
      <c r="A127" s="253"/>
      <c r="B127" s="244"/>
      <c r="C127" s="250"/>
      <c r="D127" s="132" t="s">
        <v>1194</v>
      </c>
      <c r="E127" s="133"/>
      <c r="F127" s="128" t="s">
        <v>1253</v>
      </c>
      <c r="G127" s="127"/>
      <c r="H127" s="127">
        <v>0.33333333333333298</v>
      </c>
      <c r="I127" s="109">
        <f t="shared" si="2"/>
        <v>1</v>
      </c>
      <c r="J127" s="134">
        <v>0.9</v>
      </c>
      <c r="K127" s="133"/>
      <c r="L127" s="136"/>
    </row>
    <row r="128" spans="1:12" ht="14.4" customHeight="1">
      <c r="A128" s="253"/>
      <c r="B128" s="244"/>
      <c r="C128" s="243" t="s">
        <v>1196</v>
      </c>
      <c r="D128" s="78" t="s">
        <v>1193</v>
      </c>
      <c r="E128" s="159"/>
      <c r="F128" s="111" t="s">
        <v>1251</v>
      </c>
      <c r="G128" s="108"/>
      <c r="H128" s="108">
        <v>0.33333333333333298</v>
      </c>
      <c r="I128" s="109">
        <f t="shared" si="2"/>
        <v>1</v>
      </c>
      <c r="J128" s="109">
        <v>0.9</v>
      </c>
      <c r="K128" s="169" t="s">
        <v>1594</v>
      </c>
      <c r="L128" s="112"/>
    </row>
    <row r="129" spans="1:12" ht="14.4" customHeight="1">
      <c r="A129" s="253"/>
      <c r="B129" s="244"/>
      <c r="C129" s="244"/>
      <c r="D129" s="78" t="s">
        <v>1193</v>
      </c>
      <c r="E129" s="159"/>
      <c r="F129" s="106" t="s">
        <v>1252</v>
      </c>
      <c r="G129" s="108"/>
      <c r="H129" s="108">
        <v>0.33333333333333298</v>
      </c>
      <c r="I129" s="109">
        <f t="shared" si="2"/>
        <v>1</v>
      </c>
      <c r="J129" s="109">
        <v>0.9</v>
      </c>
      <c r="K129" s="169" t="s">
        <v>1595</v>
      </c>
      <c r="L129" s="82"/>
    </row>
    <row r="130" spans="1:12" ht="14.4" customHeight="1">
      <c r="A130" s="253"/>
      <c r="B130" s="244"/>
      <c r="C130" s="245"/>
      <c r="D130" s="78" t="s">
        <v>1193</v>
      </c>
      <c r="E130" s="113"/>
      <c r="F130" s="114" t="s">
        <v>1253</v>
      </c>
      <c r="G130" s="108"/>
      <c r="H130" s="108">
        <v>0.33333333333333298</v>
      </c>
      <c r="I130" s="109">
        <f t="shared" si="2"/>
        <v>1</v>
      </c>
      <c r="J130" s="109">
        <v>0.9</v>
      </c>
      <c r="K130" s="169" t="s">
        <v>1596</v>
      </c>
      <c r="L130" s="82"/>
    </row>
    <row r="131" spans="1:12" ht="14.4" customHeight="1">
      <c r="A131" s="253"/>
      <c r="B131" s="244"/>
      <c r="C131" s="248" t="s">
        <v>1197</v>
      </c>
      <c r="D131" s="132" t="s">
        <v>1191</v>
      </c>
      <c r="E131" s="158"/>
      <c r="F131" s="125" t="s">
        <v>1251</v>
      </c>
      <c r="G131" s="127"/>
      <c r="H131" s="127">
        <v>0.33333333333333298</v>
      </c>
      <c r="I131" s="109">
        <f t="shared" si="2"/>
        <v>1</v>
      </c>
      <c r="J131" s="134">
        <v>0.9</v>
      </c>
      <c r="K131" s="196" t="s">
        <v>1597</v>
      </c>
      <c r="L131" s="137"/>
    </row>
    <row r="132" spans="1:12" ht="14.4" customHeight="1">
      <c r="A132" s="253"/>
      <c r="B132" s="244"/>
      <c r="C132" s="249"/>
      <c r="D132" s="132" t="s">
        <v>1191</v>
      </c>
      <c r="E132" s="158"/>
      <c r="F132" s="129" t="s">
        <v>1252</v>
      </c>
      <c r="G132" s="127"/>
      <c r="H132" s="127">
        <v>0.33333333333333298</v>
      </c>
      <c r="I132" s="109">
        <f t="shared" si="2"/>
        <v>1</v>
      </c>
      <c r="J132" s="134">
        <v>0.9</v>
      </c>
      <c r="K132" s="196" t="s">
        <v>1597</v>
      </c>
      <c r="L132" s="136"/>
    </row>
    <row r="133" spans="1:12" ht="15" customHeight="1" thickBot="1">
      <c r="A133" s="253"/>
      <c r="B133" s="245"/>
      <c r="C133" s="250"/>
      <c r="D133" s="132" t="s">
        <v>1191</v>
      </c>
      <c r="E133" s="133"/>
      <c r="F133" s="128" t="s">
        <v>1253</v>
      </c>
      <c r="G133" s="127"/>
      <c r="H133" s="127">
        <v>0.33333333333333298</v>
      </c>
      <c r="I133" s="109">
        <f t="shared" si="2"/>
        <v>1</v>
      </c>
      <c r="J133" s="134">
        <v>0.9</v>
      </c>
      <c r="K133" s="196" t="s">
        <v>1597</v>
      </c>
      <c r="L133" s="136"/>
    </row>
    <row r="134" spans="1:12" ht="14.4" customHeight="1">
      <c r="A134" s="253"/>
      <c r="B134" s="251">
        <v>45975</v>
      </c>
      <c r="C134" s="243" t="s">
        <v>1198</v>
      </c>
      <c r="D134" s="78" t="s">
        <v>1194</v>
      </c>
      <c r="E134" s="159"/>
      <c r="F134" s="111" t="s">
        <v>1251</v>
      </c>
      <c r="G134" s="107"/>
      <c r="H134" s="108">
        <v>0.33333333333333298</v>
      </c>
      <c r="I134" s="109">
        <f t="shared" si="2"/>
        <v>1</v>
      </c>
      <c r="J134" s="109">
        <v>0.9</v>
      </c>
      <c r="K134" s="196" t="s">
        <v>1598</v>
      </c>
      <c r="L134" s="112"/>
    </row>
    <row r="135" spans="1:12" ht="14.4" customHeight="1">
      <c r="A135" s="253"/>
      <c r="B135" s="244"/>
      <c r="C135" s="244"/>
      <c r="D135" s="78" t="s">
        <v>1194</v>
      </c>
      <c r="E135" s="159"/>
      <c r="F135" s="106" t="s">
        <v>1252</v>
      </c>
      <c r="G135" s="107"/>
      <c r="H135" s="108">
        <v>0.33333333333333298</v>
      </c>
      <c r="I135" s="109">
        <f t="shared" si="2"/>
        <v>1</v>
      </c>
      <c r="J135" s="109">
        <v>0.9</v>
      </c>
      <c r="K135" s="196" t="s">
        <v>1599</v>
      </c>
      <c r="L135" s="82"/>
    </row>
    <row r="136" spans="1:12" ht="14.4" customHeight="1">
      <c r="A136" s="253"/>
      <c r="B136" s="244"/>
      <c r="C136" s="245"/>
      <c r="D136" s="78" t="s">
        <v>1194</v>
      </c>
      <c r="E136" s="113"/>
      <c r="F136" s="114" t="s">
        <v>1253</v>
      </c>
      <c r="G136" s="107"/>
      <c r="H136" s="108">
        <v>0.33333333333333331</v>
      </c>
      <c r="I136" s="109">
        <f t="shared" si="2"/>
        <v>1</v>
      </c>
      <c r="J136" s="109">
        <v>0.9</v>
      </c>
      <c r="K136" s="196" t="s">
        <v>1600</v>
      </c>
      <c r="L136" s="82"/>
    </row>
    <row r="137" spans="1:12" ht="14.4" customHeight="1">
      <c r="A137" s="253"/>
      <c r="B137" s="244"/>
      <c r="C137" s="248" t="s">
        <v>1196</v>
      </c>
      <c r="D137" s="132" t="s">
        <v>1193</v>
      </c>
      <c r="E137" s="158"/>
      <c r="F137" s="125" t="s">
        <v>1251</v>
      </c>
      <c r="G137" s="126"/>
      <c r="H137" s="127">
        <v>0.33333333333333298</v>
      </c>
      <c r="I137" s="109">
        <f t="shared" si="2"/>
        <v>1</v>
      </c>
      <c r="J137" s="134">
        <v>0.9</v>
      </c>
      <c r="K137" s="135"/>
      <c r="L137" s="137"/>
    </row>
    <row r="138" spans="1:12" ht="14.4" customHeight="1">
      <c r="A138" s="253"/>
      <c r="B138" s="244"/>
      <c r="C138" s="249"/>
      <c r="D138" s="132" t="s">
        <v>1193</v>
      </c>
      <c r="E138" s="158"/>
      <c r="F138" s="129" t="s">
        <v>1252</v>
      </c>
      <c r="G138" s="126"/>
      <c r="H138" s="127">
        <v>0.33333333333333298</v>
      </c>
      <c r="I138" s="109">
        <f t="shared" si="2"/>
        <v>1</v>
      </c>
      <c r="J138" s="134">
        <v>0.9</v>
      </c>
      <c r="K138" s="135"/>
      <c r="L138" s="136"/>
    </row>
    <row r="139" spans="1:12" ht="14.4" customHeight="1">
      <c r="A139" s="253"/>
      <c r="B139" s="244"/>
      <c r="C139" s="250"/>
      <c r="D139" s="132" t="s">
        <v>1193</v>
      </c>
      <c r="E139" s="133"/>
      <c r="F139" s="128" t="s">
        <v>1253</v>
      </c>
      <c r="G139" s="126"/>
      <c r="H139" s="127">
        <v>0.33333333333333298</v>
      </c>
      <c r="I139" s="109">
        <f t="shared" si="2"/>
        <v>1</v>
      </c>
      <c r="J139" s="134">
        <v>0.9</v>
      </c>
      <c r="K139" s="133"/>
      <c r="L139" s="136"/>
    </row>
    <row r="140" spans="1:12" ht="14.4" customHeight="1">
      <c r="A140" s="253"/>
      <c r="B140" s="244"/>
      <c r="C140" s="243" t="s">
        <v>1197</v>
      </c>
      <c r="D140" s="78" t="s">
        <v>1191</v>
      </c>
      <c r="E140" s="159"/>
      <c r="F140" s="111" t="s">
        <v>1251</v>
      </c>
      <c r="G140" s="107"/>
      <c r="H140" s="108">
        <v>0.33333333333333298</v>
      </c>
      <c r="I140" s="109">
        <f t="shared" si="2"/>
        <v>1</v>
      </c>
      <c r="J140" s="109">
        <v>0.9</v>
      </c>
      <c r="K140" s="82"/>
      <c r="L140" s="82"/>
    </row>
    <row r="141" spans="1:12" ht="14.4" customHeight="1">
      <c r="A141" s="253"/>
      <c r="B141" s="244"/>
      <c r="C141" s="244"/>
      <c r="D141" s="78" t="s">
        <v>1191</v>
      </c>
      <c r="E141" s="159"/>
      <c r="F141" s="106" t="s">
        <v>1252</v>
      </c>
      <c r="G141" s="107"/>
      <c r="H141" s="108">
        <v>0.33333333333333298</v>
      </c>
      <c r="I141" s="109">
        <f t="shared" si="2"/>
        <v>1</v>
      </c>
      <c r="J141" s="109">
        <v>0.9</v>
      </c>
      <c r="K141" s="82"/>
      <c r="L141" s="82"/>
    </row>
    <row r="142" spans="1:12" ht="14.4" customHeight="1" thickBot="1">
      <c r="A142" s="253"/>
      <c r="B142" s="245"/>
      <c r="C142" s="245"/>
      <c r="D142" s="78" t="s">
        <v>1191</v>
      </c>
      <c r="E142" s="113"/>
      <c r="F142" s="114" t="s">
        <v>1253</v>
      </c>
      <c r="G142" s="107"/>
      <c r="H142" s="123">
        <v>0.33333333333333298</v>
      </c>
      <c r="I142" s="109">
        <f t="shared" si="2"/>
        <v>1</v>
      </c>
      <c r="J142" s="109">
        <v>0.9</v>
      </c>
      <c r="K142" s="82"/>
      <c r="L142" s="82"/>
    </row>
    <row r="143" spans="1:12" ht="14.4" customHeight="1">
      <c r="A143" s="253"/>
      <c r="B143" s="251">
        <v>45976</v>
      </c>
      <c r="C143" s="243" t="s">
        <v>1198</v>
      </c>
      <c r="D143" s="78" t="s">
        <v>1192</v>
      </c>
      <c r="E143" s="159"/>
      <c r="F143" s="111" t="s">
        <v>1251</v>
      </c>
      <c r="G143" s="107"/>
      <c r="H143" s="108">
        <v>0.33333333333333298</v>
      </c>
      <c r="I143" s="109">
        <v>1</v>
      </c>
      <c r="J143" s="109">
        <v>0.9</v>
      </c>
      <c r="K143" s="82"/>
      <c r="L143" s="112"/>
    </row>
    <row r="144" spans="1:12" ht="14.4" customHeight="1">
      <c r="A144" s="253"/>
      <c r="B144" s="244"/>
      <c r="C144" s="244"/>
      <c r="D144" s="78" t="s">
        <v>1192</v>
      </c>
      <c r="E144" s="159"/>
      <c r="F144" s="106" t="s">
        <v>1252</v>
      </c>
      <c r="G144" s="107"/>
      <c r="H144" s="108">
        <v>0.33333333333333298</v>
      </c>
      <c r="I144" s="109">
        <v>1</v>
      </c>
      <c r="J144" s="109">
        <v>0.9</v>
      </c>
      <c r="K144" s="82"/>
      <c r="L144" s="82"/>
    </row>
    <row r="145" spans="1:12" ht="14.4" customHeight="1">
      <c r="A145" s="253"/>
      <c r="B145" s="244"/>
      <c r="C145" s="245"/>
      <c r="D145" s="78" t="s">
        <v>1192</v>
      </c>
      <c r="E145" s="113"/>
      <c r="F145" s="114" t="s">
        <v>1253</v>
      </c>
      <c r="G145" s="107">
        <v>4.1666666666666664E-2</v>
      </c>
      <c r="H145" s="108">
        <v>0.33333333333333298</v>
      </c>
      <c r="I145" s="109">
        <v>0.87499999999999989</v>
      </c>
      <c r="J145" s="109">
        <v>0.9</v>
      </c>
      <c r="K145" s="82" t="s">
        <v>1307</v>
      </c>
      <c r="L145" s="82"/>
    </row>
    <row r="146" spans="1:12" ht="14.4" customHeight="1">
      <c r="A146" s="253"/>
      <c r="B146" s="244"/>
      <c r="C146" s="248" t="s">
        <v>1196</v>
      </c>
      <c r="D146" s="132" t="s">
        <v>1194</v>
      </c>
      <c r="E146" s="158"/>
      <c r="F146" s="125" t="s">
        <v>1251</v>
      </c>
      <c r="G146" s="126">
        <v>0.33333333333333331</v>
      </c>
      <c r="H146" s="127">
        <v>0.33333333333333298</v>
      </c>
      <c r="I146" s="109">
        <v>0</v>
      </c>
      <c r="J146" s="134">
        <v>0.9</v>
      </c>
      <c r="K146" s="135" t="s">
        <v>1326</v>
      </c>
      <c r="L146" s="137"/>
    </row>
    <row r="147" spans="1:12" ht="14.4" customHeight="1">
      <c r="A147" s="253"/>
      <c r="B147" s="244"/>
      <c r="C147" s="249"/>
      <c r="D147" s="132" t="s">
        <v>1194</v>
      </c>
      <c r="E147" s="158"/>
      <c r="F147" s="129" t="s">
        <v>1252</v>
      </c>
      <c r="G147" s="126"/>
      <c r="H147" s="127">
        <v>0.33333333333333298</v>
      </c>
      <c r="I147" s="109">
        <v>1</v>
      </c>
      <c r="J147" s="134">
        <v>0.9</v>
      </c>
      <c r="K147" s="135"/>
      <c r="L147" s="136"/>
    </row>
    <row r="148" spans="1:12" ht="14.4" customHeight="1">
      <c r="A148" s="253"/>
      <c r="B148" s="244"/>
      <c r="C148" s="250"/>
      <c r="D148" s="132" t="s">
        <v>1194</v>
      </c>
      <c r="E148" s="133"/>
      <c r="F148" s="128" t="s">
        <v>1253</v>
      </c>
      <c r="G148" s="126">
        <v>0.22916666666666666</v>
      </c>
      <c r="H148" s="127">
        <v>0.33333333333333298</v>
      </c>
      <c r="I148" s="109">
        <v>0.31249999999999933</v>
      </c>
      <c r="J148" s="134">
        <v>0.9</v>
      </c>
      <c r="K148" s="133" t="s">
        <v>1307</v>
      </c>
      <c r="L148" s="136"/>
    </row>
    <row r="149" spans="1:12" ht="14.4" customHeight="1">
      <c r="A149" s="253"/>
      <c r="B149" s="244"/>
      <c r="C149" s="243" t="s">
        <v>1197</v>
      </c>
      <c r="D149" s="78" t="s">
        <v>1193</v>
      </c>
      <c r="E149" s="159"/>
      <c r="F149" s="111" t="s">
        <v>1251</v>
      </c>
      <c r="G149" s="107"/>
      <c r="H149" s="108">
        <v>0.33333333333333298</v>
      </c>
      <c r="I149" s="109">
        <v>1</v>
      </c>
      <c r="J149" s="109">
        <v>0.9</v>
      </c>
      <c r="K149" s="82"/>
      <c r="L149" s="82"/>
    </row>
    <row r="150" spans="1:12" ht="14.4" customHeight="1">
      <c r="A150" s="253"/>
      <c r="B150" s="244"/>
      <c r="C150" s="244"/>
      <c r="D150" s="78" t="s">
        <v>1193</v>
      </c>
      <c r="E150" s="159"/>
      <c r="F150" s="106" t="s">
        <v>1252</v>
      </c>
      <c r="G150" s="107"/>
      <c r="H150" s="108">
        <v>0.33333333333333298</v>
      </c>
      <c r="I150" s="109">
        <v>1</v>
      </c>
      <c r="J150" s="109">
        <v>0.9</v>
      </c>
      <c r="K150" s="82"/>
      <c r="L150" s="82"/>
    </row>
    <row r="151" spans="1:12" ht="14.4" customHeight="1" thickBot="1">
      <c r="A151" s="253"/>
      <c r="B151" s="245"/>
      <c r="C151" s="245"/>
      <c r="D151" s="78" t="s">
        <v>1193</v>
      </c>
      <c r="E151" s="113"/>
      <c r="F151" s="114" t="s">
        <v>1253</v>
      </c>
      <c r="G151" s="122">
        <v>0.33333333333333331</v>
      </c>
      <c r="H151" s="123">
        <v>0.33333333333333298</v>
      </c>
      <c r="I151" s="109">
        <v>0</v>
      </c>
      <c r="J151" s="109">
        <v>0.9</v>
      </c>
      <c r="K151" s="82" t="s">
        <v>1307</v>
      </c>
      <c r="L151" s="82"/>
    </row>
    <row r="152" spans="1:12" ht="14.4" customHeight="1">
      <c r="A152" s="253"/>
      <c r="B152" s="251">
        <v>45977</v>
      </c>
      <c r="C152" s="243" t="s">
        <v>1198</v>
      </c>
      <c r="D152" s="78" t="s">
        <v>1192</v>
      </c>
      <c r="E152" s="159"/>
      <c r="F152" s="197" t="s">
        <v>1251</v>
      </c>
      <c r="G152" s="82"/>
      <c r="H152" s="108">
        <v>0.33333333333333331</v>
      </c>
      <c r="I152" s="109">
        <v>1</v>
      </c>
      <c r="J152" s="109">
        <v>0.9</v>
      </c>
      <c r="L152" s="112"/>
    </row>
    <row r="153" spans="1:12" ht="14.4" customHeight="1">
      <c r="A153" s="253"/>
      <c r="B153" s="244"/>
      <c r="C153" s="244"/>
      <c r="D153" s="78" t="s">
        <v>1192</v>
      </c>
      <c r="E153" s="159"/>
      <c r="F153" s="198" t="s">
        <v>1252</v>
      </c>
      <c r="G153" s="199"/>
      <c r="H153" s="108">
        <v>0.33333333333333331</v>
      </c>
      <c r="I153" s="109">
        <v>1</v>
      </c>
      <c r="J153" s="109">
        <v>0.9</v>
      </c>
      <c r="K153" s="82"/>
      <c r="L153" s="82"/>
    </row>
    <row r="154" spans="1:12" ht="14.4" customHeight="1">
      <c r="A154" s="253"/>
      <c r="B154" s="244"/>
      <c r="C154" s="245"/>
      <c r="D154" s="78" t="s">
        <v>1192</v>
      </c>
      <c r="E154" s="113"/>
      <c r="F154" s="114" t="s">
        <v>1253</v>
      </c>
      <c r="G154" s="108">
        <v>0.33333333333333331</v>
      </c>
      <c r="H154" s="108">
        <v>0.33333333333333298</v>
      </c>
      <c r="I154" s="109">
        <v>0</v>
      </c>
      <c r="J154" s="109">
        <v>0.9</v>
      </c>
      <c r="K154" s="82" t="s">
        <v>1307</v>
      </c>
      <c r="L154" s="82"/>
    </row>
    <row r="155" spans="1:12" ht="14.4" customHeight="1">
      <c r="A155" s="253"/>
      <c r="B155" s="244"/>
      <c r="C155" s="248" t="s">
        <v>1196</v>
      </c>
      <c r="D155" s="132" t="s">
        <v>1194</v>
      </c>
      <c r="E155" s="158"/>
      <c r="F155" s="125" t="s">
        <v>1251</v>
      </c>
      <c r="G155" s="127"/>
      <c r="H155" s="127">
        <v>0.33333333333333331</v>
      </c>
      <c r="I155" s="109">
        <v>1</v>
      </c>
      <c r="J155" s="134">
        <v>0.9</v>
      </c>
      <c r="K155" s="135"/>
      <c r="L155" s="137"/>
    </row>
    <row r="156" spans="1:12" ht="14.4" customHeight="1">
      <c r="A156" s="253"/>
      <c r="B156" s="244"/>
      <c r="C156" s="249"/>
      <c r="D156" s="132" t="s">
        <v>1194</v>
      </c>
      <c r="E156" s="158"/>
      <c r="F156" s="129" t="s">
        <v>1252</v>
      </c>
      <c r="G156" s="126"/>
      <c r="H156" s="127">
        <v>0.33333333333333298</v>
      </c>
      <c r="I156" s="109">
        <v>1</v>
      </c>
      <c r="J156" s="134">
        <v>0.9</v>
      </c>
      <c r="K156" s="135"/>
      <c r="L156" s="136"/>
    </row>
    <row r="157" spans="1:12" ht="14.4" customHeight="1">
      <c r="A157" s="253"/>
      <c r="B157" s="244"/>
      <c r="C157" s="250"/>
      <c r="D157" s="132" t="s">
        <v>1194</v>
      </c>
      <c r="E157" s="133"/>
      <c r="F157" s="128" t="s">
        <v>1253</v>
      </c>
      <c r="G157" s="127">
        <v>0.33333333333333331</v>
      </c>
      <c r="H157" s="127">
        <v>0.33333333333333298</v>
      </c>
      <c r="I157" s="109">
        <v>0</v>
      </c>
      <c r="J157" s="134">
        <v>0.9</v>
      </c>
      <c r="K157" s="133" t="s">
        <v>1307</v>
      </c>
      <c r="L157" s="136"/>
    </row>
    <row r="158" spans="1:12" ht="14.4" customHeight="1">
      <c r="A158" s="253"/>
      <c r="B158" s="244"/>
      <c r="C158" s="243" t="s">
        <v>1197</v>
      </c>
      <c r="D158" s="78" t="s">
        <v>1193</v>
      </c>
      <c r="E158" s="159"/>
      <c r="F158" s="111" t="s">
        <v>1251</v>
      </c>
      <c r="G158" s="107"/>
      <c r="H158" s="108">
        <v>0.33333333333333298</v>
      </c>
      <c r="I158" s="109">
        <v>1</v>
      </c>
      <c r="J158" s="109">
        <v>0.9</v>
      </c>
      <c r="K158" s="82"/>
      <c r="L158" s="82"/>
    </row>
    <row r="159" spans="1:12" ht="14.4" customHeight="1">
      <c r="A159" s="253"/>
      <c r="B159" s="244"/>
      <c r="C159" s="244"/>
      <c r="D159" s="78" t="s">
        <v>1193</v>
      </c>
      <c r="E159" s="159"/>
      <c r="F159" s="106" t="s">
        <v>1252</v>
      </c>
      <c r="G159" s="107"/>
      <c r="H159" s="108">
        <v>0.33333333333333298</v>
      </c>
      <c r="I159" s="109">
        <v>1</v>
      </c>
      <c r="J159" s="109">
        <v>0.9</v>
      </c>
      <c r="K159" s="82"/>
      <c r="L159" s="82"/>
    </row>
    <row r="160" spans="1:12" ht="14.4" customHeight="1">
      <c r="A160" s="253"/>
      <c r="B160" s="245"/>
      <c r="C160" s="245"/>
      <c r="D160" s="78" t="s">
        <v>1193</v>
      </c>
      <c r="E160" s="113"/>
      <c r="F160" s="114" t="s">
        <v>1253</v>
      </c>
      <c r="G160" s="123">
        <v>0.33333333333333331</v>
      </c>
      <c r="H160" s="123">
        <v>0.33333333333333298</v>
      </c>
      <c r="I160" s="109">
        <v>0</v>
      </c>
      <c r="J160" s="109">
        <v>0.9</v>
      </c>
      <c r="K160" s="82" t="s">
        <v>1307</v>
      </c>
      <c r="L160" s="82"/>
    </row>
    <row r="161" spans="1:12" ht="14.4" customHeight="1">
      <c r="A161" s="253"/>
      <c r="B161" s="117"/>
      <c r="C161" s="117"/>
      <c r="D161" s="118"/>
      <c r="E161" s="118"/>
      <c r="F161" s="119" t="s">
        <v>1251</v>
      </c>
      <c r="G161" s="124"/>
      <c r="H161" s="124"/>
      <c r="I161" s="120">
        <f>AVERAGEIF(F98:F160,F161,I98:I160)</f>
        <v>0.91666666666666663</v>
      </c>
      <c r="J161" s="121">
        <v>0.9</v>
      </c>
      <c r="K161" s="118"/>
      <c r="L161" s="116"/>
    </row>
    <row r="162" spans="1:12" ht="14.4" customHeight="1">
      <c r="A162" s="253"/>
      <c r="B162" s="117"/>
      <c r="C162" s="117"/>
      <c r="D162" s="118"/>
      <c r="E162" s="118"/>
      <c r="F162" s="119" t="s">
        <v>1252</v>
      </c>
      <c r="G162" s="124"/>
      <c r="H162" s="124"/>
      <c r="I162" s="120">
        <f>AVERAGEIF(F98:F160,F162,I98:I160)</f>
        <v>0.94940476190476186</v>
      </c>
      <c r="J162" s="121">
        <v>0.9</v>
      </c>
      <c r="K162" s="118"/>
      <c r="L162" s="116"/>
    </row>
    <row r="163" spans="1:12" ht="14.4" customHeight="1" thickBot="1">
      <c r="A163" s="253"/>
      <c r="B163" s="117"/>
      <c r="C163" s="117"/>
      <c r="D163" s="118"/>
      <c r="E163" s="118"/>
      <c r="F163" s="119" t="s">
        <v>1253</v>
      </c>
      <c r="G163" s="124"/>
      <c r="H163" s="124"/>
      <c r="I163" s="120">
        <f>AVERAGEIF(F98:F160,F163,I98:I160)</f>
        <v>0.73511904761904767</v>
      </c>
      <c r="J163" s="121">
        <v>0.9</v>
      </c>
      <c r="K163" s="118"/>
      <c r="L163" s="116"/>
    </row>
    <row r="164" spans="1:12">
      <c r="A164" s="252"/>
      <c r="B164" s="251">
        <v>45978</v>
      </c>
      <c r="C164" s="243" t="s">
        <v>1198</v>
      </c>
      <c r="D164" s="110" t="s">
        <v>1201</v>
      </c>
      <c r="E164" s="156"/>
      <c r="F164" s="111" t="s">
        <v>1251</v>
      </c>
      <c r="G164" s="107"/>
      <c r="H164" s="108">
        <v>0.33333333333333331</v>
      </c>
      <c r="I164" s="109">
        <f>1-(G164/H164)</f>
        <v>1</v>
      </c>
      <c r="J164" s="109">
        <v>0.9</v>
      </c>
      <c r="K164" s="82"/>
      <c r="L164" s="82"/>
    </row>
    <row r="165" spans="1:12">
      <c r="A165" s="253"/>
      <c r="B165" s="244"/>
      <c r="C165" s="244"/>
      <c r="D165" s="110" t="s">
        <v>1201</v>
      </c>
      <c r="E165" s="156"/>
      <c r="F165" s="111" t="s">
        <v>1252</v>
      </c>
      <c r="G165" s="107"/>
      <c r="H165" s="108">
        <v>0.33333333333333331</v>
      </c>
      <c r="I165" s="109">
        <f>1-(G165/H165)</f>
        <v>1</v>
      </c>
      <c r="J165" s="109">
        <v>0.9</v>
      </c>
      <c r="K165" s="82"/>
      <c r="L165" s="82"/>
    </row>
    <row r="166" spans="1:12">
      <c r="A166" s="253"/>
      <c r="B166" s="244"/>
      <c r="C166" s="245"/>
      <c r="D166" s="110" t="s">
        <v>1201</v>
      </c>
      <c r="E166" s="157"/>
      <c r="F166" s="114" t="s">
        <v>1253</v>
      </c>
      <c r="G166" s="108"/>
      <c r="H166" s="108">
        <v>0.33333333333333298</v>
      </c>
      <c r="I166" s="109">
        <f t="shared" ref="I166:I226" si="3">1-(G166/H166)</f>
        <v>1</v>
      </c>
      <c r="J166" s="109">
        <v>0.9</v>
      </c>
      <c r="K166" s="82"/>
      <c r="L166" s="82"/>
    </row>
    <row r="167" spans="1:12">
      <c r="A167" s="253"/>
      <c r="B167" s="244"/>
      <c r="C167" s="248" t="s">
        <v>1196</v>
      </c>
      <c r="D167" s="132" t="s">
        <v>1192</v>
      </c>
      <c r="E167" s="158"/>
      <c r="F167" s="125" t="s">
        <v>1251</v>
      </c>
      <c r="G167" s="126"/>
      <c r="H167" s="127">
        <v>0.33333333333333331</v>
      </c>
      <c r="I167" s="109">
        <f t="shared" si="3"/>
        <v>1</v>
      </c>
      <c r="J167" s="134">
        <v>0.9</v>
      </c>
      <c r="K167" s="135"/>
      <c r="L167" s="136"/>
    </row>
    <row r="168" spans="1:12">
      <c r="A168" s="253"/>
      <c r="B168" s="244"/>
      <c r="C168" s="249"/>
      <c r="D168" s="132" t="s">
        <v>1192</v>
      </c>
      <c r="E168" s="158"/>
      <c r="F168" s="125" t="s">
        <v>1252</v>
      </c>
      <c r="G168" s="126"/>
      <c r="H168" s="127">
        <v>0.33333333333333298</v>
      </c>
      <c r="I168" s="109">
        <f t="shared" si="3"/>
        <v>1</v>
      </c>
      <c r="J168" s="134">
        <v>0.9</v>
      </c>
      <c r="K168" s="135"/>
      <c r="L168" s="136"/>
    </row>
    <row r="169" spans="1:12">
      <c r="A169" s="253"/>
      <c r="B169" s="244"/>
      <c r="C169" s="250"/>
      <c r="D169" s="132" t="s">
        <v>1192</v>
      </c>
      <c r="E169" s="133"/>
      <c r="F169" s="128" t="s">
        <v>1253</v>
      </c>
      <c r="G169" s="126">
        <v>0.29166666666666669</v>
      </c>
      <c r="H169" s="127">
        <v>0.33333333333333298</v>
      </c>
      <c r="I169" s="109">
        <f t="shared" si="3"/>
        <v>0.124999999999999</v>
      </c>
      <c r="J169" s="134">
        <v>0.9</v>
      </c>
      <c r="K169" s="133" t="s">
        <v>1307</v>
      </c>
      <c r="L169" s="136"/>
    </row>
    <row r="170" spans="1:12">
      <c r="A170" s="253"/>
      <c r="B170" s="244"/>
      <c r="C170" s="243" t="s">
        <v>1197</v>
      </c>
      <c r="D170" s="78" t="s">
        <v>1194</v>
      </c>
      <c r="E170" s="159"/>
      <c r="F170" s="111" t="s">
        <v>1251</v>
      </c>
      <c r="G170" s="107">
        <v>0.29166666666666669</v>
      </c>
      <c r="H170" s="108">
        <v>0.33333333333333298</v>
      </c>
      <c r="I170" s="109">
        <f t="shared" si="3"/>
        <v>0.124999999999999</v>
      </c>
      <c r="J170" s="109">
        <v>0.9</v>
      </c>
      <c r="K170" s="82" t="s">
        <v>1331</v>
      </c>
      <c r="L170" s="112"/>
    </row>
    <row r="171" spans="1:12">
      <c r="A171" s="253"/>
      <c r="B171" s="244"/>
      <c r="C171" s="244"/>
      <c r="D171" s="78" t="s">
        <v>1194</v>
      </c>
      <c r="E171" s="159"/>
      <c r="F171" s="111" t="s">
        <v>1252</v>
      </c>
      <c r="G171" s="107">
        <v>0.29166666666666669</v>
      </c>
      <c r="H171" s="108">
        <v>0.33333333333333298</v>
      </c>
      <c r="I171" s="109">
        <f t="shared" si="3"/>
        <v>0.124999999999999</v>
      </c>
      <c r="J171" s="109">
        <v>0.9</v>
      </c>
      <c r="K171" s="82" t="s">
        <v>1331</v>
      </c>
      <c r="L171" s="82"/>
    </row>
    <row r="172" spans="1:12" ht="15" thickBot="1">
      <c r="A172" s="253"/>
      <c r="B172" s="245"/>
      <c r="C172" s="245"/>
      <c r="D172" s="78" t="s">
        <v>1194</v>
      </c>
      <c r="E172" s="113"/>
      <c r="F172" s="114" t="s">
        <v>1253</v>
      </c>
      <c r="G172" s="108">
        <v>0.33333333333333331</v>
      </c>
      <c r="H172" s="108">
        <v>0.33333333333333298</v>
      </c>
      <c r="I172" s="109">
        <f t="shared" si="3"/>
        <v>0</v>
      </c>
      <c r="J172" s="109">
        <v>0.9</v>
      </c>
      <c r="K172" s="82" t="s">
        <v>1307</v>
      </c>
      <c r="L172" s="82"/>
    </row>
    <row r="173" spans="1:12">
      <c r="A173" s="253"/>
      <c r="B173" s="251">
        <v>45979</v>
      </c>
      <c r="C173" s="248" t="s">
        <v>1198</v>
      </c>
      <c r="D173" s="132" t="s">
        <v>1191</v>
      </c>
      <c r="E173" s="158"/>
      <c r="F173" s="125" t="s">
        <v>1251</v>
      </c>
      <c r="G173" s="126">
        <v>0.33333333333333298</v>
      </c>
      <c r="H173" s="127">
        <v>0.33333333333333298</v>
      </c>
      <c r="I173" s="109">
        <f t="shared" si="3"/>
        <v>0</v>
      </c>
      <c r="J173" s="134">
        <v>0.9</v>
      </c>
      <c r="K173" s="137" t="s">
        <v>1331</v>
      </c>
      <c r="L173" s="137"/>
    </row>
    <row r="174" spans="1:12">
      <c r="A174" s="253"/>
      <c r="B174" s="244"/>
      <c r="C174" s="249"/>
      <c r="D174" s="132" t="s">
        <v>1191</v>
      </c>
      <c r="E174" s="158"/>
      <c r="F174" s="125" t="s">
        <v>1252</v>
      </c>
      <c r="G174" s="126">
        <v>0.33333333333333298</v>
      </c>
      <c r="H174" s="127">
        <v>0.33333333333333298</v>
      </c>
      <c r="I174" s="109">
        <f t="shared" si="3"/>
        <v>0</v>
      </c>
      <c r="J174" s="134">
        <v>0.9</v>
      </c>
      <c r="K174" s="137" t="s">
        <v>1331</v>
      </c>
      <c r="L174" s="136"/>
    </row>
    <row r="175" spans="1:12">
      <c r="A175" s="253"/>
      <c r="B175" s="244"/>
      <c r="C175" s="250"/>
      <c r="D175" s="132" t="s">
        <v>1191</v>
      </c>
      <c r="E175" s="133"/>
      <c r="F175" s="128" t="s">
        <v>1253</v>
      </c>
      <c r="G175" s="126">
        <v>0.33333333333333298</v>
      </c>
      <c r="H175" s="127">
        <v>0.33333333333333298</v>
      </c>
      <c r="I175" s="109">
        <f t="shared" si="3"/>
        <v>0</v>
      </c>
      <c r="J175" s="134">
        <v>0.9</v>
      </c>
      <c r="K175" s="137" t="s">
        <v>1331</v>
      </c>
      <c r="L175" s="136"/>
    </row>
    <row r="176" spans="1:12">
      <c r="A176" s="253"/>
      <c r="B176" s="244"/>
      <c r="C176" s="243" t="s">
        <v>1196</v>
      </c>
      <c r="D176" s="78" t="s">
        <v>1192</v>
      </c>
      <c r="E176" s="159"/>
      <c r="F176" s="111" t="s">
        <v>1251</v>
      </c>
      <c r="G176" s="107">
        <v>0.33333333333333298</v>
      </c>
      <c r="H176" s="108">
        <v>0.33333333333333298</v>
      </c>
      <c r="I176" s="109">
        <f t="shared" si="3"/>
        <v>0</v>
      </c>
      <c r="J176" s="109">
        <v>0.9</v>
      </c>
      <c r="K176" s="82" t="s">
        <v>1331</v>
      </c>
      <c r="L176" s="112"/>
    </row>
    <row r="177" spans="1:12">
      <c r="A177" s="253"/>
      <c r="B177" s="244"/>
      <c r="C177" s="244"/>
      <c r="D177" s="78" t="s">
        <v>1192</v>
      </c>
      <c r="E177" s="159"/>
      <c r="F177" s="111" t="s">
        <v>1252</v>
      </c>
      <c r="G177" s="107">
        <v>0.33333333333333298</v>
      </c>
      <c r="H177" s="108">
        <v>0.33333333333333298</v>
      </c>
      <c r="I177" s="109">
        <f t="shared" si="3"/>
        <v>0</v>
      </c>
      <c r="J177" s="109">
        <v>0.9</v>
      </c>
      <c r="K177" s="82" t="s">
        <v>1331</v>
      </c>
      <c r="L177" s="82"/>
    </row>
    <row r="178" spans="1:12">
      <c r="A178" s="253"/>
      <c r="B178" s="244"/>
      <c r="C178" s="245"/>
      <c r="D178" s="78" t="s">
        <v>1192</v>
      </c>
      <c r="E178" s="113"/>
      <c r="F178" s="114" t="s">
        <v>1253</v>
      </c>
      <c r="G178" s="107">
        <v>0.33333333333333298</v>
      </c>
      <c r="H178" s="108">
        <v>0.33333333333333298</v>
      </c>
      <c r="I178" s="109">
        <f t="shared" si="3"/>
        <v>0</v>
      </c>
      <c r="J178" s="109">
        <v>0.9</v>
      </c>
      <c r="K178" s="82" t="s">
        <v>1331</v>
      </c>
      <c r="L178" s="82"/>
    </row>
    <row r="179" spans="1:12">
      <c r="A179" s="253"/>
      <c r="B179" s="244"/>
      <c r="C179" s="248" t="s">
        <v>1197</v>
      </c>
      <c r="D179" s="132" t="s">
        <v>1194</v>
      </c>
      <c r="E179" s="158"/>
      <c r="F179" s="125" t="s">
        <v>1251</v>
      </c>
      <c r="G179" s="126">
        <v>0.33333333333333298</v>
      </c>
      <c r="H179" s="127">
        <v>0.33333333333333298</v>
      </c>
      <c r="I179" s="109">
        <f t="shared" si="3"/>
        <v>0</v>
      </c>
      <c r="J179" s="134">
        <v>0.9</v>
      </c>
      <c r="K179" s="137" t="s">
        <v>1331</v>
      </c>
      <c r="L179" s="137"/>
    </row>
    <row r="180" spans="1:12">
      <c r="A180" s="253"/>
      <c r="B180" s="244"/>
      <c r="C180" s="249"/>
      <c r="D180" s="132" t="s">
        <v>1194</v>
      </c>
      <c r="E180" s="158"/>
      <c r="F180" s="129" t="s">
        <v>1252</v>
      </c>
      <c r="G180" s="126">
        <v>0.33333333333333298</v>
      </c>
      <c r="H180" s="127">
        <v>0.33333333333333298</v>
      </c>
      <c r="I180" s="109">
        <f t="shared" si="3"/>
        <v>0</v>
      </c>
      <c r="J180" s="134">
        <v>0.9</v>
      </c>
      <c r="K180" s="137" t="s">
        <v>1331</v>
      </c>
      <c r="L180" s="136"/>
    </row>
    <row r="181" spans="1:12" ht="15" thickBot="1">
      <c r="A181" s="253"/>
      <c r="B181" s="245"/>
      <c r="C181" s="250"/>
      <c r="D181" s="132" t="s">
        <v>1194</v>
      </c>
      <c r="E181" s="133"/>
      <c r="F181" s="128" t="s">
        <v>1253</v>
      </c>
      <c r="G181" s="126">
        <v>0.33333333333333298</v>
      </c>
      <c r="H181" s="131">
        <v>0.33333333333333298</v>
      </c>
      <c r="I181" s="115">
        <f t="shared" si="3"/>
        <v>0</v>
      </c>
      <c r="J181" s="134">
        <v>0.9</v>
      </c>
      <c r="K181" s="137" t="s">
        <v>1331</v>
      </c>
      <c r="L181" s="136"/>
    </row>
    <row r="182" spans="1:12">
      <c r="A182" s="253"/>
      <c r="B182" s="251">
        <v>45980</v>
      </c>
      <c r="C182" s="243" t="s">
        <v>1198</v>
      </c>
      <c r="D182" s="78" t="s">
        <v>1193</v>
      </c>
      <c r="E182" s="159"/>
      <c r="F182" s="111" t="s">
        <v>1251</v>
      </c>
      <c r="G182" s="107"/>
      <c r="H182" s="108">
        <v>0.33333333333333298</v>
      </c>
      <c r="I182" s="109">
        <f t="shared" si="3"/>
        <v>1</v>
      </c>
      <c r="J182" s="109">
        <v>0.9</v>
      </c>
      <c r="K182" s="82"/>
      <c r="L182" s="112"/>
    </row>
    <row r="183" spans="1:12">
      <c r="A183" s="253"/>
      <c r="B183" s="244"/>
      <c r="C183" s="244"/>
      <c r="D183" s="78" t="s">
        <v>1193</v>
      </c>
      <c r="E183" s="159"/>
      <c r="F183" s="106" t="s">
        <v>1252</v>
      </c>
      <c r="G183" s="107"/>
      <c r="H183" s="108">
        <v>0.33333333333333298</v>
      </c>
      <c r="I183" s="109">
        <f t="shared" si="3"/>
        <v>1</v>
      </c>
      <c r="J183" s="109">
        <v>0.9</v>
      </c>
      <c r="K183" s="82"/>
      <c r="L183" s="82"/>
    </row>
    <row r="184" spans="1:12">
      <c r="A184" s="253"/>
      <c r="B184" s="244"/>
      <c r="C184" s="245"/>
      <c r="D184" s="78" t="s">
        <v>1193</v>
      </c>
      <c r="E184" s="113"/>
      <c r="F184" s="114" t="s">
        <v>1253</v>
      </c>
      <c r="G184" s="107"/>
      <c r="H184" s="108">
        <v>0.33333333333333298</v>
      </c>
      <c r="I184" s="109">
        <f t="shared" si="3"/>
        <v>1</v>
      </c>
      <c r="J184" s="109">
        <v>0.9</v>
      </c>
      <c r="K184" s="82"/>
      <c r="L184" s="82"/>
    </row>
    <row r="185" spans="1:12">
      <c r="A185" s="253"/>
      <c r="B185" s="244"/>
      <c r="C185" s="248" t="s">
        <v>1196</v>
      </c>
      <c r="D185" s="132" t="s">
        <v>1191</v>
      </c>
      <c r="E185" s="158"/>
      <c r="F185" s="125" t="s">
        <v>1251</v>
      </c>
      <c r="G185" s="126"/>
      <c r="H185" s="127">
        <v>0.33333333333333298</v>
      </c>
      <c r="I185" s="109">
        <f t="shared" si="3"/>
        <v>1</v>
      </c>
      <c r="J185" s="134">
        <v>0.9</v>
      </c>
      <c r="K185" s="135"/>
      <c r="L185" s="137"/>
    </row>
    <row r="186" spans="1:12">
      <c r="A186" s="253"/>
      <c r="B186" s="244"/>
      <c r="C186" s="249"/>
      <c r="D186" s="132" t="s">
        <v>1191</v>
      </c>
      <c r="E186" s="158"/>
      <c r="F186" s="129" t="s">
        <v>1252</v>
      </c>
      <c r="G186" s="126"/>
      <c r="H186" s="127">
        <v>0.33333333333333298</v>
      </c>
      <c r="I186" s="109">
        <f t="shared" si="3"/>
        <v>1</v>
      </c>
      <c r="J186" s="134">
        <v>0.9</v>
      </c>
      <c r="K186" s="135"/>
      <c r="L186" s="136"/>
    </row>
    <row r="187" spans="1:12">
      <c r="A187" s="253"/>
      <c r="B187" s="244"/>
      <c r="C187" s="250"/>
      <c r="D187" s="132" t="s">
        <v>1191</v>
      </c>
      <c r="E187" s="133"/>
      <c r="F187" s="128" t="s">
        <v>1253</v>
      </c>
      <c r="G187" s="126"/>
      <c r="H187" s="127">
        <v>0.33333333333333298</v>
      </c>
      <c r="I187" s="109">
        <f t="shared" si="3"/>
        <v>1</v>
      </c>
      <c r="J187" s="134">
        <v>0.9</v>
      </c>
      <c r="K187" s="133"/>
      <c r="L187" s="136"/>
    </row>
    <row r="188" spans="1:12">
      <c r="A188" s="253"/>
      <c r="B188" s="244"/>
      <c r="C188" s="243" t="s">
        <v>1197</v>
      </c>
      <c r="D188" s="78"/>
      <c r="E188" s="159"/>
      <c r="F188" s="111" t="s">
        <v>1251</v>
      </c>
      <c r="G188" s="108">
        <v>0.33333333333333298</v>
      </c>
      <c r="H188" s="108">
        <v>0.33333333333333298</v>
      </c>
      <c r="I188" s="109">
        <f t="shared" si="3"/>
        <v>0</v>
      </c>
      <c r="J188" s="109">
        <v>0.9</v>
      </c>
      <c r="K188" s="82" t="s">
        <v>1331</v>
      </c>
      <c r="L188" s="112"/>
    </row>
    <row r="189" spans="1:12">
      <c r="A189" s="253"/>
      <c r="B189" s="244"/>
      <c r="C189" s="244"/>
      <c r="D189" s="78"/>
      <c r="E189" s="159"/>
      <c r="F189" s="106" t="s">
        <v>1252</v>
      </c>
      <c r="G189" s="107">
        <v>0.33333333333333298</v>
      </c>
      <c r="H189" s="108">
        <v>0.33333333333333298</v>
      </c>
      <c r="I189" s="109">
        <f t="shared" si="3"/>
        <v>0</v>
      </c>
      <c r="J189" s="109">
        <v>0.9</v>
      </c>
      <c r="K189" s="82" t="s">
        <v>1331</v>
      </c>
      <c r="L189" s="82"/>
    </row>
    <row r="190" spans="1:12" ht="15" thickBot="1">
      <c r="A190" s="253"/>
      <c r="B190" s="245"/>
      <c r="C190" s="245"/>
      <c r="D190" s="78"/>
      <c r="E190" s="113"/>
      <c r="F190" s="114" t="s">
        <v>1253</v>
      </c>
      <c r="G190" s="107">
        <v>0.33333333333333298</v>
      </c>
      <c r="H190" s="108">
        <v>0.33333333333333298</v>
      </c>
      <c r="I190" s="109">
        <f t="shared" si="3"/>
        <v>0</v>
      </c>
      <c r="J190" s="109">
        <v>0.9</v>
      </c>
      <c r="K190" s="82" t="s">
        <v>1331</v>
      </c>
      <c r="L190" s="82"/>
    </row>
    <row r="191" spans="1:12">
      <c r="A191" s="253"/>
      <c r="B191" s="251">
        <v>45981</v>
      </c>
      <c r="C191" s="248" t="s">
        <v>1198</v>
      </c>
      <c r="D191" s="132"/>
      <c r="E191" s="158"/>
      <c r="F191" s="125" t="s">
        <v>1251</v>
      </c>
      <c r="G191" s="126">
        <v>0.33333333333333298</v>
      </c>
      <c r="H191" s="127">
        <v>0.33333333333333298</v>
      </c>
      <c r="I191" s="109">
        <f t="shared" si="3"/>
        <v>0</v>
      </c>
      <c r="J191" s="134">
        <v>0.9</v>
      </c>
      <c r="K191" s="137" t="s">
        <v>1331</v>
      </c>
      <c r="L191" s="137"/>
    </row>
    <row r="192" spans="1:12">
      <c r="A192" s="253"/>
      <c r="B192" s="244"/>
      <c r="C192" s="249"/>
      <c r="D192" s="132"/>
      <c r="E192" s="158"/>
      <c r="F192" s="129" t="s">
        <v>1252</v>
      </c>
      <c r="G192" s="126">
        <v>0.33333333333333298</v>
      </c>
      <c r="H192" s="127">
        <v>0.33333333333333331</v>
      </c>
      <c r="I192" s="109">
        <f t="shared" si="3"/>
        <v>0</v>
      </c>
      <c r="J192" s="134">
        <v>0.9</v>
      </c>
      <c r="K192" s="137" t="s">
        <v>1331</v>
      </c>
      <c r="L192" s="136"/>
    </row>
    <row r="193" spans="1:12">
      <c r="A193" s="253"/>
      <c r="B193" s="244"/>
      <c r="C193" s="250"/>
      <c r="D193" s="132"/>
      <c r="E193" s="133"/>
      <c r="F193" s="128" t="s">
        <v>1253</v>
      </c>
      <c r="G193" s="126">
        <v>0.33333333333333298</v>
      </c>
      <c r="H193" s="127">
        <v>0.33333333333333298</v>
      </c>
      <c r="I193" s="109">
        <f t="shared" si="3"/>
        <v>0</v>
      </c>
      <c r="J193" s="134">
        <v>0.9</v>
      </c>
      <c r="K193" s="137" t="s">
        <v>1331</v>
      </c>
      <c r="L193" s="136"/>
    </row>
    <row r="194" spans="1:12">
      <c r="A194" s="253"/>
      <c r="B194" s="244"/>
      <c r="C194" s="243" t="s">
        <v>1196</v>
      </c>
      <c r="D194" s="78"/>
      <c r="E194" s="159"/>
      <c r="F194" s="111" t="s">
        <v>1251</v>
      </c>
      <c r="G194" s="107">
        <v>0.33333333333333298</v>
      </c>
      <c r="H194" s="108">
        <v>0.33333333333333298</v>
      </c>
      <c r="I194" s="109">
        <f t="shared" si="3"/>
        <v>0</v>
      </c>
      <c r="J194" s="109">
        <v>0.9</v>
      </c>
      <c r="K194" s="82" t="s">
        <v>1331</v>
      </c>
      <c r="L194" s="112"/>
    </row>
    <row r="195" spans="1:12">
      <c r="A195" s="253"/>
      <c r="B195" s="244"/>
      <c r="C195" s="244"/>
      <c r="D195" s="78"/>
      <c r="E195" s="159"/>
      <c r="F195" s="106" t="s">
        <v>1252</v>
      </c>
      <c r="G195" s="107">
        <v>0.33333333333333298</v>
      </c>
      <c r="H195" s="108">
        <v>0.33333333333333298</v>
      </c>
      <c r="I195" s="109">
        <f t="shared" si="3"/>
        <v>0</v>
      </c>
      <c r="J195" s="109">
        <v>0.9</v>
      </c>
      <c r="K195" s="82" t="s">
        <v>1331</v>
      </c>
      <c r="L195" s="82"/>
    </row>
    <row r="196" spans="1:12">
      <c r="A196" s="253"/>
      <c r="B196" s="244"/>
      <c r="C196" s="245"/>
      <c r="D196" s="78"/>
      <c r="E196" s="113"/>
      <c r="F196" s="114" t="s">
        <v>1253</v>
      </c>
      <c r="G196" s="107">
        <v>0.33333333333333298</v>
      </c>
      <c r="H196" s="108">
        <v>0.33333333333333298</v>
      </c>
      <c r="I196" s="109">
        <f t="shared" si="3"/>
        <v>0</v>
      </c>
      <c r="J196" s="109">
        <v>0.9</v>
      </c>
      <c r="K196" s="82" t="s">
        <v>1331</v>
      </c>
      <c r="L196" s="82"/>
    </row>
    <row r="197" spans="1:12">
      <c r="A197" s="253"/>
      <c r="B197" s="244"/>
      <c r="C197" s="248" t="s">
        <v>1197</v>
      </c>
      <c r="D197" s="132"/>
      <c r="E197" s="158"/>
      <c r="F197" s="125" t="s">
        <v>1251</v>
      </c>
      <c r="G197" s="126">
        <v>0.33333333333333298</v>
      </c>
      <c r="H197" s="127">
        <v>0.33333333333333298</v>
      </c>
      <c r="I197" s="109">
        <f t="shared" si="3"/>
        <v>0</v>
      </c>
      <c r="J197" s="134">
        <v>0.9</v>
      </c>
      <c r="K197" s="137" t="s">
        <v>1331</v>
      </c>
      <c r="L197" s="137"/>
    </row>
    <row r="198" spans="1:12">
      <c r="A198" s="253"/>
      <c r="B198" s="244"/>
      <c r="C198" s="249"/>
      <c r="D198" s="132"/>
      <c r="E198" s="158"/>
      <c r="F198" s="129" t="s">
        <v>1252</v>
      </c>
      <c r="G198" s="126">
        <v>0.33333333333333298</v>
      </c>
      <c r="H198" s="127">
        <v>0.33333333333333298</v>
      </c>
      <c r="I198" s="109">
        <f t="shared" si="3"/>
        <v>0</v>
      </c>
      <c r="J198" s="134">
        <v>0.9</v>
      </c>
      <c r="K198" s="137" t="s">
        <v>1331</v>
      </c>
      <c r="L198" s="136"/>
    </row>
    <row r="199" spans="1:12" ht="15" thickBot="1">
      <c r="A199" s="253"/>
      <c r="B199" s="245"/>
      <c r="C199" s="250"/>
      <c r="D199" s="132"/>
      <c r="E199" s="133"/>
      <c r="F199" s="128" t="s">
        <v>1253</v>
      </c>
      <c r="G199" s="126">
        <v>0.33333333333333298</v>
      </c>
      <c r="H199" s="127">
        <v>0.33333333333333298</v>
      </c>
      <c r="I199" s="109">
        <f t="shared" si="3"/>
        <v>0</v>
      </c>
      <c r="J199" s="134">
        <v>0.9</v>
      </c>
      <c r="K199" s="137" t="s">
        <v>1331</v>
      </c>
      <c r="L199" s="136"/>
    </row>
    <row r="200" spans="1:12">
      <c r="A200" s="253"/>
      <c r="B200" s="251">
        <v>45982</v>
      </c>
      <c r="C200" s="248" t="s">
        <v>1198</v>
      </c>
      <c r="D200" s="132"/>
      <c r="E200" s="158"/>
      <c r="F200" s="125" t="s">
        <v>1251</v>
      </c>
      <c r="G200" s="126">
        <v>0.33333333333333298</v>
      </c>
      <c r="H200" s="127">
        <v>0.33333333333333298</v>
      </c>
      <c r="I200" s="109">
        <f t="shared" si="3"/>
        <v>0</v>
      </c>
      <c r="J200" s="134">
        <v>0.9</v>
      </c>
      <c r="K200" s="137" t="s">
        <v>1331</v>
      </c>
      <c r="L200" s="137"/>
    </row>
    <row r="201" spans="1:12">
      <c r="A201" s="253"/>
      <c r="B201" s="244"/>
      <c r="C201" s="249"/>
      <c r="D201" s="132"/>
      <c r="E201" s="158"/>
      <c r="F201" s="129" t="s">
        <v>1252</v>
      </c>
      <c r="G201" s="126">
        <v>0.33333333333333298</v>
      </c>
      <c r="H201" s="127">
        <v>0.33333333333333298</v>
      </c>
      <c r="I201" s="109">
        <f t="shared" si="3"/>
        <v>0</v>
      </c>
      <c r="J201" s="134">
        <v>0.9</v>
      </c>
      <c r="K201" s="137" t="s">
        <v>1331</v>
      </c>
      <c r="L201" s="136"/>
    </row>
    <row r="202" spans="1:12">
      <c r="A202" s="253"/>
      <c r="B202" s="244"/>
      <c r="C202" s="250"/>
      <c r="D202" s="132"/>
      <c r="E202" s="133"/>
      <c r="F202" s="128" t="s">
        <v>1253</v>
      </c>
      <c r="G202" s="126">
        <v>0.33333333333333298</v>
      </c>
      <c r="H202" s="127">
        <v>0.33333333333333331</v>
      </c>
      <c r="I202" s="109">
        <f t="shared" si="3"/>
        <v>0</v>
      </c>
      <c r="J202" s="134">
        <v>0.9</v>
      </c>
      <c r="K202" s="137" t="s">
        <v>1331</v>
      </c>
      <c r="L202" s="136"/>
    </row>
    <row r="203" spans="1:12">
      <c r="A203" s="253"/>
      <c r="B203" s="244"/>
      <c r="C203" s="243" t="s">
        <v>1196</v>
      </c>
      <c r="D203" s="78" t="s">
        <v>1193</v>
      </c>
      <c r="E203" s="159"/>
      <c r="F203" s="111" t="s">
        <v>1251</v>
      </c>
      <c r="G203" s="107">
        <v>0.33333333333333298</v>
      </c>
      <c r="H203" s="108">
        <v>0.33333333333333298</v>
      </c>
      <c r="I203" s="109">
        <f t="shared" si="3"/>
        <v>0</v>
      </c>
      <c r="J203" s="109">
        <v>0.9</v>
      </c>
      <c r="K203" s="82" t="s">
        <v>1331</v>
      </c>
      <c r="L203" s="112"/>
    </row>
    <row r="204" spans="1:12">
      <c r="A204" s="253"/>
      <c r="B204" s="244"/>
      <c r="C204" s="244"/>
      <c r="D204" s="78" t="s">
        <v>1193</v>
      </c>
      <c r="E204" s="159"/>
      <c r="F204" s="106" t="s">
        <v>1252</v>
      </c>
      <c r="G204" s="107">
        <v>0.33333333333333298</v>
      </c>
      <c r="H204" s="108">
        <v>0.33333333333333298</v>
      </c>
      <c r="I204" s="109">
        <f t="shared" si="3"/>
        <v>0</v>
      </c>
      <c r="J204" s="109">
        <v>0.9</v>
      </c>
      <c r="K204" s="82" t="s">
        <v>1331</v>
      </c>
      <c r="L204" s="82"/>
    </row>
    <row r="205" spans="1:12">
      <c r="A205" s="253"/>
      <c r="B205" s="244"/>
      <c r="C205" s="245"/>
      <c r="D205" s="78" t="s">
        <v>1193</v>
      </c>
      <c r="E205" s="113"/>
      <c r="F205" s="114" t="s">
        <v>1253</v>
      </c>
      <c r="G205" s="107">
        <v>0.33333333333333298</v>
      </c>
      <c r="H205" s="108">
        <v>0.33333333333333298</v>
      </c>
      <c r="I205" s="109">
        <f t="shared" si="3"/>
        <v>0</v>
      </c>
      <c r="J205" s="109">
        <v>0.9</v>
      </c>
      <c r="K205" s="82" t="s">
        <v>1331</v>
      </c>
      <c r="L205" s="82"/>
    </row>
    <row r="206" spans="1:12">
      <c r="A206" s="253"/>
      <c r="B206" s="244"/>
      <c r="C206" s="248" t="s">
        <v>1197</v>
      </c>
      <c r="D206" s="132" t="s">
        <v>1191</v>
      </c>
      <c r="E206" s="158"/>
      <c r="F206" s="125" t="s">
        <v>1251</v>
      </c>
      <c r="G206" s="126"/>
      <c r="H206" s="127">
        <v>0.33333333333333298</v>
      </c>
      <c r="I206" s="109">
        <f t="shared" si="3"/>
        <v>1</v>
      </c>
      <c r="J206" s="134">
        <v>0.9</v>
      </c>
      <c r="K206" s="133" t="s">
        <v>1601</v>
      </c>
      <c r="L206" s="137"/>
    </row>
    <row r="207" spans="1:12">
      <c r="A207" s="253"/>
      <c r="B207" s="244"/>
      <c r="C207" s="249"/>
      <c r="D207" s="132" t="s">
        <v>1191</v>
      </c>
      <c r="E207" s="158"/>
      <c r="F207" s="129" t="s">
        <v>1252</v>
      </c>
      <c r="G207" s="126"/>
      <c r="H207" s="127">
        <v>0.33333333333333298</v>
      </c>
      <c r="I207" s="109">
        <f t="shared" si="3"/>
        <v>1</v>
      </c>
      <c r="J207" s="134">
        <v>0.9</v>
      </c>
      <c r="K207" s="135"/>
      <c r="L207" s="136"/>
    </row>
    <row r="208" spans="1:12" ht="15" thickBot="1">
      <c r="A208" s="253"/>
      <c r="B208" s="245"/>
      <c r="C208" s="250"/>
      <c r="D208" s="132" t="s">
        <v>1191</v>
      </c>
      <c r="E208" s="133"/>
      <c r="F208" s="128" t="s">
        <v>1253</v>
      </c>
      <c r="G208" s="126"/>
      <c r="H208" s="127">
        <v>0.33333333333333298</v>
      </c>
      <c r="I208" s="109">
        <f t="shared" si="3"/>
        <v>1</v>
      </c>
      <c r="J208" s="134">
        <v>0.9</v>
      </c>
      <c r="K208" s="133"/>
      <c r="L208" s="136"/>
    </row>
    <row r="209" spans="1:12">
      <c r="A209" s="253"/>
      <c r="B209" s="251">
        <v>45983</v>
      </c>
      <c r="C209" s="248" t="s">
        <v>1198</v>
      </c>
      <c r="D209" s="132" t="s">
        <v>1194</v>
      </c>
      <c r="E209" s="158"/>
      <c r="F209" s="125" t="s">
        <v>1251</v>
      </c>
      <c r="G209" s="126"/>
      <c r="H209" s="127">
        <v>0.33333333333333298</v>
      </c>
      <c r="I209" s="109">
        <f t="shared" si="3"/>
        <v>1</v>
      </c>
      <c r="J209" s="134">
        <v>0.9</v>
      </c>
      <c r="K209" s="135"/>
      <c r="L209" s="137"/>
    </row>
    <row r="210" spans="1:12">
      <c r="A210" s="253"/>
      <c r="B210" s="244"/>
      <c r="C210" s="249"/>
      <c r="D210" s="132" t="s">
        <v>1194</v>
      </c>
      <c r="E210" s="158"/>
      <c r="F210" s="129" t="s">
        <v>1252</v>
      </c>
      <c r="G210" s="126"/>
      <c r="H210" s="127">
        <v>0.33333333333333298</v>
      </c>
      <c r="I210" s="109">
        <f t="shared" si="3"/>
        <v>1</v>
      </c>
      <c r="J210" s="134">
        <v>0.9</v>
      </c>
      <c r="K210" s="135"/>
      <c r="L210" s="136"/>
    </row>
    <row r="211" spans="1:12">
      <c r="A211" s="253"/>
      <c r="B211" s="244"/>
      <c r="C211" s="250"/>
      <c r="D211" s="132" t="s">
        <v>1194</v>
      </c>
      <c r="E211" s="133"/>
      <c r="F211" s="128" t="s">
        <v>1253</v>
      </c>
      <c r="G211" s="126"/>
      <c r="H211" s="127">
        <v>0.33333333333333298</v>
      </c>
      <c r="I211" s="109">
        <f t="shared" si="3"/>
        <v>1</v>
      </c>
      <c r="J211" s="134">
        <v>0.9</v>
      </c>
      <c r="K211" s="135"/>
      <c r="L211" s="136"/>
    </row>
    <row r="212" spans="1:12">
      <c r="A212" s="253"/>
      <c r="B212" s="244"/>
      <c r="C212" s="243" t="s">
        <v>1196</v>
      </c>
      <c r="D212" s="78" t="s">
        <v>1193</v>
      </c>
      <c r="E212" s="159"/>
      <c r="F212" s="111" t="s">
        <v>1251</v>
      </c>
      <c r="G212" s="107"/>
      <c r="H212" s="108">
        <v>0.33333333333333298</v>
      </c>
      <c r="I212" s="109">
        <f t="shared" si="3"/>
        <v>1</v>
      </c>
      <c r="J212" s="109">
        <v>0.9</v>
      </c>
      <c r="K212" s="82"/>
      <c r="L212" s="112"/>
    </row>
    <row r="213" spans="1:12">
      <c r="A213" s="253"/>
      <c r="B213" s="244"/>
      <c r="C213" s="244"/>
      <c r="D213" s="78" t="s">
        <v>1193</v>
      </c>
      <c r="E213" s="159"/>
      <c r="F213" s="106" t="s">
        <v>1252</v>
      </c>
      <c r="G213" s="107"/>
      <c r="H213" s="108">
        <v>0.33333333333333298</v>
      </c>
      <c r="I213" s="109">
        <f t="shared" si="3"/>
        <v>1</v>
      </c>
      <c r="J213" s="109">
        <v>0.9</v>
      </c>
      <c r="K213" s="82"/>
      <c r="L213" s="82"/>
    </row>
    <row r="214" spans="1:12">
      <c r="A214" s="253"/>
      <c r="B214" s="244"/>
      <c r="C214" s="245"/>
      <c r="D214" s="78" t="s">
        <v>1193</v>
      </c>
      <c r="E214" s="113"/>
      <c r="F214" s="114" t="s">
        <v>1253</v>
      </c>
      <c r="G214" s="107"/>
      <c r="H214" s="108">
        <v>0.33333333333333298</v>
      </c>
      <c r="I214" s="109">
        <f t="shared" si="3"/>
        <v>1</v>
      </c>
      <c r="J214" s="109">
        <v>0.9</v>
      </c>
      <c r="K214" s="82"/>
      <c r="L214" s="82"/>
    </row>
    <row r="215" spans="1:12">
      <c r="A215" s="253"/>
      <c r="B215" s="244"/>
      <c r="C215" s="248" t="s">
        <v>1197</v>
      </c>
      <c r="D215" s="132" t="s">
        <v>1191</v>
      </c>
      <c r="E215" s="158"/>
      <c r="F215" s="125" t="s">
        <v>1251</v>
      </c>
      <c r="G215" s="126"/>
      <c r="H215" s="127">
        <v>0.33333333333333298</v>
      </c>
      <c r="I215" s="109">
        <f t="shared" si="3"/>
        <v>1</v>
      </c>
      <c r="J215" s="134">
        <v>0.9</v>
      </c>
      <c r="K215" s="133"/>
      <c r="L215" s="137"/>
    </row>
    <row r="216" spans="1:12">
      <c r="A216" s="253"/>
      <c r="B216" s="244"/>
      <c r="C216" s="249"/>
      <c r="D216" s="132" t="s">
        <v>1191</v>
      </c>
      <c r="E216" s="158"/>
      <c r="F216" s="129" t="s">
        <v>1252</v>
      </c>
      <c r="G216" s="126"/>
      <c r="H216" s="127">
        <v>0.33333333333333298</v>
      </c>
      <c r="I216" s="109">
        <f t="shared" si="3"/>
        <v>1</v>
      </c>
      <c r="J216" s="134">
        <v>0.9</v>
      </c>
      <c r="K216" s="135"/>
      <c r="L216" s="136"/>
    </row>
    <row r="217" spans="1:12" ht="15" thickBot="1">
      <c r="A217" s="253"/>
      <c r="B217" s="245"/>
      <c r="C217" s="250"/>
      <c r="D217" s="132" t="s">
        <v>1191</v>
      </c>
      <c r="E217" s="133"/>
      <c r="F217" s="128" t="s">
        <v>1253</v>
      </c>
      <c r="G217" s="126"/>
      <c r="H217" s="127">
        <v>0.33333333333333298</v>
      </c>
      <c r="I217" s="109">
        <f t="shared" si="3"/>
        <v>1</v>
      </c>
      <c r="J217" s="134">
        <v>0.9</v>
      </c>
      <c r="K217" s="133"/>
      <c r="L217" s="136"/>
    </row>
    <row r="218" spans="1:12">
      <c r="A218" s="253"/>
      <c r="B218" s="251">
        <v>45984</v>
      </c>
      <c r="C218" s="248" t="s">
        <v>1198</v>
      </c>
      <c r="D218" s="132" t="s">
        <v>1192</v>
      </c>
      <c r="E218" s="158"/>
      <c r="F218" s="125" t="s">
        <v>1251</v>
      </c>
      <c r="G218" s="126"/>
      <c r="H218" s="127">
        <v>0.33333333333333298</v>
      </c>
      <c r="I218" s="109">
        <f t="shared" si="3"/>
        <v>1</v>
      </c>
      <c r="J218" s="134">
        <v>0.9</v>
      </c>
      <c r="K218" s="77" t="s">
        <v>1602</v>
      </c>
      <c r="L218" s="137"/>
    </row>
    <row r="219" spans="1:12">
      <c r="A219" s="253"/>
      <c r="B219" s="244"/>
      <c r="C219" s="249"/>
      <c r="D219" s="132" t="s">
        <v>1192</v>
      </c>
      <c r="E219" s="158"/>
      <c r="F219" s="129" t="s">
        <v>1252</v>
      </c>
      <c r="G219" s="126"/>
      <c r="H219" s="127">
        <v>0.33333333333333298</v>
      </c>
      <c r="I219" s="109">
        <f t="shared" si="3"/>
        <v>1</v>
      </c>
      <c r="J219" s="134">
        <v>0.9</v>
      </c>
      <c r="K219" s="77" t="s">
        <v>1603</v>
      </c>
      <c r="L219" s="136"/>
    </row>
    <row r="220" spans="1:12">
      <c r="A220" s="253"/>
      <c r="B220" s="244"/>
      <c r="C220" s="250"/>
      <c r="D220" s="132" t="s">
        <v>1192</v>
      </c>
      <c r="E220" s="133"/>
      <c r="F220" s="128" t="s">
        <v>1253</v>
      </c>
      <c r="G220" s="126"/>
      <c r="H220" s="127">
        <v>0.33333333333333298</v>
      </c>
      <c r="I220" s="109">
        <f t="shared" si="3"/>
        <v>1</v>
      </c>
      <c r="J220" s="134">
        <v>0.9</v>
      </c>
      <c r="K220" s="77" t="s">
        <v>1604</v>
      </c>
      <c r="L220" s="136"/>
    </row>
    <row r="221" spans="1:12">
      <c r="A221" s="253"/>
      <c r="B221" s="244"/>
      <c r="C221" s="243" t="s">
        <v>1196</v>
      </c>
      <c r="D221" s="78" t="s">
        <v>1194</v>
      </c>
      <c r="E221" s="159"/>
      <c r="F221" s="111" t="s">
        <v>1251</v>
      </c>
      <c r="G221" s="107"/>
      <c r="H221" s="108">
        <v>0.33333333333333298</v>
      </c>
      <c r="I221" s="109">
        <f t="shared" si="3"/>
        <v>1</v>
      </c>
      <c r="J221" s="109">
        <v>0.9</v>
      </c>
      <c r="K221" s="82"/>
      <c r="L221" s="112"/>
    </row>
    <row r="222" spans="1:12">
      <c r="A222" s="253"/>
      <c r="B222" s="244"/>
      <c r="C222" s="244"/>
      <c r="D222" s="78" t="s">
        <v>1194</v>
      </c>
      <c r="E222" s="159"/>
      <c r="F222" s="106" t="s">
        <v>1252</v>
      </c>
      <c r="G222" s="107"/>
      <c r="H222" s="108">
        <v>0.33333333333333298</v>
      </c>
      <c r="I222" s="109">
        <f t="shared" si="3"/>
        <v>1</v>
      </c>
      <c r="J222" s="109">
        <v>0.9</v>
      </c>
      <c r="K222" s="82"/>
      <c r="L222" s="82"/>
    </row>
    <row r="223" spans="1:12">
      <c r="A223" s="253"/>
      <c r="B223" s="244"/>
      <c r="C223" s="245"/>
      <c r="D223" s="78" t="s">
        <v>1194</v>
      </c>
      <c r="E223" s="113"/>
      <c r="F223" s="114" t="s">
        <v>1253</v>
      </c>
      <c r="G223" s="107"/>
      <c r="H223" s="108">
        <v>0.33333333333333298</v>
      </c>
      <c r="I223" s="109">
        <f t="shared" si="3"/>
        <v>1</v>
      </c>
      <c r="J223" s="109">
        <v>0.9</v>
      </c>
      <c r="K223" s="82"/>
      <c r="L223" s="82"/>
    </row>
    <row r="224" spans="1:12">
      <c r="A224" s="253"/>
      <c r="B224" s="244"/>
      <c r="C224" s="248" t="s">
        <v>1197</v>
      </c>
      <c r="D224" s="132" t="s">
        <v>1193</v>
      </c>
      <c r="E224" s="158"/>
      <c r="F224" s="125" t="s">
        <v>1251</v>
      </c>
      <c r="G224" s="126"/>
      <c r="H224" s="127">
        <v>0.33333333333333298</v>
      </c>
      <c r="I224" s="109">
        <f t="shared" si="3"/>
        <v>1</v>
      </c>
      <c r="J224" s="134">
        <v>0.9</v>
      </c>
      <c r="K224" s="133"/>
      <c r="L224" s="137"/>
    </row>
    <row r="225" spans="1:12">
      <c r="A225" s="253"/>
      <c r="B225" s="244"/>
      <c r="C225" s="249"/>
      <c r="D225" s="132" t="s">
        <v>1193</v>
      </c>
      <c r="E225" s="158"/>
      <c r="F225" s="129" t="s">
        <v>1252</v>
      </c>
      <c r="G225" s="126"/>
      <c r="H225" s="127">
        <v>0.33333333333333298</v>
      </c>
      <c r="I225" s="109">
        <f t="shared" si="3"/>
        <v>1</v>
      </c>
      <c r="J225" s="134">
        <v>0.9</v>
      </c>
      <c r="K225" s="135"/>
      <c r="L225" s="136"/>
    </row>
    <row r="226" spans="1:12">
      <c r="A226" s="253"/>
      <c r="B226" s="245"/>
      <c r="C226" s="250"/>
      <c r="D226" s="132" t="s">
        <v>1193</v>
      </c>
      <c r="E226" s="133"/>
      <c r="F226" s="128" t="s">
        <v>1253</v>
      </c>
      <c r="G226" s="126"/>
      <c r="H226" s="127">
        <v>0.33333333333333298</v>
      </c>
      <c r="I226" s="109">
        <f t="shared" si="3"/>
        <v>1</v>
      </c>
      <c r="J226" s="134">
        <v>0.9</v>
      </c>
      <c r="K226" s="133"/>
      <c r="L226" s="136"/>
    </row>
    <row r="227" spans="1:12">
      <c r="A227" s="253"/>
      <c r="B227" s="117"/>
      <c r="C227" s="117"/>
      <c r="D227" s="118"/>
      <c r="E227" s="118"/>
      <c r="F227" s="119" t="s">
        <v>1251</v>
      </c>
      <c r="G227" s="124"/>
      <c r="H227" s="124"/>
      <c r="I227" s="120">
        <f>AVERAGEIF(F164:F226,F227,I164:I226)</f>
        <v>0.52976190476190477</v>
      </c>
      <c r="J227" s="121">
        <v>0.9</v>
      </c>
      <c r="K227" s="118"/>
      <c r="L227" s="116"/>
    </row>
    <row r="228" spans="1:12">
      <c r="A228" s="253"/>
      <c r="B228" s="117"/>
      <c r="C228" s="117"/>
      <c r="D228" s="118"/>
      <c r="E228" s="118"/>
      <c r="F228" s="119" t="s">
        <v>1252</v>
      </c>
      <c r="G228" s="124"/>
      <c r="H228" s="124"/>
      <c r="I228" s="120">
        <f>AVERAGEIF(F164:F226,F228,I164:I226)</f>
        <v>0.52976190476190477</v>
      </c>
      <c r="J228" s="121">
        <v>0.9</v>
      </c>
      <c r="K228" s="118"/>
      <c r="L228" s="116"/>
    </row>
    <row r="229" spans="1:12" ht="15" thickBot="1">
      <c r="A229" s="253"/>
      <c r="B229" s="117"/>
      <c r="C229" s="117"/>
      <c r="D229" s="118"/>
      <c r="E229" s="118"/>
      <c r="F229" s="119" t="s">
        <v>1253</v>
      </c>
      <c r="G229" s="124"/>
      <c r="H229" s="124"/>
      <c r="I229" s="120">
        <f>AVERAGEIF(F164:F226,F229,I164:I226)</f>
        <v>0.48214285714285715</v>
      </c>
      <c r="J229" s="121">
        <v>0.9</v>
      </c>
      <c r="K229" s="118"/>
      <c r="L229" s="116"/>
    </row>
    <row r="230" spans="1:12">
      <c r="A230" s="252"/>
      <c r="B230" s="251">
        <v>45985</v>
      </c>
      <c r="C230" s="243" t="s">
        <v>1198</v>
      </c>
      <c r="D230" s="110"/>
      <c r="E230" s="156"/>
      <c r="F230" s="111" t="s">
        <v>1251</v>
      </c>
      <c r="G230" s="107"/>
      <c r="H230" s="108">
        <v>0.33333333333333331</v>
      </c>
      <c r="I230" s="109">
        <f>1-(G230/H230)</f>
        <v>1</v>
      </c>
      <c r="J230" s="109">
        <v>0.9</v>
      </c>
      <c r="K230" s="82"/>
      <c r="L230" s="82"/>
    </row>
    <row r="231" spans="1:12">
      <c r="A231" s="253"/>
      <c r="B231" s="244"/>
      <c r="C231" s="244"/>
      <c r="D231" s="110"/>
      <c r="E231" s="156"/>
      <c r="F231" s="111" t="s">
        <v>1252</v>
      </c>
      <c r="G231" s="107"/>
      <c r="H231" s="108">
        <v>0.33333333333333331</v>
      </c>
      <c r="I231" s="109">
        <f>1-(G231/H231)</f>
        <v>1</v>
      </c>
      <c r="J231" s="109">
        <v>0.9</v>
      </c>
      <c r="K231" s="82"/>
      <c r="L231" s="82"/>
    </row>
    <row r="232" spans="1:12">
      <c r="A232" s="253"/>
      <c r="B232" s="244"/>
      <c r="C232" s="245"/>
      <c r="D232" s="110"/>
      <c r="E232" s="157"/>
      <c r="F232" s="114" t="s">
        <v>1253</v>
      </c>
      <c r="G232" s="107"/>
      <c r="H232" s="108">
        <v>0.33333333333333298</v>
      </c>
      <c r="I232" s="109">
        <f t="shared" ref="I232:I265" si="4">1-(G232/H232)</f>
        <v>1</v>
      </c>
      <c r="J232" s="109">
        <v>0.9</v>
      </c>
      <c r="K232" s="82"/>
      <c r="L232" s="82"/>
    </row>
    <row r="233" spans="1:12">
      <c r="A233" s="253"/>
      <c r="B233" s="244"/>
      <c r="C233" s="248" t="s">
        <v>1196</v>
      </c>
      <c r="D233" s="132" t="s">
        <v>1194</v>
      </c>
      <c r="E233" s="158"/>
      <c r="F233" s="125" t="s">
        <v>1251</v>
      </c>
      <c r="G233" s="126"/>
      <c r="H233" s="127">
        <v>0.33333333333333298</v>
      </c>
      <c r="I233" s="109">
        <f t="shared" si="4"/>
        <v>1</v>
      </c>
      <c r="J233" s="134">
        <v>0.9</v>
      </c>
      <c r="K233" s="77" t="s">
        <v>1586</v>
      </c>
      <c r="L233" s="136"/>
    </row>
    <row r="234" spans="1:12">
      <c r="A234" s="253"/>
      <c r="B234" s="244"/>
      <c r="C234" s="249"/>
      <c r="D234" s="132" t="s">
        <v>1194</v>
      </c>
      <c r="E234" s="158"/>
      <c r="F234" s="125" t="s">
        <v>1252</v>
      </c>
      <c r="G234" s="126"/>
      <c r="H234" s="127">
        <v>0.33333333333333298</v>
      </c>
      <c r="I234" s="109">
        <f t="shared" si="4"/>
        <v>1</v>
      </c>
      <c r="J234" s="134">
        <v>0.9</v>
      </c>
      <c r="K234" s="77" t="s">
        <v>1586</v>
      </c>
      <c r="L234" s="136"/>
    </row>
    <row r="235" spans="1:12">
      <c r="A235" s="253"/>
      <c r="B235" s="244"/>
      <c r="C235" s="250"/>
      <c r="D235" s="132" t="s">
        <v>1194</v>
      </c>
      <c r="E235" s="133"/>
      <c r="F235" s="128" t="s">
        <v>1253</v>
      </c>
      <c r="G235" s="126"/>
      <c r="H235" s="127">
        <v>0.33333333333333298</v>
      </c>
      <c r="I235" s="109">
        <f t="shared" si="4"/>
        <v>1</v>
      </c>
      <c r="J235" s="134">
        <v>0.9</v>
      </c>
      <c r="K235" s="77" t="s">
        <v>1586</v>
      </c>
      <c r="L235" s="136"/>
    </row>
    <row r="236" spans="1:12">
      <c r="A236" s="253"/>
      <c r="B236" s="244"/>
      <c r="C236" s="243" t="s">
        <v>1197</v>
      </c>
      <c r="D236" s="78" t="s">
        <v>1193</v>
      </c>
      <c r="E236" s="159"/>
      <c r="F236" s="111" t="s">
        <v>1251</v>
      </c>
      <c r="G236" s="107"/>
      <c r="H236" s="108">
        <v>0.33333333333333298</v>
      </c>
      <c r="I236" s="109">
        <f t="shared" si="4"/>
        <v>1</v>
      </c>
      <c r="J236" s="109">
        <v>0.9</v>
      </c>
      <c r="K236" s="82"/>
      <c r="L236" s="112"/>
    </row>
    <row r="237" spans="1:12">
      <c r="A237" s="253"/>
      <c r="B237" s="244"/>
      <c r="C237" s="244"/>
      <c r="D237" s="78" t="s">
        <v>1193</v>
      </c>
      <c r="E237" s="159"/>
      <c r="F237" s="111" t="s">
        <v>1252</v>
      </c>
      <c r="G237" s="107"/>
      <c r="H237" s="108">
        <v>0.33333333333333298</v>
      </c>
      <c r="I237" s="109">
        <f t="shared" si="4"/>
        <v>1</v>
      </c>
      <c r="J237" s="109">
        <v>0.9</v>
      </c>
      <c r="K237" s="82"/>
      <c r="L237" s="82"/>
    </row>
    <row r="238" spans="1:12" ht="15" thickBot="1">
      <c r="A238" s="253"/>
      <c r="B238" s="245"/>
      <c r="C238" s="245"/>
      <c r="D238" s="78" t="s">
        <v>1193</v>
      </c>
      <c r="E238" s="113"/>
      <c r="F238" s="114" t="s">
        <v>1253</v>
      </c>
      <c r="G238" s="107"/>
      <c r="H238" s="108">
        <v>0.33333333333333331</v>
      </c>
      <c r="I238" s="109">
        <f t="shared" si="4"/>
        <v>1</v>
      </c>
      <c r="J238" s="109">
        <v>0.9</v>
      </c>
      <c r="K238" s="82"/>
      <c r="L238" s="82"/>
    </row>
    <row r="239" spans="1:12">
      <c r="A239" s="253"/>
      <c r="B239" s="251">
        <v>45986</v>
      </c>
      <c r="C239" s="248" t="s">
        <v>1198</v>
      </c>
      <c r="D239" s="132" t="s">
        <v>1191</v>
      </c>
      <c r="E239" s="158"/>
      <c r="F239" s="125" t="s">
        <v>1251</v>
      </c>
      <c r="G239" s="126"/>
      <c r="H239" s="127">
        <v>0.33333333333333298</v>
      </c>
      <c r="I239" s="109">
        <f t="shared" si="4"/>
        <v>1</v>
      </c>
      <c r="J239" s="134">
        <v>0.9</v>
      </c>
      <c r="K239" s="135"/>
      <c r="L239" s="168" t="s">
        <v>1605</v>
      </c>
    </row>
    <row r="240" spans="1:12">
      <c r="A240" s="253"/>
      <c r="B240" s="244"/>
      <c r="C240" s="249"/>
      <c r="D240" s="132" t="s">
        <v>1191</v>
      </c>
      <c r="E240" s="158"/>
      <c r="F240" s="125" t="s">
        <v>1252</v>
      </c>
      <c r="G240" s="127">
        <v>0.29166666666666602</v>
      </c>
      <c r="H240" s="127">
        <v>0.33333333333333298</v>
      </c>
      <c r="I240" s="109">
        <f t="shared" si="4"/>
        <v>0.125000000000001</v>
      </c>
      <c r="J240" s="134">
        <v>0.9</v>
      </c>
      <c r="K240" s="135" t="s">
        <v>1307</v>
      </c>
      <c r="L240" s="168" t="s">
        <v>1605</v>
      </c>
    </row>
    <row r="241" spans="1:12">
      <c r="A241" s="253"/>
      <c r="B241" s="244"/>
      <c r="C241" s="250"/>
      <c r="D241" s="132" t="s">
        <v>1191</v>
      </c>
      <c r="E241" s="133"/>
      <c r="F241" s="128" t="s">
        <v>1253</v>
      </c>
      <c r="G241" s="126"/>
      <c r="H241" s="127">
        <v>0.33333333333333298</v>
      </c>
      <c r="I241" s="109">
        <f t="shared" si="4"/>
        <v>1</v>
      </c>
      <c r="J241" s="134">
        <v>0.9</v>
      </c>
      <c r="K241" s="133"/>
      <c r="L241" s="168"/>
    </row>
    <row r="242" spans="1:12">
      <c r="A242" s="253"/>
      <c r="B242" s="244"/>
      <c r="C242" s="243" t="s">
        <v>1196</v>
      </c>
      <c r="D242" s="78" t="s">
        <v>1192</v>
      </c>
      <c r="E242" s="159"/>
      <c r="F242" s="111" t="s">
        <v>1251</v>
      </c>
      <c r="G242" s="107"/>
      <c r="H242" s="108">
        <v>0.33333333333333298</v>
      </c>
      <c r="I242" s="109">
        <f t="shared" si="4"/>
        <v>1</v>
      </c>
      <c r="J242" s="109">
        <v>0.9</v>
      </c>
      <c r="K242" s="82"/>
      <c r="L242" s="112"/>
    </row>
    <row r="243" spans="1:12">
      <c r="A243" s="253"/>
      <c r="B243" s="244"/>
      <c r="C243" s="244"/>
      <c r="D243" s="78" t="s">
        <v>1192</v>
      </c>
      <c r="E243" s="159"/>
      <c r="F243" s="111" t="s">
        <v>1252</v>
      </c>
      <c r="G243" s="107"/>
      <c r="H243" s="108">
        <v>0.33333333333333298</v>
      </c>
      <c r="I243" s="109">
        <f t="shared" si="4"/>
        <v>1</v>
      </c>
      <c r="J243" s="109">
        <v>0.9</v>
      </c>
      <c r="K243" s="82"/>
      <c r="L243" s="82"/>
    </row>
    <row r="244" spans="1:12">
      <c r="A244" s="253"/>
      <c r="B244" s="244"/>
      <c r="C244" s="245"/>
      <c r="D244" s="78" t="s">
        <v>1192</v>
      </c>
      <c r="E244" s="113"/>
      <c r="F244" s="114" t="s">
        <v>1253</v>
      </c>
      <c r="G244" s="107"/>
      <c r="H244" s="108">
        <v>0.33333333333333298</v>
      </c>
      <c r="I244" s="109">
        <f t="shared" si="4"/>
        <v>1</v>
      </c>
      <c r="J244" s="109">
        <v>0.9</v>
      </c>
      <c r="K244" s="82"/>
      <c r="L244" s="82"/>
    </row>
    <row r="245" spans="1:12">
      <c r="A245" s="253"/>
      <c r="B245" s="244"/>
      <c r="C245" s="248" t="s">
        <v>1197</v>
      </c>
      <c r="D245" s="132" t="s">
        <v>1194</v>
      </c>
      <c r="E245" s="158"/>
      <c r="F245" s="125" t="s">
        <v>1251</v>
      </c>
      <c r="G245" s="126"/>
      <c r="H245" s="127">
        <v>0.33333333333333298</v>
      </c>
      <c r="I245" s="109">
        <f t="shared" si="4"/>
        <v>1</v>
      </c>
      <c r="J245" s="134">
        <v>0.9</v>
      </c>
      <c r="K245" s="135"/>
      <c r="L245" s="137"/>
    </row>
    <row r="246" spans="1:12">
      <c r="A246" s="253"/>
      <c r="B246" s="244"/>
      <c r="C246" s="249"/>
      <c r="D246" s="132" t="s">
        <v>1194</v>
      </c>
      <c r="E246" s="158"/>
      <c r="F246" s="129" t="s">
        <v>1252</v>
      </c>
      <c r="G246" s="126"/>
      <c r="H246" s="127">
        <v>0.33333333333333298</v>
      </c>
      <c r="I246" s="109">
        <f t="shared" si="4"/>
        <v>1</v>
      </c>
      <c r="J246" s="134">
        <v>0.9</v>
      </c>
      <c r="K246" s="135"/>
      <c r="L246" s="136"/>
    </row>
    <row r="247" spans="1:12" ht="15" thickBot="1">
      <c r="A247" s="253"/>
      <c r="B247" s="245"/>
      <c r="C247" s="250"/>
      <c r="D247" s="132" t="s">
        <v>1194</v>
      </c>
      <c r="E247" s="133"/>
      <c r="F247" s="128" t="s">
        <v>1253</v>
      </c>
      <c r="G247" s="126"/>
      <c r="H247" s="131">
        <v>0.33333333333333298</v>
      </c>
      <c r="I247" s="115">
        <f t="shared" si="4"/>
        <v>1</v>
      </c>
      <c r="J247" s="134">
        <v>0.9</v>
      </c>
      <c r="K247" s="133"/>
      <c r="L247" s="136"/>
    </row>
    <row r="248" spans="1:12">
      <c r="A248" s="253"/>
      <c r="B248" s="251">
        <v>45987</v>
      </c>
      <c r="C248" s="243" t="s">
        <v>1198</v>
      </c>
      <c r="D248" s="78" t="s">
        <v>1191</v>
      </c>
      <c r="E248" s="159"/>
      <c r="F248" s="111" t="s">
        <v>1251</v>
      </c>
      <c r="G248" s="107"/>
      <c r="H248" s="108">
        <v>0.33333333333333331</v>
      </c>
      <c r="I248" s="109">
        <f t="shared" si="4"/>
        <v>1</v>
      </c>
      <c r="J248" s="109">
        <v>0.9</v>
      </c>
      <c r="K248" s="82"/>
      <c r="L248" s="112"/>
    </row>
    <row r="249" spans="1:12">
      <c r="A249" s="253"/>
      <c r="B249" s="244"/>
      <c r="C249" s="244"/>
      <c r="D249" s="78" t="s">
        <v>1191</v>
      </c>
      <c r="E249" s="159"/>
      <c r="F249" s="106" t="s">
        <v>1252</v>
      </c>
      <c r="G249" s="107"/>
      <c r="H249" s="108">
        <v>0.33333333333333298</v>
      </c>
      <c r="I249" s="109">
        <f t="shared" si="4"/>
        <v>1</v>
      </c>
      <c r="J249" s="109">
        <v>0.9</v>
      </c>
      <c r="K249" s="82"/>
      <c r="L249" s="82"/>
    </row>
    <row r="250" spans="1:12">
      <c r="A250" s="253"/>
      <c r="B250" s="244"/>
      <c r="C250" s="245"/>
      <c r="D250" s="78" t="s">
        <v>1191</v>
      </c>
      <c r="E250" s="113"/>
      <c r="F250" s="114" t="s">
        <v>1253</v>
      </c>
      <c r="G250" s="107"/>
      <c r="H250" s="108">
        <v>0.33333333333333298</v>
      </c>
      <c r="I250" s="109">
        <f t="shared" si="4"/>
        <v>1</v>
      </c>
      <c r="J250" s="109">
        <v>0.9</v>
      </c>
      <c r="K250" s="82"/>
      <c r="L250" s="82"/>
    </row>
    <row r="251" spans="1:12">
      <c r="A251" s="253"/>
      <c r="B251" s="244"/>
      <c r="C251" s="248" t="s">
        <v>1196</v>
      </c>
      <c r="D251" s="132" t="s">
        <v>1192</v>
      </c>
      <c r="E251" s="158"/>
      <c r="F251" s="125" t="s">
        <v>1251</v>
      </c>
      <c r="G251" s="126"/>
      <c r="H251" s="127">
        <v>0.33333333333333298</v>
      </c>
      <c r="I251" s="109">
        <f t="shared" si="4"/>
        <v>1</v>
      </c>
      <c r="J251" s="134">
        <v>0.9</v>
      </c>
      <c r="K251" s="135"/>
      <c r="L251" s="137"/>
    </row>
    <row r="252" spans="1:12">
      <c r="A252" s="253"/>
      <c r="B252" s="244"/>
      <c r="C252" s="249"/>
      <c r="D252" s="132" t="s">
        <v>1192</v>
      </c>
      <c r="E252" s="158"/>
      <c r="F252" s="129" t="s">
        <v>1252</v>
      </c>
      <c r="G252" s="126"/>
      <c r="H252" s="127">
        <v>0.33333333333333298</v>
      </c>
      <c r="I252" s="109">
        <f t="shared" si="4"/>
        <v>1</v>
      </c>
      <c r="J252" s="134">
        <v>0.9</v>
      </c>
      <c r="K252" s="135"/>
      <c r="L252" s="136"/>
    </row>
    <row r="253" spans="1:12">
      <c r="A253" s="253"/>
      <c r="B253" s="244"/>
      <c r="C253" s="250"/>
      <c r="D253" s="132" t="s">
        <v>1192</v>
      </c>
      <c r="E253" s="133"/>
      <c r="F253" s="128" t="s">
        <v>1253</v>
      </c>
      <c r="G253" s="126"/>
      <c r="H253" s="127">
        <v>0.33333333333333298</v>
      </c>
      <c r="I253" s="109">
        <f t="shared" si="4"/>
        <v>1</v>
      </c>
      <c r="J253" s="134">
        <v>0.9</v>
      </c>
      <c r="K253" s="135"/>
      <c r="L253" s="136"/>
    </row>
    <row r="254" spans="1:12">
      <c r="A254" s="253"/>
      <c r="B254" s="244"/>
      <c r="C254" s="243" t="s">
        <v>1197</v>
      </c>
      <c r="D254" s="78" t="s">
        <v>1194</v>
      </c>
      <c r="E254" s="159"/>
      <c r="F254" s="111" t="s">
        <v>1251</v>
      </c>
      <c r="G254" s="107"/>
      <c r="H254" s="108">
        <v>0.33333333333333298</v>
      </c>
      <c r="I254" s="109">
        <f t="shared" si="4"/>
        <v>1</v>
      </c>
      <c r="J254" s="109">
        <v>0.9</v>
      </c>
      <c r="K254" s="82"/>
      <c r="L254" s="112"/>
    </row>
    <row r="255" spans="1:12">
      <c r="A255" s="253"/>
      <c r="B255" s="244"/>
      <c r="C255" s="244"/>
      <c r="D255" s="78" t="s">
        <v>1194</v>
      </c>
      <c r="E255" s="159"/>
      <c r="F255" s="106" t="s">
        <v>1252</v>
      </c>
      <c r="G255" s="107"/>
      <c r="H255" s="108">
        <v>0.33333333333333298</v>
      </c>
      <c r="I255" s="109">
        <f t="shared" si="4"/>
        <v>1</v>
      </c>
      <c r="J255" s="109">
        <v>0.9</v>
      </c>
      <c r="K255" s="82"/>
      <c r="L255" s="82"/>
    </row>
    <row r="256" spans="1:12" ht="15" thickBot="1">
      <c r="A256" s="253"/>
      <c r="B256" s="245"/>
      <c r="C256" s="245"/>
      <c r="D256" s="78" t="s">
        <v>1194</v>
      </c>
      <c r="E256" s="113"/>
      <c r="F256" s="114" t="s">
        <v>1253</v>
      </c>
      <c r="G256" s="107"/>
      <c r="H256" s="108">
        <v>0.33333333333333298</v>
      </c>
      <c r="I256" s="109">
        <f t="shared" si="4"/>
        <v>1</v>
      </c>
      <c r="J256" s="109">
        <v>0.9</v>
      </c>
      <c r="K256" s="82"/>
      <c r="L256" s="82"/>
    </row>
    <row r="257" spans="1:12">
      <c r="A257" s="253"/>
      <c r="B257" s="251">
        <v>45988</v>
      </c>
      <c r="C257" s="248" t="s">
        <v>1198</v>
      </c>
      <c r="D257" s="132" t="s">
        <v>1193</v>
      </c>
      <c r="E257" s="158"/>
      <c r="F257" s="125" t="s">
        <v>1251</v>
      </c>
      <c r="G257" s="126"/>
      <c r="H257" s="127">
        <v>0.33333333333333331</v>
      </c>
      <c r="I257" s="109">
        <f t="shared" si="4"/>
        <v>1</v>
      </c>
      <c r="J257" s="134">
        <v>0.9</v>
      </c>
      <c r="K257" s="135"/>
      <c r="L257" s="137"/>
    </row>
    <row r="258" spans="1:12">
      <c r="A258" s="253"/>
      <c r="B258" s="244"/>
      <c r="C258" s="249"/>
      <c r="D258" s="132" t="s">
        <v>1193</v>
      </c>
      <c r="E258" s="158"/>
      <c r="F258" s="129" t="s">
        <v>1252</v>
      </c>
      <c r="G258" s="127">
        <v>7.4999999999999997E-2</v>
      </c>
      <c r="H258" s="127">
        <v>0.33333333333333298</v>
      </c>
      <c r="I258" s="109">
        <f t="shared" si="4"/>
        <v>0.7749999999999998</v>
      </c>
      <c r="J258" s="134">
        <v>0.9</v>
      </c>
      <c r="K258" s="135" t="s">
        <v>1307</v>
      </c>
      <c r="L258" s="136"/>
    </row>
    <row r="259" spans="1:12">
      <c r="A259" s="253"/>
      <c r="B259" s="244"/>
      <c r="C259" s="250"/>
      <c r="D259" s="132" t="s">
        <v>1193</v>
      </c>
      <c r="E259" s="133"/>
      <c r="F259" s="128" t="s">
        <v>1253</v>
      </c>
      <c r="G259" s="126"/>
      <c r="H259" s="127">
        <v>0.33333333333333298</v>
      </c>
      <c r="I259" s="109">
        <f t="shared" si="4"/>
        <v>1</v>
      </c>
      <c r="J259" s="134">
        <v>0.9</v>
      </c>
      <c r="K259" s="135"/>
      <c r="L259" s="136"/>
    </row>
    <row r="260" spans="1:12">
      <c r="A260" s="253"/>
      <c r="B260" s="244"/>
      <c r="C260" s="243" t="s">
        <v>1196</v>
      </c>
      <c r="D260" s="78" t="s">
        <v>1191</v>
      </c>
      <c r="E260" s="159"/>
      <c r="F260" s="111" t="s">
        <v>1251</v>
      </c>
      <c r="G260" s="107"/>
      <c r="H260" s="108">
        <v>0.33333333333333298</v>
      </c>
      <c r="I260" s="109">
        <f t="shared" si="4"/>
        <v>1</v>
      </c>
      <c r="J260" s="109">
        <v>0.9</v>
      </c>
      <c r="K260" s="82"/>
      <c r="L260" s="112"/>
    </row>
    <row r="261" spans="1:12">
      <c r="A261" s="253"/>
      <c r="B261" s="244"/>
      <c r="C261" s="244"/>
      <c r="D261" s="78" t="s">
        <v>1191</v>
      </c>
      <c r="E261" s="159"/>
      <c r="F261" s="106" t="s">
        <v>1252</v>
      </c>
      <c r="G261" s="107"/>
      <c r="H261" s="108">
        <v>0.33333333333333298</v>
      </c>
      <c r="I261" s="109">
        <f t="shared" si="4"/>
        <v>1</v>
      </c>
      <c r="J261" s="109">
        <v>0.9</v>
      </c>
      <c r="K261" s="82"/>
      <c r="L261" s="82"/>
    </row>
    <row r="262" spans="1:12">
      <c r="A262" s="253"/>
      <c r="B262" s="244"/>
      <c r="C262" s="245"/>
      <c r="D262" s="78" t="s">
        <v>1191</v>
      </c>
      <c r="E262" s="113"/>
      <c r="F262" s="114" t="s">
        <v>1253</v>
      </c>
      <c r="G262" s="107"/>
      <c r="H262" s="108">
        <v>0.33333333333333298</v>
      </c>
      <c r="I262" s="109">
        <f t="shared" si="4"/>
        <v>1</v>
      </c>
      <c r="J262" s="109">
        <v>0.9</v>
      </c>
      <c r="K262" s="82"/>
      <c r="L262" s="82"/>
    </row>
    <row r="263" spans="1:12">
      <c r="A263" s="253"/>
      <c r="B263" s="244"/>
      <c r="C263" s="248" t="s">
        <v>1197</v>
      </c>
      <c r="D263" s="132" t="s">
        <v>1192</v>
      </c>
      <c r="E263" s="158"/>
      <c r="F263" s="125" t="s">
        <v>1251</v>
      </c>
      <c r="G263" s="126"/>
      <c r="H263" s="127">
        <v>0.33333333333333298</v>
      </c>
      <c r="I263" s="109">
        <f t="shared" si="4"/>
        <v>1</v>
      </c>
      <c r="J263" s="134">
        <v>0.9</v>
      </c>
      <c r="K263" s="133"/>
      <c r="L263" s="137"/>
    </row>
    <row r="264" spans="1:12">
      <c r="A264" s="253"/>
      <c r="B264" s="244"/>
      <c r="C264" s="249"/>
      <c r="D264" s="132" t="s">
        <v>1192</v>
      </c>
      <c r="E264" s="158"/>
      <c r="F264" s="129" t="s">
        <v>1252</v>
      </c>
      <c r="G264" s="126"/>
      <c r="H264" s="127">
        <v>0.33333333333333298</v>
      </c>
      <c r="I264" s="109">
        <f t="shared" si="4"/>
        <v>1</v>
      </c>
      <c r="J264" s="134">
        <v>0.9</v>
      </c>
      <c r="K264" s="135"/>
      <c r="L264" s="136"/>
    </row>
    <row r="265" spans="1:12" ht="15" thickBot="1">
      <c r="A265" s="253"/>
      <c r="B265" s="245"/>
      <c r="C265" s="250"/>
      <c r="D265" s="132" t="s">
        <v>1192</v>
      </c>
      <c r="E265" s="133"/>
      <c r="F265" s="128" t="s">
        <v>1253</v>
      </c>
      <c r="G265" s="126"/>
      <c r="H265" s="127">
        <v>0.33333333333333298</v>
      </c>
      <c r="I265" s="109">
        <f t="shared" si="4"/>
        <v>1</v>
      </c>
      <c r="J265" s="134">
        <v>0.9</v>
      </c>
      <c r="K265" s="133"/>
      <c r="L265" s="136"/>
    </row>
    <row r="266" spans="1:12">
      <c r="A266" s="253"/>
      <c r="B266" s="251">
        <v>45989</v>
      </c>
      <c r="C266" s="248" t="s">
        <v>1198</v>
      </c>
      <c r="D266" s="132" t="s">
        <v>1193</v>
      </c>
      <c r="E266" s="158"/>
      <c r="F266" s="125" t="s">
        <v>1251</v>
      </c>
      <c r="G266" s="126"/>
      <c r="H266" s="127">
        <v>0.33333333333333331</v>
      </c>
      <c r="I266" s="109">
        <f t="shared" ref="I266:I283" si="5">1-(G266/H266)</f>
        <v>1</v>
      </c>
      <c r="J266" s="134">
        <v>0.9</v>
      </c>
      <c r="K266" s="135"/>
      <c r="L266" s="137"/>
    </row>
    <row r="267" spans="1:12">
      <c r="A267" s="253"/>
      <c r="B267" s="244"/>
      <c r="C267" s="249"/>
      <c r="D267" s="132" t="s">
        <v>1193</v>
      </c>
      <c r="E267" s="158"/>
      <c r="F267" s="129" t="s">
        <v>1252</v>
      </c>
      <c r="G267" s="126"/>
      <c r="H267" s="127">
        <v>0.33333333333333298</v>
      </c>
      <c r="I267" s="109">
        <f t="shared" si="5"/>
        <v>1</v>
      </c>
      <c r="J267" s="134">
        <v>0.9</v>
      </c>
      <c r="K267" s="135"/>
      <c r="L267" s="136"/>
    </row>
    <row r="268" spans="1:12">
      <c r="A268" s="253"/>
      <c r="B268" s="244"/>
      <c r="C268" s="250"/>
      <c r="D268" s="132" t="s">
        <v>1193</v>
      </c>
      <c r="E268" s="133"/>
      <c r="F268" s="128" t="s">
        <v>1253</v>
      </c>
      <c r="G268" s="126"/>
      <c r="H268" s="127">
        <v>0.33333333333333298</v>
      </c>
      <c r="I268" s="109">
        <f t="shared" si="5"/>
        <v>1</v>
      </c>
      <c r="J268" s="134">
        <v>0.9</v>
      </c>
      <c r="K268" s="135"/>
      <c r="L268" s="136"/>
    </row>
    <row r="269" spans="1:12">
      <c r="A269" s="253"/>
      <c r="B269" s="244"/>
      <c r="C269" s="243" t="s">
        <v>1196</v>
      </c>
      <c r="D269" s="78" t="s">
        <v>1191</v>
      </c>
      <c r="E269" s="159"/>
      <c r="F269" s="111" t="s">
        <v>1251</v>
      </c>
      <c r="G269" s="108">
        <v>0.125</v>
      </c>
      <c r="H269" s="108">
        <v>0.33333333333333298</v>
      </c>
      <c r="I269" s="109">
        <f>1-(G269/H269)</f>
        <v>0.62499999999999956</v>
      </c>
      <c r="J269" s="109">
        <v>0.9</v>
      </c>
      <c r="K269" s="82" t="s">
        <v>1606</v>
      </c>
      <c r="L269" s="112"/>
    </row>
    <row r="270" spans="1:12">
      <c r="A270" s="253"/>
      <c r="B270" s="244"/>
      <c r="C270" s="244"/>
      <c r="D270" s="78" t="s">
        <v>1191</v>
      </c>
      <c r="E270" s="159"/>
      <c r="F270" s="106" t="s">
        <v>1252</v>
      </c>
      <c r="G270" s="108">
        <v>0.125</v>
      </c>
      <c r="H270" s="108">
        <v>0.33333333333333298</v>
      </c>
      <c r="I270" s="109">
        <f t="shared" ref="I270:I271" si="6">1-(G270/H270)</f>
        <v>0.62499999999999956</v>
      </c>
      <c r="J270" s="109">
        <v>0.9</v>
      </c>
      <c r="K270" s="82" t="s">
        <v>1607</v>
      </c>
      <c r="L270" s="82"/>
    </row>
    <row r="271" spans="1:12">
      <c r="A271" s="253"/>
      <c r="B271" s="244"/>
      <c r="C271" s="245"/>
      <c r="D271" s="78" t="s">
        <v>1191</v>
      </c>
      <c r="E271" s="113"/>
      <c r="F271" s="114" t="s">
        <v>1253</v>
      </c>
      <c r="G271" s="108">
        <v>0.125</v>
      </c>
      <c r="H271" s="108">
        <v>0.33333333333333298</v>
      </c>
      <c r="I271" s="109">
        <f t="shared" si="6"/>
        <v>0.62499999999999956</v>
      </c>
      <c r="J271" s="109">
        <v>0.9</v>
      </c>
      <c r="K271" s="82" t="s">
        <v>1608</v>
      </c>
      <c r="L271" s="82"/>
    </row>
    <row r="272" spans="1:12">
      <c r="A272" s="253"/>
      <c r="B272" s="244"/>
      <c r="C272" s="248" t="s">
        <v>1197</v>
      </c>
      <c r="D272" s="132" t="s">
        <v>1192</v>
      </c>
      <c r="E272" s="158"/>
      <c r="F272" s="125" t="s">
        <v>1251</v>
      </c>
      <c r="G272" s="126"/>
      <c r="H272" s="127">
        <v>0.33333333333333298</v>
      </c>
      <c r="I272" s="109">
        <f t="shared" si="5"/>
        <v>1</v>
      </c>
      <c r="J272" s="134">
        <v>0.9</v>
      </c>
      <c r="K272" s="133"/>
      <c r="L272" s="137"/>
    </row>
    <row r="273" spans="1:12">
      <c r="A273" s="253"/>
      <c r="B273" s="244"/>
      <c r="C273" s="249"/>
      <c r="D273" s="132" t="s">
        <v>1192</v>
      </c>
      <c r="E273" s="158"/>
      <c r="F273" s="129" t="s">
        <v>1252</v>
      </c>
      <c r="G273" s="126"/>
      <c r="H273" s="127">
        <v>0.33333333333333298</v>
      </c>
      <c r="I273" s="109">
        <f t="shared" si="5"/>
        <v>1</v>
      </c>
      <c r="J273" s="134">
        <v>0.9</v>
      </c>
      <c r="K273" s="135"/>
      <c r="L273" s="136"/>
    </row>
    <row r="274" spans="1:12" ht="15" thickBot="1">
      <c r="A274" s="253"/>
      <c r="B274" s="245"/>
      <c r="C274" s="250"/>
      <c r="D274" s="132" t="s">
        <v>1192</v>
      </c>
      <c r="E274" s="133"/>
      <c r="F274" s="128" t="s">
        <v>1253</v>
      </c>
      <c r="G274" s="126"/>
      <c r="H274" s="127">
        <v>0.33333333333333298</v>
      </c>
      <c r="I274" s="109">
        <f t="shared" si="5"/>
        <v>1</v>
      </c>
      <c r="J274" s="134">
        <v>0.9</v>
      </c>
      <c r="K274" s="133"/>
      <c r="L274" s="136"/>
    </row>
    <row r="275" spans="1:12">
      <c r="A275" s="253"/>
      <c r="B275" s="251">
        <v>45990</v>
      </c>
      <c r="C275" s="248" t="s">
        <v>1198</v>
      </c>
      <c r="D275" s="132" t="s">
        <v>1194</v>
      </c>
      <c r="E275" s="158"/>
      <c r="F275" s="125" t="s">
        <v>1251</v>
      </c>
      <c r="G275" s="126"/>
      <c r="H275" s="127">
        <v>0.33333333333333331</v>
      </c>
      <c r="I275" s="109">
        <f t="shared" si="5"/>
        <v>1</v>
      </c>
      <c r="J275" s="134">
        <v>0.9</v>
      </c>
      <c r="K275" s="135"/>
      <c r="L275" s="137"/>
    </row>
    <row r="276" spans="1:12">
      <c r="A276" s="253"/>
      <c r="B276" s="244"/>
      <c r="C276" s="249"/>
      <c r="D276" s="132" t="s">
        <v>1194</v>
      </c>
      <c r="E276" s="158"/>
      <c r="F276" s="129" t="s">
        <v>1252</v>
      </c>
      <c r="G276" s="126"/>
      <c r="H276" s="127">
        <v>0.33333333333333298</v>
      </c>
      <c r="I276" s="109">
        <f t="shared" si="5"/>
        <v>1</v>
      </c>
      <c r="J276" s="134">
        <v>0.9</v>
      </c>
      <c r="K276" s="135"/>
      <c r="L276" s="136"/>
    </row>
    <row r="277" spans="1:12">
      <c r="A277" s="253"/>
      <c r="B277" s="244"/>
      <c r="C277" s="250"/>
      <c r="D277" s="132" t="s">
        <v>1194</v>
      </c>
      <c r="E277" s="133"/>
      <c r="F277" s="128" t="s">
        <v>1253</v>
      </c>
      <c r="G277" s="126"/>
      <c r="H277" s="127">
        <v>0.33333333333333298</v>
      </c>
      <c r="I277" s="109">
        <f t="shared" si="5"/>
        <v>1</v>
      </c>
      <c r="J277" s="134">
        <v>0.9</v>
      </c>
      <c r="K277" s="135"/>
      <c r="L277" s="136"/>
    </row>
    <row r="278" spans="1:12">
      <c r="A278" s="253"/>
      <c r="B278" s="244"/>
      <c r="C278" s="243" t="s">
        <v>1196</v>
      </c>
      <c r="D278" s="78" t="s">
        <v>1193</v>
      </c>
      <c r="E278" s="159"/>
      <c r="F278" s="111" t="s">
        <v>1251</v>
      </c>
      <c r="G278" s="108">
        <v>0.29166666666666602</v>
      </c>
      <c r="H278" s="108">
        <v>0.33333333333333298</v>
      </c>
      <c r="I278" s="109">
        <f t="shared" si="5"/>
        <v>0.125000000000001</v>
      </c>
      <c r="J278" s="109">
        <v>0.9</v>
      </c>
      <c r="K278" s="82" t="s">
        <v>1307</v>
      </c>
      <c r="L278" s="112"/>
    </row>
    <row r="279" spans="1:12">
      <c r="A279" s="253"/>
      <c r="B279" s="244"/>
      <c r="C279" s="244"/>
      <c r="D279" s="78" t="s">
        <v>1193</v>
      </c>
      <c r="E279" s="159"/>
      <c r="F279" s="106" t="s">
        <v>1252</v>
      </c>
      <c r="G279" s="107"/>
      <c r="H279" s="108">
        <v>0.33333333333333298</v>
      </c>
      <c r="I279" s="109">
        <f t="shared" si="5"/>
        <v>1</v>
      </c>
      <c r="J279" s="109">
        <v>0.9</v>
      </c>
      <c r="K279" s="82"/>
      <c r="L279" s="82"/>
    </row>
    <row r="280" spans="1:12">
      <c r="A280" s="253"/>
      <c r="B280" s="244"/>
      <c r="C280" s="245"/>
      <c r="D280" s="78" t="s">
        <v>1193</v>
      </c>
      <c r="E280" s="113"/>
      <c r="F280" s="114" t="s">
        <v>1253</v>
      </c>
      <c r="G280" s="107"/>
      <c r="H280" s="108">
        <v>0.33333333333333298</v>
      </c>
      <c r="I280" s="109">
        <f t="shared" si="5"/>
        <v>1</v>
      </c>
      <c r="J280" s="109">
        <v>0.9</v>
      </c>
      <c r="K280" s="82"/>
      <c r="L280" s="82"/>
    </row>
    <row r="281" spans="1:12">
      <c r="A281" s="253"/>
      <c r="B281" s="244"/>
      <c r="C281" s="248" t="s">
        <v>1197</v>
      </c>
      <c r="D281" s="132" t="s">
        <v>1191</v>
      </c>
      <c r="E281" s="158"/>
      <c r="F281" s="125" t="s">
        <v>1251</v>
      </c>
      <c r="G281" s="127">
        <v>2.7777777777777776E-2</v>
      </c>
      <c r="H281" s="127">
        <v>0.33333333333333298</v>
      </c>
      <c r="I281" s="109">
        <f t="shared" si="5"/>
        <v>0.91666666666666663</v>
      </c>
      <c r="J281" s="134">
        <v>0.9</v>
      </c>
      <c r="K281" s="133" t="s">
        <v>1307</v>
      </c>
      <c r="L281" s="137"/>
    </row>
    <row r="282" spans="1:12">
      <c r="A282" s="253"/>
      <c r="B282" s="244"/>
      <c r="C282" s="249"/>
      <c r="D282" s="132" t="s">
        <v>1191</v>
      </c>
      <c r="E282" s="158"/>
      <c r="F282" s="129" t="s">
        <v>1252</v>
      </c>
      <c r="G282" s="126"/>
      <c r="H282" s="127">
        <v>0.33333333333333298</v>
      </c>
      <c r="I282" s="109">
        <f t="shared" si="5"/>
        <v>1</v>
      </c>
      <c r="J282" s="134">
        <v>0.9</v>
      </c>
      <c r="K282" s="135"/>
      <c r="L282" s="136"/>
    </row>
    <row r="283" spans="1:12" ht="15" thickBot="1">
      <c r="A283" s="253"/>
      <c r="B283" s="245"/>
      <c r="C283" s="250"/>
      <c r="D283" s="132" t="s">
        <v>1191</v>
      </c>
      <c r="E283" s="133"/>
      <c r="F283" s="128" t="s">
        <v>1253</v>
      </c>
      <c r="G283" s="126"/>
      <c r="H283" s="127">
        <v>0.33333333333333298</v>
      </c>
      <c r="I283" s="109">
        <f t="shared" si="5"/>
        <v>1</v>
      </c>
      <c r="J283" s="134">
        <v>0.9</v>
      </c>
      <c r="K283" s="133"/>
      <c r="L283" s="136"/>
    </row>
    <row r="284" spans="1:12">
      <c r="A284" s="253"/>
      <c r="B284" s="251">
        <v>45991</v>
      </c>
      <c r="C284" s="248" t="s">
        <v>1198</v>
      </c>
      <c r="D284" s="132" t="s">
        <v>1194</v>
      </c>
      <c r="E284" s="158"/>
      <c r="F284" s="125" t="s">
        <v>1251</v>
      </c>
      <c r="G284" s="126"/>
      <c r="H284" s="127">
        <v>0.33333333333333331</v>
      </c>
      <c r="I284" s="109">
        <f t="shared" ref="I284:I292" si="7">1-(G284/H284)</f>
        <v>1</v>
      </c>
      <c r="J284" s="134">
        <v>0.9</v>
      </c>
      <c r="K284" s="135"/>
      <c r="L284" s="137"/>
    </row>
    <row r="285" spans="1:12">
      <c r="A285" s="253"/>
      <c r="B285" s="244"/>
      <c r="C285" s="249"/>
      <c r="D285" s="132" t="s">
        <v>1194</v>
      </c>
      <c r="E285" s="158"/>
      <c r="F285" s="129" t="s">
        <v>1252</v>
      </c>
      <c r="G285" s="126"/>
      <c r="H285" s="127">
        <v>0.33333333333333298</v>
      </c>
      <c r="I285" s="109">
        <f t="shared" si="7"/>
        <v>1</v>
      </c>
      <c r="J285" s="134">
        <v>0.9</v>
      </c>
      <c r="K285" s="135"/>
      <c r="L285" s="136"/>
    </row>
    <row r="286" spans="1:12">
      <c r="A286" s="253"/>
      <c r="B286" s="244"/>
      <c r="C286" s="250"/>
      <c r="D286" s="132" t="s">
        <v>1194</v>
      </c>
      <c r="E286" s="133"/>
      <c r="F286" s="128" t="s">
        <v>1253</v>
      </c>
      <c r="G286" s="126"/>
      <c r="H286" s="127">
        <v>0.33333333333333298</v>
      </c>
      <c r="I286" s="109">
        <f t="shared" si="7"/>
        <v>1</v>
      </c>
      <c r="J286" s="134">
        <v>0.9</v>
      </c>
      <c r="K286" s="135"/>
      <c r="L286" s="136"/>
    </row>
    <row r="287" spans="1:12">
      <c r="A287" s="253"/>
      <c r="B287" s="244"/>
      <c r="C287" s="243" t="s">
        <v>1196</v>
      </c>
      <c r="D287" s="78" t="s">
        <v>1193</v>
      </c>
      <c r="E287" s="159"/>
      <c r="F287" s="111" t="s">
        <v>1251</v>
      </c>
      <c r="G287" s="107"/>
      <c r="H287" s="108">
        <v>0.33333333333333298</v>
      </c>
      <c r="I287" s="109">
        <f t="shared" si="7"/>
        <v>1</v>
      </c>
      <c r="J287" s="109">
        <v>0.9</v>
      </c>
      <c r="K287" s="82"/>
      <c r="L287" s="112"/>
    </row>
    <row r="288" spans="1:12">
      <c r="A288" s="253"/>
      <c r="B288" s="244"/>
      <c r="C288" s="244"/>
      <c r="D288" s="78" t="s">
        <v>1193</v>
      </c>
      <c r="E288" s="159"/>
      <c r="F288" s="106" t="s">
        <v>1252</v>
      </c>
      <c r="G288" s="107"/>
      <c r="H288" s="108">
        <v>0.33333333333333298</v>
      </c>
      <c r="I288" s="109">
        <f t="shared" si="7"/>
        <v>1</v>
      </c>
      <c r="J288" s="109">
        <v>0.9</v>
      </c>
      <c r="K288" s="82"/>
      <c r="L288" s="82"/>
    </row>
    <row r="289" spans="1:12">
      <c r="A289" s="253"/>
      <c r="B289" s="244"/>
      <c r="C289" s="245"/>
      <c r="D289" s="78" t="s">
        <v>1193</v>
      </c>
      <c r="E289" s="113"/>
      <c r="F289" s="114" t="s">
        <v>1253</v>
      </c>
      <c r="G289" s="107"/>
      <c r="H289" s="108">
        <v>0.33333333333333298</v>
      </c>
      <c r="I289" s="109">
        <f t="shared" si="7"/>
        <v>1</v>
      </c>
      <c r="J289" s="109">
        <v>0.9</v>
      </c>
      <c r="K289" s="82"/>
      <c r="L289" s="82"/>
    </row>
    <row r="290" spans="1:12">
      <c r="A290" s="253"/>
      <c r="B290" s="244"/>
      <c r="C290" s="248" t="s">
        <v>1197</v>
      </c>
      <c r="D290" s="132" t="s">
        <v>1191</v>
      </c>
      <c r="E290" s="158"/>
      <c r="F290" s="125" t="s">
        <v>1251</v>
      </c>
      <c r="G290" s="126"/>
      <c r="H290" s="127">
        <v>0.33333333333333298</v>
      </c>
      <c r="I290" s="109">
        <f t="shared" si="7"/>
        <v>1</v>
      </c>
      <c r="J290" s="134">
        <v>0.9</v>
      </c>
      <c r="K290" s="133"/>
      <c r="L290" s="137"/>
    </row>
    <row r="291" spans="1:12">
      <c r="A291" s="253"/>
      <c r="B291" s="244"/>
      <c r="C291" s="249"/>
      <c r="D291" s="132" t="s">
        <v>1191</v>
      </c>
      <c r="E291" s="158"/>
      <c r="F291" s="129" t="s">
        <v>1252</v>
      </c>
      <c r="G291" s="126"/>
      <c r="H291" s="127">
        <v>0.33333333333333298</v>
      </c>
      <c r="I291" s="109">
        <f t="shared" si="7"/>
        <v>1</v>
      </c>
      <c r="J291" s="134">
        <v>0.9</v>
      </c>
      <c r="K291" s="135"/>
      <c r="L291" s="136"/>
    </row>
    <row r="292" spans="1:12">
      <c r="A292" s="253"/>
      <c r="B292" s="245"/>
      <c r="C292" s="250"/>
      <c r="D292" s="132" t="s">
        <v>1191</v>
      </c>
      <c r="E292" s="133"/>
      <c r="F292" s="128" t="s">
        <v>1253</v>
      </c>
      <c r="G292" s="126"/>
      <c r="H292" s="127">
        <v>0.33333333333333298</v>
      </c>
      <c r="I292" s="109">
        <f t="shared" si="7"/>
        <v>1</v>
      </c>
      <c r="J292" s="134">
        <v>0.9</v>
      </c>
      <c r="K292" s="133"/>
      <c r="L292" s="136"/>
    </row>
    <row r="293" spans="1:12">
      <c r="A293" s="253"/>
      <c r="B293" s="117"/>
      <c r="C293" s="117"/>
      <c r="D293" s="118"/>
      <c r="E293" s="118"/>
      <c r="F293" s="119" t="s">
        <v>1251</v>
      </c>
      <c r="G293" s="124"/>
      <c r="H293" s="124"/>
      <c r="I293" s="120">
        <f>AVERAGEIF(F230:F292,F293,I230:I292)</f>
        <v>0.93650793650793651</v>
      </c>
      <c r="J293" s="121">
        <v>0.9</v>
      </c>
      <c r="K293" s="118"/>
      <c r="L293" s="116"/>
    </row>
    <row r="294" spans="1:12">
      <c r="A294" s="253"/>
      <c r="B294" s="117"/>
      <c r="C294" s="117"/>
      <c r="D294" s="118"/>
      <c r="E294" s="118"/>
      <c r="F294" s="119" t="s">
        <v>1252</v>
      </c>
      <c r="G294" s="124"/>
      <c r="H294" s="124"/>
      <c r="I294" s="120">
        <f>AVERAGEIF(F230:F292,F294,I230:I292)</f>
        <v>0.92976190476190468</v>
      </c>
      <c r="J294" s="121">
        <v>0.9</v>
      </c>
      <c r="K294" s="118"/>
      <c r="L294" s="116"/>
    </row>
    <row r="295" spans="1:12">
      <c r="A295" s="253"/>
      <c r="B295" s="117"/>
      <c r="C295" s="117"/>
      <c r="D295" s="118"/>
      <c r="E295" s="118"/>
      <c r="F295" s="119" t="s">
        <v>1253</v>
      </c>
      <c r="G295" s="124"/>
      <c r="H295" s="124"/>
      <c r="I295" s="120">
        <f>AVERAGEIF(F230:F292,F295,I230:I292)</f>
        <v>0.9821428571428571</v>
      </c>
      <c r="J295" s="121">
        <v>0.9</v>
      </c>
      <c r="K295" s="118"/>
      <c r="L295" s="116"/>
    </row>
  </sheetData>
  <mergeCells count="165">
    <mergeCell ref="B266:B274"/>
    <mergeCell ref="C266:C268"/>
    <mergeCell ref="C269:C271"/>
    <mergeCell ref="C272:C274"/>
    <mergeCell ref="B284:B292"/>
    <mergeCell ref="C284:C286"/>
    <mergeCell ref="C287:C289"/>
    <mergeCell ref="C290:C292"/>
    <mergeCell ref="B275:B283"/>
    <mergeCell ref="C275:C277"/>
    <mergeCell ref="C278:C280"/>
    <mergeCell ref="C281:C283"/>
    <mergeCell ref="A1:F1"/>
    <mergeCell ref="G1:J1"/>
    <mergeCell ref="K1:L1"/>
    <mergeCell ref="A2:L2"/>
    <mergeCell ref="A3:F3"/>
    <mergeCell ref="G3:J3"/>
    <mergeCell ref="K3:L3"/>
    <mergeCell ref="N15:N16"/>
    <mergeCell ref="O15:O16"/>
    <mergeCell ref="P15:P16"/>
    <mergeCell ref="Q15:Q16"/>
    <mergeCell ref="C17:C19"/>
    <mergeCell ref="P17:P19"/>
    <mergeCell ref="Q17:Q19"/>
    <mergeCell ref="A4:F4"/>
    <mergeCell ref="G4:J4"/>
    <mergeCell ref="K4:L4"/>
    <mergeCell ref="A11:A67"/>
    <mergeCell ref="B11:B19"/>
    <mergeCell ref="C11:C13"/>
    <mergeCell ref="C14:C16"/>
    <mergeCell ref="B20:B28"/>
    <mergeCell ref="C20:C22"/>
    <mergeCell ref="B32:B40"/>
    <mergeCell ref="C32:C34"/>
    <mergeCell ref="N32:N33"/>
    <mergeCell ref="O32:O33"/>
    <mergeCell ref="P32:P33"/>
    <mergeCell ref="Q32:Q33"/>
    <mergeCell ref="P34:P37"/>
    <mergeCell ref="Q34:Q37"/>
    <mergeCell ref="C35:C37"/>
    <mergeCell ref="N22:N23"/>
    <mergeCell ref="O22:O23"/>
    <mergeCell ref="P22:P23"/>
    <mergeCell ref="Q22:Q23"/>
    <mergeCell ref="C23:C25"/>
    <mergeCell ref="P24:P27"/>
    <mergeCell ref="Q24:Q27"/>
    <mergeCell ref="C26:C28"/>
    <mergeCell ref="O46:O47"/>
    <mergeCell ref="P46:P47"/>
    <mergeCell ref="Q46:Q47"/>
    <mergeCell ref="C47:C49"/>
    <mergeCell ref="P48:P51"/>
    <mergeCell ref="Q48:Q51"/>
    <mergeCell ref="C38:C40"/>
    <mergeCell ref="N39:N40"/>
    <mergeCell ref="O39:O40"/>
    <mergeCell ref="P39:P40"/>
    <mergeCell ref="Q39:Q40"/>
    <mergeCell ref="C41:C43"/>
    <mergeCell ref="P41:P44"/>
    <mergeCell ref="Q41:Q44"/>
    <mergeCell ref="C44:C46"/>
    <mergeCell ref="B50:B58"/>
    <mergeCell ref="C50:C52"/>
    <mergeCell ref="C53:C55"/>
    <mergeCell ref="C56:C58"/>
    <mergeCell ref="B59:B67"/>
    <mergeCell ref="C59:C61"/>
    <mergeCell ref="C62:C64"/>
    <mergeCell ref="C65:C67"/>
    <mergeCell ref="N46:N47"/>
    <mergeCell ref="B41:B49"/>
    <mergeCell ref="C86:C88"/>
    <mergeCell ref="C89:C91"/>
    <mergeCell ref="C92:C94"/>
    <mergeCell ref="A68:A97"/>
    <mergeCell ref="B68:B76"/>
    <mergeCell ref="C68:C70"/>
    <mergeCell ref="C71:C73"/>
    <mergeCell ref="C74:C76"/>
    <mergeCell ref="B77:B85"/>
    <mergeCell ref="C77:C79"/>
    <mergeCell ref="C80:C82"/>
    <mergeCell ref="C83:C85"/>
    <mergeCell ref="B86:B94"/>
    <mergeCell ref="A98:A163"/>
    <mergeCell ref="B98:B106"/>
    <mergeCell ref="C98:C100"/>
    <mergeCell ref="C101:C103"/>
    <mergeCell ref="C104:C106"/>
    <mergeCell ref="B107:B115"/>
    <mergeCell ref="C107:C109"/>
    <mergeCell ref="C110:C112"/>
    <mergeCell ref="C113:C115"/>
    <mergeCell ref="B116:B124"/>
    <mergeCell ref="C116:C118"/>
    <mergeCell ref="C119:C121"/>
    <mergeCell ref="C122:C124"/>
    <mergeCell ref="B143:B151"/>
    <mergeCell ref="C143:C145"/>
    <mergeCell ref="C146:C148"/>
    <mergeCell ref="C149:C151"/>
    <mergeCell ref="B152:B160"/>
    <mergeCell ref="C152:C154"/>
    <mergeCell ref="C155:C157"/>
    <mergeCell ref="C158:C160"/>
    <mergeCell ref="B125:B133"/>
    <mergeCell ref="C125:C127"/>
    <mergeCell ref="C128:C130"/>
    <mergeCell ref="C131:C133"/>
    <mergeCell ref="B134:B142"/>
    <mergeCell ref="C134:C136"/>
    <mergeCell ref="C137:C139"/>
    <mergeCell ref="C140:C142"/>
    <mergeCell ref="B209:B217"/>
    <mergeCell ref="C209:C211"/>
    <mergeCell ref="C212:C214"/>
    <mergeCell ref="C215:C217"/>
    <mergeCell ref="C182:C184"/>
    <mergeCell ref="C185:C187"/>
    <mergeCell ref="C188:C190"/>
    <mergeCell ref="B191:B199"/>
    <mergeCell ref="C191:C193"/>
    <mergeCell ref="C194:C196"/>
    <mergeCell ref="C197:C199"/>
    <mergeCell ref="B182:B190"/>
    <mergeCell ref="A230:A295"/>
    <mergeCell ref="B230:B238"/>
    <mergeCell ref="C230:C232"/>
    <mergeCell ref="C233:C235"/>
    <mergeCell ref="C236:C238"/>
    <mergeCell ref="B239:B247"/>
    <mergeCell ref="A164:A229"/>
    <mergeCell ref="B164:B172"/>
    <mergeCell ref="C164:C166"/>
    <mergeCell ref="C167:C169"/>
    <mergeCell ref="C170:C172"/>
    <mergeCell ref="B173:B181"/>
    <mergeCell ref="C173:C175"/>
    <mergeCell ref="C176:C178"/>
    <mergeCell ref="C179:C181"/>
    <mergeCell ref="B257:B265"/>
    <mergeCell ref="C257:C259"/>
    <mergeCell ref="C260:C262"/>
    <mergeCell ref="C263:C265"/>
    <mergeCell ref="C239:C241"/>
    <mergeCell ref="B200:B208"/>
    <mergeCell ref="C200:C202"/>
    <mergeCell ref="C203:C205"/>
    <mergeCell ref="C206:C208"/>
    <mergeCell ref="C242:C244"/>
    <mergeCell ref="C245:C247"/>
    <mergeCell ref="B248:B256"/>
    <mergeCell ref="C248:C250"/>
    <mergeCell ref="C251:C253"/>
    <mergeCell ref="C254:C256"/>
    <mergeCell ref="B218:B226"/>
    <mergeCell ref="C218:C220"/>
    <mergeCell ref="C221:C223"/>
    <mergeCell ref="C224:C226"/>
  </mergeCells>
  <phoneticPr fontId="13" type="noConversion"/>
  <conditionalFormatting sqref="F11:F28 F32:F67">
    <cfRule type="containsText" dxfId="29" priority="4" operator="containsText" text="P'NUT">
      <formula>NOT(ISERROR(SEARCH("P'NUT",F11)))</formula>
    </cfRule>
  </conditionalFormatting>
  <conditionalFormatting sqref="F11:F67">
    <cfRule type="containsText" dxfId="28" priority="2" operator="containsText" text="P'SUP">
      <formula>NOT(ISERROR(SEARCH("P'SUP",F11)))</formula>
    </cfRule>
  </conditionalFormatting>
  <conditionalFormatting sqref="F11:F295">
    <cfRule type="containsText" dxfId="27" priority="5" operator="containsText" text="P'SUP">
      <formula>NOT(ISERROR(SEARCH("P'SUP",F11)))</formula>
    </cfRule>
  </conditionalFormatting>
  <conditionalFormatting sqref="F29:F31">
    <cfRule type="containsText" dxfId="26" priority="1" operator="containsText" text="P'NUT">
      <formula>NOT(ISERROR(SEARCH("P'NUT",F29)))</formula>
    </cfRule>
  </conditionalFormatting>
  <conditionalFormatting sqref="F68:F295">
    <cfRule type="containsText" dxfId="25" priority="14" operator="containsText" text="P'NUT">
      <formula>NOT(ISERROR(SEARCH("P'NUT",F68)))</formula>
    </cfRule>
    <cfRule type="containsText" dxfId="24" priority="15" operator="containsText" text="P'SUP">
      <formula>NOT(ISERROR(SEARCH("P'SUP",F68)))</formula>
    </cfRule>
  </conditionalFormatting>
  <conditionalFormatting sqref="I11:I295">
    <cfRule type="cellIs" dxfId="23" priority="12" operator="greaterThan">
      <formula>0.85</formula>
    </cfRule>
    <cfRule type="cellIs" dxfId="22" priority="13" operator="lessThan">
      <formula>0.85</formula>
    </cfRule>
  </conditionalFormatting>
  <conditionalFormatting sqref="O25:O27">
    <cfRule type="cellIs" dxfId="21" priority="8" operator="lessThan">
      <formula>0.85</formula>
    </cfRule>
  </conditionalFormatting>
  <conditionalFormatting sqref="O17:P19">
    <cfRule type="cellIs" dxfId="20" priority="11" operator="lessThan">
      <formula>0.85</formula>
    </cfRule>
  </conditionalFormatting>
  <conditionalFormatting sqref="O24:P24">
    <cfRule type="cellIs" dxfId="19" priority="10" operator="lessThan">
      <formula>0.85</formula>
    </cfRule>
  </conditionalFormatting>
  <conditionalFormatting sqref="O34:P34 O35:O37">
    <cfRule type="cellIs" dxfId="18" priority="9" operator="lessThan">
      <formula>0.85</formula>
    </cfRule>
  </conditionalFormatting>
  <conditionalFormatting sqref="O41:P41 O42:O44">
    <cfRule type="cellIs" dxfId="17" priority="7" operator="lessThan">
      <formula>0.85</formula>
    </cfRule>
  </conditionalFormatting>
  <conditionalFormatting sqref="O48:P48 O49:O51">
    <cfRule type="cellIs" dxfId="16" priority="6" operator="lessThan">
      <formula>0.85</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5FFE20BC-0DD7-4FAF-A905-CD115B1448BA}">
          <x14:formula1>
            <xm:f>n!$A$2:$A$6</xm:f>
          </x14:formula1>
          <xm:sqref>P34 P24 P41 P48</xm:sqref>
        </x14:dataValidation>
        <x14:dataValidation type="list" allowBlank="1" showInputMessage="1" showErrorMessage="1" xr:uid="{0A5BA1F4-EB95-4E41-A56A-24AC40FBE915}">
          <x14:formula1>
            <xm:f>n!$A$8:$A$10</xm:f>
          </x14:formula1>
          <xm:sqref>F11:F295</xm:sqref>
        </x14:dataValidation>
        <x14:dataValidation type="list" allowBlank="1" showInputMessage="1" showErrorMessage="1" xr:uid="{E8B0CB6D-445D-43C0-BF9E-599383D96B3A}">
          <x14:formula1>
            <xm:f>n!$A$1:$A$6</xm:f>
          </x14:formula1>
          <xm:sqref>D11:E295</xm:sqref>
        </x14:dataValidation>
        <x14:dataValidation type="list" allowBlank="1" showInputMessage="1" showErrorMessage="1" xr:uid="{2E133050-14E2-44E7-9A23-59147F97CE34}">
          <x14:formula1>
            <xm:f>n!$B$2:$B$4</xm:f>
          </x14:formula1>
          <xm:sqref>C11:C295</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446CB-0028-472D-B4C7-D235FC0E5D26}">
  <dimension ref="A1:Q316"/>
  <sheetViews>
    <sheetView topLeftCell="D51" zoomScale="80" zoomScaleNormal="80" workbookViewId="0">
      <selection activeCell="E11" sqref="E11"/>
    </sheetView>
  </sheetViews>
  <sheetFormatPr baseColWidth="10" defaultRowHeight="14.4"/>
  <cols>
    <col min="2" max="3" width="13.21875" customWidth="1"/>
    <col min="4" max="4" width="14.88671875" customWidth="1"/>
    <col min="5" max="5" width="14.33203125" customWidth="1"/>
    <col min="7" max="7" width="14.21875" customWidth="1"/>
    <col min="9" max="10" width="14.5546875" customWidth="1"/>
    <col min="11" max="11" width="30.21875" customWidth="1"/>
    <col min="12" max="12" width="30.44140625" customWidth="1"/>
    <col min="14" max="14" width="14.44140625" customWidth="1"/>
    <col min="15" max="15" width="16.77734375" customWidth="1"/>
    <col min="16" max="16" width="15.21875" customWidth="1"/>
    <col min="17" max="17" width="58.5546875" customWidth="1"/>
  </cols>
  <sheetData>
    <row r="1" spans="1:14" ht="38.4" customHeight="1">
      <c r="A1" s="201"/>
      <c r="B1" s="201"/>
      <c r="C1" s="201"/>
      <c r="D1" s="201"/>
      <c r="E1" s="201"/>
      <c r="F1" s="201"/>
      <c r="G1" s="201"/>
      <c r="H1" s="201"/>
      <c r="I1" s="201"/>
      <c r="J1" s="201"/>
      <c r="K1" s="246" t="s">
        <v>1228</v>
      </c>
      <c r="L1" s="246"/>
    </row>
    <row r="2" spans="1:14" ht="26.4" customHeight="1">
      <c r="A2" s="210" t="s">
        <v>1227</v>
      </c>
      <c r="B2" s="210"/>
      <c r="C2" s="210"/>
      <c r="D2" s="210"/>
      <c r="E2" s="210"/>
      <c r="F2" s="210"/>
      <c r="G2" s="210"/>
      <c r="H2" s="210"/>
      <c r="I2" s="210"/>
      <c r="J2" s="210"/>
      <c r="K2" s="210"/>
      <c r="L2" s="210"/>
    </row>
    <row r="3" spans="1:14" ht="26.4" customHeight="1">
      <c r="A3" s="221" t="s">
        <v>1210</v>
      </c>
      <c r="B3" s="222"/>
      <c r="C3" s="222"/>
      <c r="D3" s="222"/>
      <c r="E3" s="222"/>
      <c r="F3" s="222"/>
      <c r="G3" s="221" t="s">
        <v>1209</v>
      </c>
      <c r="H3" s="222"/>
      <c r="I3" s="222"/>
      <c r="J3" s="222"/>
      <c r="K3" s="247" t="s">
        <v>1230</v>
      </c>
      <c r="L3" s="247"/>
      <c r="N3" s="67"/>
    </row>
    <row r="4" spans="1:14" ht="63" customHeight="1">
      <c r="A4" s="221" t="s">
        <v>1224</v>
      </c>
      <c r="B4" s="222"/>
      <c r="C4" s="222"/>
      <c r="D4" s="222"/>
      <c r="E4" s="222"/>
      <c r="F4" s="222"/>
      <c r="G4" s="221" t="s">
        <v>1225</v>
      </c>
      <c r="H4" s="222"/>
      <c r="I4" s="222"/>
      <c r="J4" s="222"/>
      <c r="K4" s="221" t="s">
        <v>1226</v>
      </c>
      <c r="L4" s="221"/>
    </row>
    <row r="5" spans="1:14" ht="14.4" customHeight="1"/>
    <row r="6" spans="1:14" hidden="1"/>
    <row r="7" spans="1:14" hidden="1"/>
    <row r="8" spans="1:14" hidden="1"/>
    <row r="9" spans="1:14" ht="24.6" customHeight="1" thickBot="1"/>
    <row r="10" spans="1:14" ht="36.6" customHeight="1" thickTop="1" thickBot="1">
      <c r="A10" s="139" t="s">
        <v>1190</v>
      </c>
      <c r="B10" s="140" t="s">
        <v>1258</v>
      </c>
      <c r="C10" s="141" t="s">
        <v>1257</v>
      </c>
      <c r="D10" s="141" t="s">
        <v>1250</v>
      </c>
      <c r="E10" s="141" t="s">
        <v>1285</v>
      </c>
      <c r="F10" s="141" t="s">
        <v>1246</v>
      </c>
      <c r="G10" s="142" t="s">
        <v>1259</v>
      </c>
      <c r="H10" s="143" t="s">
        <v>1248</v>
      </c>
      <c r="I10" s="143" t="s">
        <v>1249</v>
      </c>
      <c r="J10" s="143" t="s">
        <v>1254</v>
      </c>
      <c r="K10" s="144" t="s">
        <v>1247</v>
      </c>
      <c r="L10" s="145" t="s">
        <v>1255</v>
      </c>
    </row>
    <row r="11" spans="1:14" ht="14.4" customHeight="1">
      <c r="A11" s="252"/>
      <c r="B11" s="251">
        <v>45992</v>
      </c>
      <c r="C11" s="248" t="s">
        <v>1198</v>
      </c>
      <c r="D11" s="132" t="s">
        <v>1201</v>
      </c>
      <c r="E11" s="158"/>
      <c r="F11" s="125" t="s">
        <v>1251</v>
      </c>
      <c r="G11" s="126"/>
      <c r="H11" s="127">
        <v>0.33333333333333298</v>
      </c>
      <c r="I11" s="134">
        <f t="shared" ref="I11:I19" si="0">1-(G11/H11)</f>
        <v>1</v>
      </c>
      <c r="J11" s="134">
        <v>0.9</v>
      </c>
      <c r="K11" s="135"/>
      <c r="L11" s="137"/>
    </row>
    <row r="12" spans="1:14" ht="14.4" customHeight="1">
      <c r="A12" s="253"/>
      <c r="B12" s="244"/>
      <c r="C12" s="249"/>
      <c r="D12" s="132" t="s">
        <v>1201</v>
      </c>
      <c r="E12" s="158"/>
      <c r="F12" s="125" t="s">
        <v>1252</v>
      </c>
      <c r="G12" s="126"/>
      <c r="H12" s="127">
        <v>0.33333333333333298</v>
      </c>
      <c r="I12" s="134">
        <f t="shared" si="0"/>
        <v>1</v>
      </c>
      <c r="J12" s="134">
        <v>0.9</v>
      </c>
      <c r="K12" s="135"/>
      <c r="L12" s="136"/>
    </row>
    <row r="13" spans="1:14" ht="14.4" customHeight="1">
      <c r="A13" s="253"/>
      <c r="B13" s="244"/>
      <c r="C13" s="250"/>
      <c r="D13" s="132" t="s">
        <v>1201</v>
      </c>
      <c r="E13" s="133"/>
      <c r="F13" s="128" t="s">
        <v>1253</v>
      </c>
      <c r="G13" s="126"/>
      <c r="H13" s="127">
        <v>0.33333333333333298</v>
      </c>
      <c r="I13" s="134">
        <f t="shared" si="0"/>
        <v>1</v>
      </c>
      <c r="J13" s="134">
        <v>0.9</v>
      </c>
      <c r="K13" s="133"/>
      <c r="L13" s="136"/>
    </row>
    <row r="14" spans="1:14" ht="14.4" customHeight="1">
      <c r="A14" s="253"/>
      <c r="B14" s="244"/>
      <c r="C14" s="243" t="s">
        <v>1196</v>
      </c>
      <c r="D14" s="78" t="s">
        <v>1194</v>
      </c>
      <c r="E14" s="159"/>
      <c r="F14" s="111" t="s">
        <v>1251</v>
      </c>
      <c r="G14" s="107"/>
      <c r="H14" s="108">
        <v>0.33333333333333298</v>
      </c>
      <c r="I14" s="109">
        <f t="shared" si="0"/>
        <v>1</v>
      </c>
      <c r="J14" s="109">
        <v>0.9</v>
      </c>
      <c r="K14" s="82"/>
      <c r="L14" s="112"/>
    </row>
    <row r="15" spans="1:14" ht="14.4" customHeight="1">
      <c r="A15" s="253"/>
      <c r="B15" s="244"/>
      <c r="C15" s="244"/>
      <c r="D15" s="78" t="s">
        <v>1194</v>
      </c>
      <c r="E15" s="159"/>
      <c r="F15" s="111" t="s">
        <v>1252</v>
      </c>
      <c r="G15" s="107"/>
      <c r="H15" s="108">
        <v>0.33333333333333298</v>
      </c>
      <c r="I15" s="109">
        <f t="shared" si="0"/>
        <v>1</v>
      </c>
      <c r="J15" s="109">
        <v>0.9</v>
      </c>
      <c r="K15" s="82"/>
      <c r="L15" s="82"/>
    </row>
    <row r="16" spans="1:14" ht="14.4" customHeight="1">
      <c r="A16" s="253"/>
      <c r="B16" s="244"/>
      <c r="C16" s="245"/>
      <c r="D16" s="78" t="s">
        <v>1194</v>
      </c>
      <c r="E16" s="113"/>
      <c r="F16" s="114" t="s">
        <v>1253</v>
      </c>
      <c r="G16" s="107"/>
      <c r="H16" s="108">
        <v>0.33333333333333298</v>
      </c>
      <c r="I16" s="109">
        <f t="shared" si="0"/>
        <v>1</v>
      </c>
      <c r="J16" s="109">
        <v>0.9</v>
      </c>
      <c r="K16" s="82"/>
      <c r="L16" s="82"/>
    </row>
    <row r="17" spans="1:17" ht="14.4" customHeight="1">
      <c r="A17" s="253"/>
      <c r="B17" s="244"/>
      <c r="C17" s="248" t="s">
        <v>1197</v>
      </c>
      <c r="D17" s="132" t="s">
        <v>1193</v>
      </c>
      <c r="E17" s="158"/>
      <c r="F17" s="125" t="s">
        <v>1251</v>
      </c>
      <c r="G17" s="126"/>
      <c r="H17" s="127">
        <v>0.33333333333333298</v>
      </c>
      <c r="I17" s="134">
        <f t="shared" si="0"/>
        <v>1</v>
      </c>
      <c r="J17" s="134">
        <v>0.9</v>
      </c>
      <c r="K17" s="135"/>
      <c r="L17" s="137"/>
    </row>
    <row r="18" spans="1:17" ht="14.4" customHeight="1">
      <c r="A18" s="253"/>
      <c r="B18" s="244"/>
      <c r="C18" s="249"/>
      <c r="D18" s="132" t="s">
        <v>1193</v>
      </c>
      <c r="E18" s="158"/>
      <c r="F18" s="129" t="s">
        <v>1252</v>
      </c>
      <c r="G18" s="126"/>
      <c r="H18" s="127">
        <v>0.33333333333333298</v>
      </c>
      <c r="I18" s="134">
        <f t="shared" si="0"/>
        <v>1</v>
      </c>
      <c r="J18" s="134">
        <v>0.9</v>
      </c>
      <c r="K18" s="135"/>
      <c r="L18" s="136"/>
    </row>
    <row r="19" spans="1:17" ht="14.4" customHeight="1">
      <c r="A19" s="253"/>
      <c r="B19" s="245"/>
      <c r="C19" s="250"/>
      <c r="D19" s="132" t="s">
        <v>1193</v>
      </c>
      <c r="E19" s="133"/>
      <c r="F19" s="128" t="s">
        <v>1253</v>
      </c>
      <c r="G19" s="126"/>
      <c r="H19" s="131">
        <v>0.33333333333333298</v>
      </c>
      <c r="I19" s="138">
        <f t="shared" si="0"/>
        <v>1</v>
      </c>
      <c r="J19" s="134">
        <v>0.9</v>
      </c>
      <c r="K19" s="133"/>
      <c r="L19" s="136"/>
    </row>
    <row r="20" spans="1:17" ht="14.4" customHeight="1">
      <c r="A20" s="253"/>
      <c r="B20" s="117"/>
      <c r="C20" s="117"/>
      <c r="D20" s="118"/>
      <c r="E20" s="118"/>
      <c r="F20" s="119" t="s">
        <v>1251</v>
      </c>
      <c r="G20" s="124"/>
      <c r="H20" s="124"/>
      <c r="I20" s="120">
        <f>AVERAGEIF(F11:F19,F20,I11:I19)</f>
        <v>1</v>
      </c>
      <c r="J20" s="121">
        <v>0.9</v>
      </c>
      <c r="K20" s="118"/>
      <c r="L20" s="116"/>
    </row>
    <row r="21" spans="1:17" ht="14.4" customHeight="1">
      <c r="A21" s="253"/>
      <c r="B21" s="117"/>
      <c r="C21" s="117"/>
      <c r="D21" s="118"/>
      <c r="E21" s="118"/>
      <c r="F21" s="119" t="s">
        <v>1252</v>
      </c>
      <c r="G21" s="124"/>
      <c r="H21" s="124"/>
      <c r="I21" s="120">
        <f>AVERAGEIF(F11:F19,F21,I11:I19)</f>
        <v>1</v>
      </c>
      <c r="J21" s="121">
        <v>0.9</v>
      </c>
      <c r="K21" s="118"/>
      <c r="L21" s="116"/>
    </row>
    <row r="22" spans="1:17" ht="14.4" customHeight="1" thickBot="1">
      <c r="A22" s="253"/>
      <c r="B22" s="117"/>
      <c r="C22" s="117"/>
      <c r="D22" s="118"/>
      <c r="E22" s="118"/>
      <c r="F22" s="119" t="s">
        <v>1253</v>
      </c>
      <c r="G22" s="124"/>
      <c r="H22" s="124"/>
      <c r="I22" s="120">
        <f>AVERAGEIF(F11:F19,F22,I11:I19)</f>
        <v>1</v>
      </c>
      <c r="J22" s="121">
        <v>0.9</v>
      </c>
      <c r="K22" s="118"/>
      <c r="L22" s="116"/>
    </row>
    <row r="23" spans="1:17" ht="14.4" customHeight="1">
      <c r="A23" s="253"/>
      <c r="B23" s="251">
        <v>45993</v>
      </c>
      <c r="C23" s="248" t="s">
        <v>1198</v>
      </c>
      <c r="D23" s="110"/>
      <c r="E23" s="156"/>
      <c r="F23" s="111"/>
      <c r="G23" s="108">
        <v>5.2083333333333336E-2</v>
      </c>
      <c r="H23" s="108">
        <v>0.33333333333333398</v>
      </c>
      <c r="I23" s="109">
        <f>1-(G23/H23)</f>
        <v>0.84375000000000033</v>
      </c>
      <c r="J23" s="109">
        <v>0.9</v>
      </c>
      <c r="K23" s="82" t="s">
        <v>1307</v>
      </c>
      <c r="L23" s="82"/>
    </row>
    <row r="24" spans="1:17" ht="14.4" customHeight="1">
      <c r="A24" s="253"/>
      <c r="B24" s="244"/>
      <c r="C24" s="249"/>
      <c r="D24" s="110"/>
      <c r="E24" s="156"/>
      <c r="F24" s="111" t="s">
        <v>1252</v>
      </c>
      <c r="G24" s="107"/>
      <c r="H24" s="108">
        <v>0.33333333333333331</v>
      </c>
      <c r="I24" s="109">
        <f>1-(G24/H24)</f>
        <v>1</v>
      </c>
      <c r="J24" s="109">
        <v>0.9</v>
      </c>
      <c r="K24" s="82"/>
      <c r="L24" s="82"/>
    </row>
    <row r="25" spans="1:17" ht="14.4" customHeight="1">
      <c r="A25" s="253"/>
      <c r="B25" s="244"/>
      <c r="C25" s="250"/>
      <c r="D25" s="110"/>
      <c r="E25" s="157"/>
      <c r="F25" s="114" t="s">
        <v>1253</v>
      </c>
      <c r="G25" s="107"/>
      <c r="H25" s="108">
        <v>0.33333333333333298</v>
      </c>
      <c r="I25" s="109">
        <f t="shared" ref="I25:I76" si="1">1-(G25/H25)</f>
        <v>1</v>
      </c>
      <c r="J25" s="109">
        <v>0.9</v>
      </c>
      <c r="K25" s="82"/>
      <c r="L25" s="82"/>
    </row>
    <row r="26" spans="1:17" ht="14.4" customHeight="1">
      <c r="A26" s="253"/>
      <c r="B26" s="244"/>
      <c r="C26" s="248" t="s">
        <v>1196</v>
      </c>
      <c r="D26" s="132" t="s">
        <v>1194</v>
      </c>
      <c r="E26" s="158"/>
      <c r="F26" s="125" t="s">
        <v>1251</v>
      </c>
      <c r="G26" s="126"/>
      <c r="H26" s="127">
        <v>0.33333333333333298</v>
      </c>
      <c r="I26" s="134">
        <f t="shared" si="1"/>
        <v>1</v>
      </c>
      <c r="J26" s="134">
        <v>0.9</v>
      </c>
      <c r="K26" s="135"/>
      <c r="L26" s="136"/>
    </row>
    <row r="27" spans="1:17" ht="14.4" customHeight="1">
      <c r="A27" s="253"/>
      <c r="B27" s="244"/>
      <c r="C27" s="249"/>
      <c r="D27" s="132" t="s">
        <v>1194</v>
      </c>
      <c r="E27" s="158"/>
      <c r="F27" s="125" t="s">
        <v>1252</v>
      </c>
      <c r="G27" s="126"/>
      <c r="H27" s="127">
        <v>0.33333333333333298</v>
      </c>
      <c r="I27" s="134">
        <f t="shared" si="1"/>
        <v>1</v>
      </c>
      <c r="J27" s="134">
        <v>0.9</v>
      </c>
      <c r="K27" s="135"/>
      <c r="L27" s="136"/>
      <c r="N27" s="255" t="s">
        <v>1287</v>
      </c>
      <c r="O27" s="255" t="s">
        <v>1288</v>
      </c>
      <c r="P27" s="255" t="s">
        <v>1289</v>
      </c>
      <c r="Q27" s="255" t="s">
        <v>1290</v>
      </c>
    </row>
    <row r="28" spans="1:17" ht="14.4" customHeight="1">
      <c r="A28" s="253"/>
      <c r="B28" s="244"/>
      <c r="C28" s="250"/>
      <c r="D28" s="132" t="s">
        <v>1194</v>
      </c>
      <c r="E28" s="133"/>
      <c r="F28" s="128" t="s">
        <v>1253</v>
      </c>
      <c r="G28" s="126"/>
      <c r="H28" s="127">
        <v>0.33333333333333298</v>
      </c>
      <c r="I28" s="134">
        <f t="shared" si="1"/>
        <v>1</v>
      </c>
      <c r="J28" s="134">
        <v>0.9</v>
      </c>
      <c r="K28" s="133"/>
      <c r="L28" s="136"/>
      <c r="N28" s="255"/>
      <c r="O28" s="255"/>
      <c r="P28" s="255"/>
      <c r="Q28" s="255"/>
    </row>
    <row r="29" spans="1:17" ht="14.4" customHeight="1">
      <c r="A29" s="253"/>
      <c r="B29" s="244"/>
      <c r="C29" s="243" t="s">
        <v>1197</v>
      </c>
      <c r="D29" s="78" t="s">
        <v>1193</v>
      </c>
      <c r="E29" s="159"/>
      <c r="F29" s="111" t="s">
        <v>1251</v>
      </c>
      <c r="G29" s="107"/>
      <c r="H29" s="108">
        <v>0.33333333333333298</v>
      </c>
      <c r="I29" s="109">
        <f t="shared" si="1"/>
        <v>1</v>
      </c>
      <c r="J29" s="109">
        <v>0.9</v>
      </c>
      <c r="K29" s="82"/>
      <c r="L29" s="112"/>
      <c r="N29" s="161" t="s">
        <v>1251</v>
      </c>
      <c r="O29" s="162">
        <f>(I20+I77)/2</f>
        <v>0.99540441176470584</v>
      </c>
      <c r="P29" s="254">
        <f>(O29+O30+O31)/3</f>
        <v>0.98313248910675377</v>
      </c>
      <c r="Q29" s="256" t="s">
        <v>1610</v>
      </c>
    </row>
    <row r="30" spans="1:17" ht="14.4" customHeight="1">
      <c r="A30" s="253"/>
      <c r="B30" s="244"/>
      <c r="C30" s="244"/>
      <c r="D30" s="78" t="s">
        <v>1193</v>
      </c>
      <c r="E30" s="159"/>
      <c r="F30" s="111" t="s">
        <v>1252</v>
      </c>
      <c r="G30" s="107"/>
      <c r="H30" s="108">
        <v>0.33333333333333298</v>
      </c>
      <c r="I30" s="109">
        <f t="shared" si="1"/>
        <v>1</v>
      </c>
      <c r="J30" s="109">
        <v>0.9</v>
      </c>
      <c r="K30" s="82"/>
      <c r="L30" s="82"/>
      <c r="N30" s="161" t="s">
        <v>1252</v>
      </c>
      <c r="O30" s="162">
        <f>(I21+I78)/2</f>
        <v>0.9780092592592593</v>
      </c>
      <c r="P30" s="254"/>
      <c r="Q30" s="257"/>
    </row>
    <row r="31" spans="1:17" ht="15" customHeight="1" thickBot="1">
      <c r="A31" s="253"/>
      <c r="B31" s="245"/>
      <c r="C31" s="245"/>
      <c r="D31" s="78" t="s">
        <v>1193</v>
      </c>
      <c r="E31" s="113"/>
      <c r="F31" s="114" t="s">
        <v>1253</v>
      </c>
      <c r="G31" s="107"/>
      <c r="H31" s="108">
        <v>0.33333333333333298</v>
      </c>
      <c r="I31" s="109">
        <f t="shared" si="1"/>
        <v>1</v>
      </c>
      <c r="J31" s="109">
        <v>0.9</v>
      </c>
      <c r="K31" s="82"/>
      <c r="L31" s="82"/>
      <c r="N31" s="161" t="s">
        <v>1286</v>
      </c>
      <c r="O31" s="162">
        <f>(I22+I79)/2</f>
        <v>0.97598379629629628</v>
      </c>
      <c r="P31" s="254"/>
      <c r="Q31" s="257"/>
    </row>
    <row r="32" spans="1:17" ht="14.4" customHeight="1">
      <c r="A32" s="253"/>
      <c r="B32" s="251">
        <v>45994</v>
      </c>
      <c r="C32" s="248" t="s">
        <v>1198</v>
      </c>
      <c r="D32" s="132" t="s">
        <v>1192</v>
      </c>
      <c r="E32" s="158"/>
      <c r="F32" s="125" t="s">
        <v>1251</v>
      </c>
      <c r="G32" s="126"/>
      <c r="H32" s="127">
        <v>0.33333333333333298</v>
      </c>
      <c r="I32" s="134">
        <f t="shared" si="1"/>
        <v>1</v>
      </c>
      <c r="J32" s="134">
        <v>0.9</v>
      </c>
      <c r="K32" s="135"/>
      <c r="L32" s="137"/>
    </row>
    <row r="33" spans="1:17" ht="14.4" customHeight="1">
      <c r="A33" s="253"/>
      <c r="B33" s="244"/>
      <c r="C33" s="249"/>
      <c r="D33" s="132" t="s">
        <v>1192</v>
      </c>
      <c r="E33" s="158"/>
      <c r="F33" s="125" t="s">
        <v>1252</v>
      </c>
      <c r="G33" s="126"/>
      <c r="H33" s="127">
        <v>0.33333333333333298</v>
      </c>
      <c r="I33" s="134">
        <f t="shared" si="1"/>
        <v>1</v>
      </c>
      <c r="J33" s="134">
        <v>0.9</v>
      </c>
      <c r="K33" s="135"/>
      <c r="L33" s="136"/>
    </row>
    <row r="34" spans="1:17" ht="14.4" customHeight="1">
      <c r="A34" s="253"/>
      <c r="B34" s="244"/>
      <c r="C34" s="250"/>
      <c r="D34" s="132" t="s">
        <v>1192</v>
      </c>
      <c r="E34" s="133"/>
      <c r="F34" s="128" t="s">
        <v>1253</v>
      </c>
      <c r="G34" s="126"/>
      <c r="H34" s="127">
        <v>0.33333333333333298</v>
      </c>
      <c r="I34" s="134">
        <f t="shared" si="1"/>
        <v>1</v>
      </c>
      <c r="J34" s="134">
        <v>0.9</v>
      </c>
      <c r="K34" s="133"/>
      <c r="L34" s="136"/>
      <c r="N34" s="255" t="s">
        <v>1287</v>
      </c>
      <c r="O34" s="255" t="s">
        <v>1288</v>
      </c>
      <c r="P34" s="255" t="s">
        <v>1292</v>
      </c>
      <c r="Q34" s="255" t="s">
        <v>1290</v>
      </c>
    </row>
    <row r="35" spans="1:17" ht="14.4" customHeight="1">
      <c r="A35" s="253"/>
      <c r="B35" s="244"/>
      <c r="C35" s="243" t="s">
        <v>1196</v>
      </c>
      <c r="D35" s="78" t="s">
        <v>1191</v>
      </c>
      <c r="E35" s="159"/>
      <c r="F35" s="111" t="s">
        <v>1251</v>
      </c>
      <c r="G35" s="107"/>
      <c r="H35" s="108">
        <v>0.33333333333333298</v>
      </c>
      <c r="I35" s="109">
        <f t="shared" si="1"/>
        <v>1</v>
      </c>
      <c r="J35" s="109">
        <v>0.9</v>
      </c>
      <c r="K35" s="82"/>
      <c r="L35" s="112"/>
      <c r="N35" s="255"/>
      <c r="O35" s="255"/>
      <c r="P35" s="255"/>
      <c r="Q35" s="255"/>
    </row>
    <row r="36" spans="1:17" ht="14.4" customHeight="1">
      <c r="A36" s="253"/>
      <c r="B36" s="244"/>
      <c r="C36" s="244"/>
      <c r="D36" s="78" t="s">
        <v>1191</v>
      </c>
      <c r="E36" s="159"/>
      <c r="F36" s="111" t="s">
        <v>1252</v>
      </c>
      <c r="G36" s="107"/>
      <c r="H36" s="108">
        <v>0.33333333333333298</v>
      </c>
      <c r="I36" s="109">
        <f t="shared" si="1"/>
        <v>1</v>
      </c>
      <c r="J36" s="109">
        <v>0.9</v>
      </c>
      <c r="K36" s="82"/>
      <c r="L36" s="82"/>
      <c r="N36" s="161" t="s">
        <v>1251</v>
      </c>
      <c r="O36" s="162">
        <f>AVERAGEIFS(I23:I76,D23:D76,P36,F23:F76,N36)</f>
        <v>0.96875</v>
      </c>
      <c r="P36" s="260" t="s">
        <v>1191</v>
      </c>
      <c r="Q36" s="224"/>
    </row>
    <row r="37" spans="1:17" ht="14.4" customHeight="1">
      <c r="A37" s="253"/>
      <c r="B37" s="244"/>
      <c r="C37" s="245"/>
      <c r="D37" s="78" t="s">
        <v>1191</v>
      </c>
      <c r="E37" s="113"/>
      <c r="F37" s="114" t="s">
        <v>1253</v>
      </c>
      <c r="G37" s="107"/>
      <c r="H37" s="108">
        <v>0.33333333333333298</v>
      </c>
      <c r="I37" s="109">
        <f t="shared" si="1"/>
        <v>1</v>
      </c>
      <c r="J37" s="109">
        <v>0.9</v>
      </c>
      <c r="K37" s="82"/>
      <c r="L37" s="82"/>
      <c r="N37" s="161" t="s">
        <v>1252</v>
      </c>
      <c r="O37" s="162">
        <f>AVERAGEIFS(I23:I76,D23:D76,P36,F23:F76,N37)</f>
        <v>0.97499999999999998</v>
      </c>
      <c r="P37" s="261"/>
      <c r="Q37" s="227"/>
    </row>
    <row r="38" spans="1:17" ht="14.4" customHeight="1">
      <c r="A38" s="253"/>
      <c r="B38" s="244"/>
      <c r="C38" s="248" t="s">
        <v>1197</v>
      </c>
      <c r="D38" s="132" t="s">
        <v>1194</v>
      </c>
      <c r="E38" s="158"/>
      <c r="F38" s="125" t="s">
        <v>1251</v>
      </c>
      <c r="G38" s="126"/>
      <c r="H38" s="127">
        <v>0.33333333333333298</v>
      </c>
      <c r="I38" s="134">
        <f t="shared" si="1"/>
        <v>1</v>
      </c>
      <c r="J38" s="134">
        <v>0.9</v>
      </c>
      <c r="K38" s="135"/>
      <c r="L38" s="137"/>
      <c r="N38" s="161" t="s">
        <v>1253</v>
      </c>
      <c r="O38" s="162">
        <f>AVERAGEIFS(I23:I76,D23:D76,P36,F23:F76,N38)</f>
        <v>0.98750000000000004</v>
      </c>
      <c r="P38" s="261"/>
      <c r="Q38" s="227"/>
    </row>
    <row r="39" spans="1:17" ht="14.4" customHeight="1">
      <c r="A39" s="253"/>
      <c r="B39" s="244"/>
      <c r="C39" s="249"/>
      <c r="D39" s="132" t="s">
        <v>1194</v>
      </c>
      <c r="E39" s="158"/>
      <c r="F39" s="129" t="s">
        <v>1252</v>
      </c>
      <c r="G39" s="126"/>
      <c r="H39" s="127">
        <v>0.33333333333333298</v>
      </c>
      <c r="I39" s="134">
        <f t="shared" si="1"/>
        <v>1</v>
      </c>
      <c r="J39" s="134">
        <v>0.9</v>
      </c>
      <c r="K39" s="135"/>
      <c r="L39" s="136"/>
      <c r="N39" s="161" t="s">
        <v>1293</v>
      </c>
      <c r="O39" s="162">
        <f>(O36+O37+O38)/3</f>
        <v>0.97708333333333341</v>
      </c>
      <c r="P39" s="261"/>
      <c r="Q39" s="227"/>
    </row>
    <row r="40" spans="1:17" ht="14.4" customHeight="1" thickBot="1">
      <c r="A40" s="253"/>
      <c r="B40" s="245"/>
      <c r="C40" s="250"/>
      <c r="D40" s="132" t="s">
        <v>1194</v>
      </c>
      <c r="E40" s="133"/>
      <c r="F40" s="128" t="s">
        <v>1253</v>
      </c>
      <c r="G40" s="131">
        <v>2.7777777777777776E-2</v>
      </c>
      <c r="H40" s="131">
        <v>0.33333333333333298</v>
      </c>
      <c r="I40" s="138">
        <f t="shared" si="1"/>
        <v>0.91666666666666663</v>
      </c>
      <c r="J40" s="134">
        <v>0.9</v>
      </c>
      <c r="K40" s="133" t="s">
        <v>1307</v>
      </c>
      <c r="L40" s="136"/>
    </row>
    <row r="41" spans="1:17" ht="15" customHeight="1">
      <c r="A41" s="253"/>
      <c r="B41" s="251">
        <v>45995</v>
      </c>
      <c r="C41" s="243" t="s">
        <v>1198</v>
      </c>
      <c r="D41" s="78" t="s">
        <v>1191</v>
      </c>
      <c r="E41" s="159"/>
      <c r="F41" s="111" t="s">
        <v>1251</v>
      </c>
      <c r="G41" s="107"/>
      <c r="H41" s="108">
        <v>0.33333333333333298</v>
      </c>
      <c r="I41" s="109">
        <f t="shared" si="1"/>
        <v>1</v>
      </c>
      <c r="J41" s="109">
        <v>0.9</v>
      </c>
      <c r="K41" s="82"/>
      <c r="L41" s="112"/>
      <c r="N41" s="255" t="s">
        <v>1287</v>
      </c>
      <c r="O41" s="255" t="s">
        <v>1288</v>
      </c>
      <c r="P41" s="255" t="s">
        <v>1292</v>
      </c>
      <c r="Q41" s="255" t="s">
        <v>1290</v>
      </c>
    </row>
    <row r="42" spans="1:17" ht="15" customHeight="1">
      <c r="A42" s="253"/>
      <c r="B42" s="244"/>
      <c r="C42" s="244"/>
      <c r="D42" s="78" t="s">
        <v>1191</v>
      </c>
      <c r="E42" s="159"/>
      <c r="F42" s="106" t="s">
        <v>1252</v>
      </c>
      <c r="G42" s="107"/>
      <c r="H42" s="108">
        <v>0.33333333333333298</v>
      </c>
      <c r="I42" s="109">
        <f t="shared" si="1"/>
        <v>1</v>
      </c>
      <c r="J42" s="109">
        <v>0.9</v>
      </c>
      <c r="K42" s="82"/>
      <c r="L42" s="82"/>
      <c r="N42" s="255"/>
      <c r="O42" s="255"/>
      <c r="P42" s="255"/>
      <c r="Q42" s="255"/>
    </row>
    <row r="43" spans="1:17" ht="15" customHeight="1">
      <c r="A43" s="253"/>
      <c r="B43" s="244"/>
      <c r="C43" s="245"/>
      <c r="D43" s="78" t="s">
        <v>1191</v>
      </c>
      <c r="E43" s="113"/>
      <c r="F43" s="114" t="s">
        <v>1253</v>
      </c>
      <c r="G43" s="108">
        <v>2.0833333333333332E-2</v>
      </c>
      <c r="H43" s="108">
        <v>0.33333333333333298</v>
      </c>
      <c r="I43" s="109">
        <f t="shared" si="1"/>
        <v>0.93749999999999989</v>
      </c>
      <c r="J43" s="109">
        <v>0.9</v>
      </c>
      <c r="K43" s="82" t="s">
        <v>1307</v>
      </c>
      <c r="L43" s="82"/>
      <c r="N43" s="161" t="s">
        <v>1251</v>
      </c>
      <c r="O43" s="162">
        <f>(AVERAGEIFS(I11:I19,D11:D19,P43,F11:F19,N43)+AVERAGEIFS(I23:I76,D23:D76,P43,F23:F76,N43))/2</f>
        <v>1</v>
      </c>
      <c r="P43" s="254" t="s">
        <v>1194</v>
      </c>
      <c r="Q43" s="224"/>
    </row>
    <row r="44" spans="1:17" ht="15" customHeight="1">
      <c r="A44" s="253"/>
      <c r="B44" s="244"/>
      <c r="C44" s="248" t="s">
        <v>1196</v>
      </c>
      <c r="D44" s="132" t="s">
        <v>1192</v>
      </c>
      <c r="E44" s="158"/>
      <c r="F44" s="125" t="s">
        <v>1251</v>
      </c>
      <c r="G44" s="126"/>
      <c r="H44" s="127">
        <v>0.33333333333333298</v>
      </c>
      <c r="I44" s="134">
        <f t="shared" si="1"/>
        <v>1</v>
      </c>
      <c r="J44" s="134">
        <v>0.9</v>
      </c>
      <c r="K44" s="135"/>
      <c r="L44" s="137"/>
      <c r="N44" s="161" t="s">
        <v>1252</v>
      </c>
      <c r="O44" s="162">
        <f>(AVERAGEIFS(I11:I19,D11:D19,P43,F11:F19,N44)+AVERAGEIFS(I23:I76,D23:D76,P43,F23:F76,N44))/2</f>
        <v>1</v>
      </c>
      <c r="P44" s="254"/>
      <c r="Q44" s="227"/>
    </row>
    <row r="45" spans="1:17" ht="15" customHeight="1">
      <c r="A45" s="253"/>
      <c r="B45" s="244"/>
      <c r="C45" s="249"/>
      <c r="D45" s="132" t="s">
        <v>1192</v>
      </c>
      <c r="E45" s="158"/>
      <c r="F45" s="129" t="s">
        <v>1252</v>
      </c>
      <c r="G45" s="127">
        <v>0.22222222222222221</v>
      </c>
      <c r="H45" s="127">
        <v>0.33333333333333298</v>
      </c>
      <c r="I45" s="134">
        <f t="shared" si="1"/>
        <v>0.3333333333333327</v>
      </c>
      <c r="J45" s="134">
        <v>0.9</v>
      </c>
      <c r="K45" s="135" t="s">
        <v>1307</v>
      </c>
      <c r="L45" s="136"/>
      <c r="N45" s="161" t="s">
        <v>1253</v>
      </c>
      <c r="O45" s="162">
        <f>(AVERAGEIFS(I11:I19,D11:D19,P43,F11:F19,N45)+AVERAGEIFS(I23:I76,D23:D76,P43,F23:F76,N45))/2</f>
        <v>0.98958333333333326</v>
      </c>
      <c r="P45" s="254"/>
      <c r="Q45" s="227"/>
    </row>
    <row r="46" spans="1:17" ht="15" customHeight="1">
      <c r="A46" s="253"/>
      <c r="B46" s="244"/>
      <c r="C46" s="250"/>
      <c r="D46" s="132" t="s">
        <v>1192</v>
      </c>
      <c r="E46" s="133"/>
      <c r="F46" s="128" t="s">
        <v>1253</v>
      </c>
      <c r="G46" s="127">
        <v>0.10069444444444445</v>
      </c>
      <c r="H46" s="127">
        <v>0.33333333333333298</v>
      </c>
      <c r="I46" s="134">
        <f t="shared" si="1"/>
        <v>0.6979166666666663</v>
      </c>
      <c r="J46" s="134">
        <v>0.9</v>
      </c>
      <c r="K46" s="133" t="s">
        <v>1307</v>
      </c>
      <c r="L46" s="136"/>
      <c r="N46" s="161" t="s">
        <v>1293</v>
      </c>
      <c r="O46" s="162">
        <f>(O43+O44+O45)/3</f>
        <v>0.99652777777777768</v>
      </c>
      <c r="P46" s="254"/>
      <c r="Q46" s="227"/>
    </row>
    <row r="47" spans="1:17" ht="15" customHeight="1">
      <c r="A47" s="253"/>
      <c r="B47" s="244"/>
      <c r="C47" s="243" t="s">
        <v>1197</v>
      </c>
      <c r="D47" s="78" t="s">
        <v>1194</v>
      </c>
      <c r="E47" s="159"/>
      <c r="F47" s="111" t="s">
        <v>1251</v>
      </c>
      <c r="G47" s="107"/>
      <c r="H47" s="108">
        <v>0.33333333333333298</v>
      </c>
      <c r="I47" s="109">
        <f t="shared" si="1"/>
        <v>1</v>
      </c>
      <c r="J47" s="109">
        <v>0.9</v>
      </c>
      <c r="K47" s="82"/>
      <c r="L47" s="112"/>
    </row>
    <row r="48" spans="1:17" ht="15" customHeight="1">
      <c r="A48" s="253"/>
      <c r="B48" s="244"/>
      <c r="C48" s="244"/>
      <c r="D48" s="78" t="s">
        <v>1194</v>
      </c>
      <c r="E48" s="159"/>
      <c r="F48" s="106" t="s">
        <v>1252</v>
      </c>
      <c r="G48" s="107"/>
      <c r="H48" s="108">
        <v>0.33333333333333298</v>
      </c>
      <c r="I48" s="109">
        <f t="shared" si="1"/>
        <v>1</v>
      </c>
      <c r="J48" s="109">
        <v>0.9</v>
      </c>
      <c r="K48" s="82"/>
      <c r="L48" s="82"/>
      <c r="N48" s="255" t="s">
        <v>1287</v>
      </c>
      <c r="O48" s="255" t="s">
        <v>1288</v>
      </c>
      <c r="P48" s="255" t="s">
        <v>1292</v>
      </c>
      <c r="Q48" s="255" t="s">
        <v>1290</v>
      </c>
    </row>
    <row r="49" spans="1:17" ht="15.6" customHeight="1" thickBot="1">
      <c r="A49" s="253"/>
      <c r="B49" s="245"/>
      <c r="C49" s="245"/>
      <c r="D49" s="78" t="s">
        <v>1194</v>
      </c>
      <c r="E49" s="113"/>
      <c r="F49" s="114" t="s">
        <v>1253</v>
      </c>
      <c r="G49" s="107"/>
      <c r="H49" s="108">
        <v>0.33333333333333298</v>
      </c>
      <c r="I49" s="109">
        <f t="shared" si="1"/>
        <v>1</v>
      </c>
      <c r="J49" s="109">
        <v>0.9</v>
      </c>
      <c r="K49" s="82"/>
      <c r="L49" s="82"/>
      <c r="N49" s="255"/>
      <c r="O49" s="255"/>
      <c r="P49" s="255"/>
      <c r="Q49" s="255"/>
    </row>
    <row r="50" spans="1:17" ht="15" customHeight="1">
      <c r="A50" s="253"/>
      <c r="B50" s="251">
        <v>45996</v>
      </c>
      <c r="C50" s="248" t="s">
        <v>1198</v>
      </c>
      <c r="D50" s="132" t="s">
        <v>1193</v>
      </c>
      <c r="E50" s="158"/>
      <c r="F50" s="125" t="s">
        <v>1251</v>
      </c>
      <c r="G50" s="126"/>
      <c r="H50" s="127">
        <v>0.33333333333333298</v>
      </c>
      <c r="I50" s="134">
        <f t="shared" si="1"/>
        <v>1</v>
      </c>
      <c r="J50" s="134">
        <v>0.9</v>
      </c>
      <c r="K50" s="135"/>
      <c r="L50" s="137"/>
      <c r="N50" s="161" t="s">
        <v>1251</v>
      </c>
      <c r="O50" s="162">
        <f>(AVERAGEIFS(I11:I19,D11:D19,P50,F11:F19,N50)+AVERAGEIFS(I23:I76,D23:D76,P50,F23:F76,N50))/2</f>
        <v>1</v>
      </c>
      <c r="P50" s="254" t="s">
        <v>1193</v>
      </c>
      <c r="Q50" s="224"/>
    </row>
    <row r="51" spans="1:17" ht="15" customHeight="1">
      <c r="A51" s="253"/>
      <c r="B51" s="244"/>
      <c r="C51" s="249"/>
      <c r="D51" s="132" t="s">
        <v>1193</v>
      </c>
      <c r="E51" s="158"/>
      <c r="F51" s="129" t="s">
        <v>1252</v>
      </c>
      <c r="G51" s="126"/>
      <c r="H51" s="127">
        <v>0.33333333333333298</v>
      </c>
      <c r="I51" s="134">
        <f t="shared" si="1"/>
        <v>1</v>
      </c>
      <c r="J51" s="134">
        <v>0.9</v>
      </c>
      <c r="K51" s="135"/>
      <c r="L51" s="136"/>
      <c r="N51" s="161" t="s">
        <v>1252</v>
      </c>
      <c r="O51" s="162">
        <f>(AVERAGEIFS(I11:I19,D11:D19,P50,F11:F19,N51)+AVERAGEIFS(I23:I76,D23:D76,P50,F23:F76,N51))/2</f>
        <v>1</v>
      </c>
      <c r="P51" s="254"/>
      <c r="Q51" s="227"/>
    </row>
    <row r="52" spans="1:17" ht="15" customHeight="1">
      <c r="A52" s="253"/>
      <c r="B52" s="244"/>
      <c r="C52" s="250"/>
      <c r="D52" s="132" t="s">
        <v>1193</v>
      </c>
      <c r="E52" s="133"/>
      <c r="F52" s="128" t="s">
        <v>1253</v>
      </c>
      <c r="G52" s="126"/>
      <c r="H52" s="127">
        <v>0.33333333333333298</v>
      </c>
      <c r="I52" s="134">
        <f t="shared" si="1"/>
        <v>1</v>
      </c>
      <c r="J52" s="134">
        <v>0.9</v>
      </c>
      <c r="K52" s="135"/>
      <c r="L52" s="136"/>
      <c r="N52" s="161" t="s">
        <v>1253</v>
      </c>
      <c r="O52" s="162">
        <f>(AVERAGEIFS(I11:I19,D11:D19,P50,F11:F19,N52)+AVERAGEIFS(I23:I76,D23:D76,P50,F23:F76,N52))/2</f>
        <v>1</v>
      </c>
      <c r="P52" s="254"/>
      <c r="Q52" s="227"/>
    </row>
    <row r="53" spans="1:17" ht="15" customHeight="1">
      <c r="A53" s="253"/>
      <c r="B53" s="244"/>
      <c r="C53" s="243" t="s">
        <v>1196</v>
      </c>
      <c r="D53" s="78" t="s">
        <v>1191</v>
      </c>
      <c r="E53" s="159"/>
      <c r="F53" s="111" t="s">
        <v>1251</v>
      </c>
      <c r="G53" s="107"/>
      <c r="H53" s="108">
        <v>0.33333333333333298</v>
      </c>
      <c r="I53" s="109">
        <f t="shared" si="1"/>
        <v>1</v>
      </c>
      <c r="J53" s="109">
        <v>0.9</v>
      </c>
      <c r="K53" s="82"/>
      <c r="L53" s="112"/>
      <c r="N53" s="161" t="s">
        <v>1293</v>
      </c>
      <c r="O53" s="162">
        <f>(O50+O51+O52)/3</f>
        <v>1</v>
      </c>
      <c r="P53" s="254"/>
      <c r="Q53" s="227"/>
    </row>
    <row r="54" spans="1:17" ht="15" customHeight="1">
      <c r="A54" s="253"/>
      <c r="B54" s="244"/>
      <c r="C54" s="244"/>
      <c r="D54" s="78" t="s">
        <v>1191</v>
      </c>
      <c r="E54" s="159"/>
      <c r="F54" s="106" t="s">
        <v>1252</v>
      </c>
      <c r="G54" s="107"/>
      <c r="H54" s="108">
        <v>0.33333333333333298</v>
      </c>
      <c r="I54" s="109">
        <f t="shared" si="1"/>
        <v>1</v>
      </c>
      <c r="J54" s="109">
        <v>0.9</v>
      </c>
      <c r="K54" s="82"/>
      <c r="L54" s="82"/>
    </row>
    <row r="55" spans="1:17" ht="15" customHeight="1">
      <c r="A55" s="253"/>
      <c r="B55" s="244"/>
      <c r="C55" s="245"/>
      <c r="D55" s="78" t="s">
        <v>1191</v>
      </c>
      <c r="E55" s="113"/>
      <c r="F55" s="114" t="s">
        <v>1253</v>
      </c>
      <c r="G55" s="107"/>
      <c r="H55" s="108">
        <v>0.33333333333333298</v>
      </c>
      <c r="I55" s="109">
        <f t="shared" si="1"/>
        <v>1</v>
      </c>
      <c r="J55" s="109">
        <v>0.9</v>
      </c>
      <c r="K55" s="82"/>
      <c r="L55" s="82"/>
      <c r="N55" s="255" t="s">
        <v>1287</v>
      </c>
      <c r="O55" s="255" t="s">
        <v>1288</v>
      </c>
      <c r="P55" s="255" t="s">
        <v>1292</v>
      </c>
      <c r="Q55" s="255" t="s">
        <v>1290</v>
      </c>
    </row>
    <row r="56" spans="1:17" ht="15" customHeight="1">
      <c r="A56" s="253"/>
      <c r="B56" s="244"/>
      <c r="C56" s="248" t="s">
        <v>1197</v>
      </c>
      <c r="D56" s="132" t="s">
        <v>1193</v>
      </c>
      <c r="E56" s="158"/>
      <c r="F56" s="125" t="s">
        <v>1251</v>
      </c>
      <c r="G56" s="126"/>
      <c r="H56" s="127">
        <v>0.33333333333333298</v>
      </c>
      <c r="I56" s="134">
        <f t="shared" si="1"/>
        <v>1</v>
      </c>
      <c r="J56" s="134">
        <v>0.9</v>
      </c>
      <c r="K56" s="135"/>
      <c r="L56" s="137"/>
      <c r="N56" s="255"/>
      <c r="O56" s="255"/>
      <c r="P56" s="255"/>
      <c r="Q56" s="255"/>
    </row>
    <row r="57" spans="1:17" ht="15" customHeight="1">
      <c r="A57" s="253"/>
      <c r="B57" s="244"/>
      <c r="C57" s="249"/>
      <c r="D57" s="132" t="s">
        <v>1193</v>
      </c>
      <c r="E57" s="158"/>
      <c r="F57" s="129" t="s">
        <v>1252</v>
      </c>
      <c r="G57" s="126"/>
      <c r="H57" s="127">
        <v>0.33333333333333298</v>
      </c>
      <c r="I57" s="134">
        <f t="shared" si="1"/>
        <v>1</v>
      </c>
      <c r="J57" s="134">
        <v>0.9</v>
      </c>
      <c r="K57" s="135"/>
      <c r="L57" s="136"/>
      <c r="N57" s="161" t="s">
        <v>1251</v>
      </c>
      <c r="O57" s="162">
        <f>AVERAGEIFS(I23:I76,D23:D76,P57,F23:F76,N57)</f>
        <v>1</v>
      </c>
      <c r="P57" s="254" t="s">
        <v>1192</v>
      </c>
      <c r="Q57" s="224"/>
    </row>
    <row r="58" spans="1:17" ht="15.6" customHeight="1" thickBot="1">
      <c r="A58" s="253"/>
      <c r="B58" s="245"/>
      <c r="C58" s="250"/>
      <c r="D58" s="132" t="s">
        <v>1193</v>
      </c>
      <c r="E58" s="133"/>
      <c r="F58" s="128" t="s">
        <v>1253</v>
      </c>
      <c r="G58" s="126"/>
      <c r="H58" s="127">
        <v>0.33333333333333298</v>
      </c>
      <c r="I58" s="134">
        <f t="shared" si="1"/>
        <v>1</v>
      </c>
      <c r="J58" s="134">
        <v>0.9</v>
      </c>
      <c r="K58" s="135"/>
      <c r="L58" s="136"/>
      <c r="N58" s="161" t="s">
        <v>1252</v>
      </c>
      <c r="O58" s="162">
        <f>AVERAGEIFS(I23:I76,D23:D76,P57,F23:F76,N58)</f>
        <v>0.83333333333333315</v>
      </c>
      <c r="P58" s="254"/>
      <c r="Q58" s="227"/>
    </row>
    <row r="59" spans="1:17" ht="15" customHeight="1">
      <c r="A59" s="253"/>
      <c r="B59" s="251">
        <v>45997</v>
      </c>
      <c r="C59" s="243" t="s">
        <v>1198</v>
      </c>
      <c r="D59" s="78" t="s">
        <v>1192</v>
      </c>
      <c r="E59" s="159"/>
      <c r="F59" s="111" t="s">
        <v>1251</v>
      </c>
      <c r="G59" s="107"/>
      <c r="H59" s="108">
        <v>0.33333333333333298</v>
      </c>
      <c r="I59" s="109">
        <f t="shared" si="1"/>
        <v>1</v>
      </c>
      <c r="J59" s="109">
        <v>0.9</v>
      </c>
      <c r="K59" s="82"/>
      <c r="L59" s="112"/>
      <c r="N59" s="161" t="s">
        <v>1253</v>
      </c>
      <c r="O59" s="162">
        <f>AVERAGEIFS(I23:I76,D23:D76,P57,F23:F76,N59)</f>
        <v>0.82031249999999978</v>
      </c>
      <c r="P59" s="254"/>
      <c r="Q59" s="227"/>
    </row>
    <row r="60" spans="1:17" ht="15" customHeight="1">
      <c r="A60" s="253"/>
      <c r="B60" s="244"/>
      <c r="C60" s="244"/>
      <c r="D60" s="78" t="s">
        <v>1192</v>
      </c>
      <c r="E60" s="159"/>
      <c r="F60" s="106" t="s">
        <v>1252</v>
      </c>
      <c r="G60" s="107"/>
      <c r="H60" s="108">
        <v>0.33333333333333298</v>
      </c>
      <c r="I60" s="109">
        <f t="shared" si="1"/>
        <v>1</v>
      </c>
      <c r="J60" s="109">
        <v>0.9</v>
      </c>
      <c r="K60" s="82"/>
      <c r="L60" s="82"/>
      <c r="N60" s="161" t="s">
        <v>1293</v>
      </c>
      <c r="O60" s="162">
        <f>(O57+O58+O59)/3</f>
        <v>0.88454861111111105</v>
      </c>
      <c r="P60" s="254"/>
      <c r="Q60" s="227"/>
    </row>
    <row r="61" spans="1:17" ht="15" customHeight="1">
      <c r="A61" s="253"/>
      <c r="B61" s="244"/>
      <c r="C61" s="245"/>
      <c r="D61" s="78" t="s">
        <v>1192</v>
      </c>
      <c r="E61" s="113"/>
      <c r="F61" s="114" t="s">
        <v>1253</v>
      </c>
      <c r="G61" s="108">
        <v>0.1388888888888889</v>
      </c>
      <c r="H61" s="108">
        <v>0.33333333333333298</v>
      </c>
      <c r="I61" s="109">
        <f t="shared" si="1"/>
        <v>0.58333333333333282</v>
      </c>
      <c r="J61" s="109">
        <v>0.9</v>
      </c>
      <c r="K61" s="82" t="s">
        <v>1326</v>
      </c>
      <c r="L61" s="82"/>
    </row>
    <row r="62" spans="1:17" ht="15" customHeight="1">
      <c r="A62" s="253"/>
      <c r="B62" s="244"/>
      <c r="C62" s="248" t="s">
        <v>1196</v>
      </c>
      <c r="D62" s="132" t="s">
        <v>1191</v>
      </c>
      <c r="E62" s="158"/>
      <c r="F62" s="125" t="s">
        <v>1251</v>
      </c>
      <c r="G62" s="127">
        <v>5.2083333333333336E-2</v>
      </c>
      <c r="H62" s="127">
        <v>0.33333333333333298</v>
      </c>
      <c r="I62" s="134">
        <f t="shared" si="1"/>
        <v>0.84374999999999978</v>
      </c>
      <c r="J62" s="134">
        <v>0.9</v>
      </c>
      <c r="K62" s="135" t="s">
        <v>1307</v>
      </c>
      <c r="L62" s="137"/>
    </row>
    <row r="63" spans="1:17" ht="15" customHeight="1">
      <c r="A63" s="253"/>
      <c r="B63" s="244"/>
      <c r="C63" s="249"/>
      <c r="D63" s="132" t="s">
        <v>1191</v>
      </c>
      <c r="E63" s="158"/>
      <c r="F63" s="129" t="s">
        <v>1252</v>
      </c>
      <c r="G63" s="127">
        <v>4.1666666666666664E-2</v>
      </c>
      <c r="H63" s="127">
        <v>0.33333333333333298</v>
      </c>
      <c r="I63" s="134">
        <f t="shared" si="1"/>
        <v>0.87499999999999989</v>
      </c>
      <c r="J63" s="134">
        <v>0.9</v>
      </c>
      <c r="K63" s="135" t="s">
        <v>1307</v>
      </c>
      <c r="L63" s="136"/>
    </row>
    <row r="64" spans="1:17" ht="15" customHeight="1">
      <c r="A64" s="253"/>
      <c r="B64" s="244"/>
      <c r="C64" s="250"/>
      <c r="D64" s="132" t="s">
        <v>1191</v>
      </c>
      <c r="E64" s="133"/>
      <c r="F64" s="128" t="s">
        <v>1253</v>
      </c>
      <c r="G64" s="127"/>
      <c r="H64" s="127">
        <v>0.33333333333333298</v>
      </c>
      <c r="I64" s="134">
        <f t="shared" si="1"/>
        <v>1</v>
      </c>
      <c r="J64" s="134">
        <v>0.9</v>
      </c>
      <c r="K64" s="133"/>
      <c r="L64" s="136"/>
    </row>
    <row r="65" spans="1:12" ht="15" customHeight="1">
      <c r="A65" s="253"/>
      <c r="B65" s="244"/>
      <c r="C65" s="243" t="s">
        <v>1197</v>
      </c>
      <c r="D65" s="78" t="s">
        <v>1192</v>
      </c>
      <c r="E65" s="159"/>
      <c r="F65" s="111" t="s">
        <v>1251</v>
      </c>
      <c r="G65" s="108"/>
      <c r="H65" s="108">
        <v>0.33333333333333298</v>
      </c>
      <c r="I65" s="109">
        <f t="shared" si="1"/>
        <v>1</v>
      </c>
      <c r="J65" s="109">
        <v>0.9</v>
      </c>
      <c r="K65" s="82"/>
      <c r="L65" s="82"/>
    </row>
    <row r="66" spans="1:12" ht="15" customHeight="1">
      <c r="A66" s="253"/>
      <c r="B66" s="244"/>
      <c r="C66" s="244"/>
      <c r="D66" s="78" t="s">
        <v>1192</v>
      </c>
      <c r="E66" s="159"/>
      <c r="F66" s="106" t="s">
        <v>1252</v>
      </c>
      <c r="G66" s="108"/>
      <c r="H66" s="108">
        <v>0.33333333333333298</v>
      </c>
      <c r="I66" s="109">
        <f t="shared" si="1"/>
        <v>1</v>
      </c>
      <c r="J66" s="109">
        <v>0.9</v>
      </c>
      <c r="K66" s="82"/>
      <c r="L66" s="82"/>
    </row>
    <row r="67" spans="1:12" ht="15.6" customHeight="1" thickBot="1">
      <c r="A67" s="253"/>
      <c r="B67" s="245"/>
      <c r="C67" s="245"/>
      <c r="D67" s="78" t="s">
        <v>1192</v>
      </c>
      <c r="E67" s="113"/>
      <c r="F67" s="114" t="s">
        <v>1253</v>
      </c>
      <c r="G67" s="108"/>
      <c r="H67" s="123">
        <v>0.33333333333333298</v>
      </c>
      <c r="I67" s="109">
        <f t="shared" si="1"/>
        <v>1</v>
      </c>
      <c r="J67" s="109">
        <v>0.9</v>
      </c>
      <c r="K67" s="82"/>
      <c r="L67" s="82"/>
    </row>
    <row r="68" spans="1:12" ht="15.6" customHeight="1">
      <c r="A68" s="253"/>
      <c r="B68" s="251">
        <v>45998</v>
      </c>
      <c r="C68" s="243" t="s">
        <v>1198</v>
      </c>
      <c r="D68" s="78" t="s">
        <v>1194</v>
      </c>
      <c r="E68" s="159"/>
      <c r="F68" s="111" t="s">
        <v>1251</v>
      </c>
      <c r="G68" s="108"/>
      <c r="H68" s="108">
        <v>0.33333333333333298</v>
      </c>
      <c r="I68" s="109">
        <f t="shared" si="1"/>
        <v>1</v>
      </c>
      <c r="J68" s="109">
        <v>0.9</v>
      </c>
      <c r="K68" s="82"/>
      <c r="L68" s="112"/>
    </row>
    <row r="69" spans="1:12" ht="15.6" customHeight="1">
      <c r="A69" s="253"/>
      <c r="B69" s="244"/>
      <c r="C69" s="244"/>
      <c r="D69" s="78" t="s">
        <v>1194</v>
      </c>
      <c r="E69" s="159"/>
      <c r="F69" s="106" t="s">
        <v>1252</v>
      </c>
      <c r="G69" s="108"/>
      <c r="H69" s="108">
        <v>0.33333333333333298</v>
      </c>
      <c r="I69" s="109">
        <f t="shared" si="1"/>
        <v>1</v>
      </c>
      <c r="J69" s="109">
        <v>0.9</v>
      </c>
      <c r="K69" s="82"/>
      <c r="L69" s="82"/>
    </row>
    <row r="70" spans="1:12" ht="15.6" customHeight="1">
      <c r="A70" s="253"/>
      <c r="B70" s="244"/>
      <c r="C70" s="245"/>
      <c r="D70" s="78" t="s">
        <v>1194</v>
      </c>
      <c r="E70" s="113"/>
      <c r="F70" s="114" t="s">
        <v>1253</v>
      </c>
      <c r="G70" s="108"/>
      <c r="H70" s="123">
        <v>0.33333333333333298</v>
      </c>
      <c r="I70" s="109">
        <f t="shared" si="1"/>
        <v>1</v>
      </c>
      <c r="J70" s="109">
        <v>0.9</v>
      </c>
      <c r="K70" s="82"/>
      <c r="L70" s="82"/>
    </row>
    <row r="71" spans="1:12" ht="15.6" customHeight="1">
      <c r="A71" s="253"/>
      <c r="B71" s="244"/>
      <c r="C71" s="248" t="s">
        <v>1196</v>
      </c>
      <c r="D71" s="132" t="s">
        <v>1193</v>
      </c>
      <c r="E71" s="158"/>
      <c r="F71" s="125" t="s">
        <v>1251</v>
      </c>
      <c r="G71" s="126"/>
      <c r="H71" s="108">
        <v>0.33333333333333298</v>
      </c>
      <c r="I71" s="109">
        <f t="shared" si="1"/>
        <v>1</v>
      </c>
      <c r="J71" s="134">
        <v>0.9</v>
      </c>
      <c r="K71" s="135"/>
      <c r="L71" s="137"/>
    </row>
    <row r="72" spans="1:12" ht="15.6" customHeight="1">
      <c r="A72" s="253"/>
      <c r="B72" s="244"/>
      <c r="C72" s="249"/>
      <c r="D72" s="132" t="s">
        <v>1193</v>
      </c>
      <c r="E72" s="158"/>
      <c r="F72" s="129" t="s">
        <v>1252</v>
      </c>
      <c r="G72" s="126"/>
      <c r="H72" s="108">
        <v>0.33333333333333298</v>
      </c>
      <c r="I72" s="109">
        <f t="shared" si="1"/>
        <v>1</v>
      </c>
      <c r="J72" s="134">
        <v>0.9</v>
      </c>
      <c r="K72" s="135"/>
      <c r="L72" s="136"/>
    </row>
    <row r="73" spans="1:12" ht="15.6" customHeight="1">
      <c r="A73" s="253"/>
      <c r="B73" s="244"/>
      <c r="C73" s="250"/>
      <c r="D73" s="132" t="s">
        <v>1193</v>
      </c>
      <c r="E73" s="133"/>
      <c r="F73" s="128" t="s">
        <v>1253</v>
      </c>
      <c r="G73" s="126"/>
      <c r="H73" s="123">
        <v>0.33333333333333298</v>
      </c>
      <c r="I73" s="109">
        <f t="shared" si="1"/>
        <v>1</v>
      </c>
      <c r="J73" s="134">
        <v>0.9</v>
      </c>
      <c r="K73" s="135"/>
      <c r="L73" s="136"/>
    </row>
    <row r="74" spans="1:12" ht="15.6" customHeight="1">
      <c r="A74" s="253"/>
      <c r="B74" s="244"/>
      <c r="C74" s="243" t="s">
        <v>1197</v>
      </c>
      <c r="D74" s="78" t="s">
        <v>1191</v>
      </c>
      <c r="E74" s="159"/>
      <c r="F74" s="111" t="s">
        <v>1251</v>
      </c>
      <c r="G74" s="107"/>
      <c r="H74" s="108">
        <v>0.33333333333333298</v>
      </c>
      <c r="I74" s="109">
        <f t="shared" si="1"/>
        <v>1</v>
      </c>
      <c r="J74" s="109">
        <v>0.9</v>
      </c>
      <c r="K74" s="82"/>
      <c r="L74" s="82"/>
    </row>
    <row r="75" spans="1:12" ht="15.6" customHeight="1">
      <c r="A75" s="253"/>
      <c r="B75" s="244"/>
      <c r="C75" s="244"/>
      <c r="D75" s="78" t="s">
        <v>1191</v>
      </c>
      <c r="E75" s="159"/>
      <c r="F75" s="106" t="s">
        <v>1252</v>
      </c>
      <c r="G75" s="107"/>
      <c r="H75" s="108">
        <v>0.33333333333333298</v>
      </c>
      <c r="I75" s="109">
        <f t="shared" si="1"/>
        <v>1</v>
      </c>
      <c r="J75" s="109">
        <v>0.9</v>
      </c>
      <c r="K75" s="82"/>
      <c r="L75" s="82"/>
    </row>
    <row r="76" spans="1:12" ht="15.6" customHeight="1">
      <c r="A76" s="253"/>
      <c r="B76" s="245"/>
      <c r="C76" s="245"/>
      <c r="D76" s="78" t="s">
        <v>1191</v>
      </c>
      <c r="E76" s="113"/>
      <c r="F76" s="114" t="s">
        <v>1253</v>
      </c>
      <c r="G76" s="107"/>
      <c r="H76" s="123">
        <v>0.33333333333333331</v>
      </c>
      <c r="I76" s="109">
        <f t="shared" si="1"/>
        <v>1</v>
      </c>
      <c r="J76" s="109">
        <v>0.9</v>
      </c>
      <c r="K76" s="82"/>
      <c r="L76" s="82"/>
    </row>
    <row r="77" spans="1:12" ht="15.6" customHeight="1">
      <c r="A77" s="253"/>
      <c r="B77" s="117"/>
      <c r="C77" s="117"/>
      <c r="D77" s="118"/>
      <c r="E77" s="118"/>
      <c r="F77" s="119" t="s">
        <v>1251</v>
      </c>
      <c r="G77" s="124"/>
      <c r="H77" s="124"/>
      <c r="I77" s="120">
        <f>AVERAGEIF(F23:F76,F77,I23:I76)</f>
        <v>0.9908088235294118</v>
      </c>
      <c r="J77" s="121">
        <v>0.9</v>
      </c>
      <c r="K77" s="118"/>
      <c r="L77" s="116"/>
    </row>
    <row r="78" spans="1:12" ht="15.6" customHeight="1">
      <c r="A78" s="253"/>
      <c r="B78" s="117"/>
      <c r="C78" s="117"/>
      <c r="D78" s="118"/>
      <c r="E78" s="118"/>
      <c r="F78" s="119" t="s">
        <v>1252</v>
      </c>
      <c r="G78" s="124"/>
      <c r="H78" s="124"/>
      <c r="I78" s="120">
        <f>AVERAGEIF(F23:F76,F78,I23:I76)</f>
        <v>0.95601851851851849</v>
      </c>
      <c r="J78" s="121">
        <v>0.9</v>
      </c>
      <c r="K78" s="118"/>
      <c r="L78" s="116"/>
    </row>
    <row r="79" spans="1:12" ht="15.6" customHeight="1" thickBot="1">
      <c r="A79" s="268"/>
      <c r="B79" s="117"/>
      <c r="C79" s="117"/>
      <c r="D79" s="118"/>
      <c r="E79" s="118"/>
      <c r="F79" s="119" t="s">
        <v>1253</v>
      </c>
      <c r="G79" s="124"/>
      <c r="H79" s="124"/>
      <c r="I79" s="120">
        <f>AVERAGEIF(F23:F76,F79,I23:I76)</f>
        <v>0.95196759259259245</v>
      </c>
      <c r="J79" s="121">
        <v>0.9</v>
      </c>
      <c r="K79" s="118"/>
      <c r="L79" s="116"/>
    </row>
    <row r="80" spans="1:12" ht="14.4" customHeight="1">
      <c r="A80" s="252"/>
      <c r="B80" s="251">
        <v>45999</v>
      </c>
      <c r="C80" s="243" t="s">
        <v>1198</v>
      </c>
      <c r="D80" s="110" t="s">
        <v>1201</v>
      </c>
      <c r="E80" s="156"/>
      <c r="F80" s="111" t="s">
        <v>1251</v>
      </c>
      <c r="G80" s="107"/>
      <c r="H80" s="108">
        <v>0.33333333333333331</v>
      </c>
      <c r="I80" s="109">
        <f>1-(G80/H80)</f>
        <v>1</v>
      </c>
      <c r="J80" s="109">
        <v>0.9</v>
      </c>
      <c r="K80" s="82"/>
      <c r="L80" s="82"/>
    </row>
    <row r="81" spans="1:12" ht="14.4" customHeight="1">
      <c r="A81" s="253"/>
      <c r="B81" s="244"/>
      <c r="C81" s="244"/>
      <c r="D81" s="110" t="s">
        <v>1201</v>
      </c>
      <c r="E81" s="156"/>
      <c r="F81" s="111" t="s">
        <v>1252</v>
      </c>
      <c r="G81" s="107"/>
      <c r="H81" s="108">
        <v>0.33333333333333331</v>
      </c>
      <c r="I81" s="109">
        <f>1-(G81/H81)</f>
        <v>1</v>
      </c>
      <c r="J81" s="109">
        <v>0.9</v>
      </c>
      <c r="K81" s="82"/>
      <c r="L81" s="82"/>
    </row>
    <row r="82" spans="1:12" ht="14.4" customHeight="1">
      <c r="A82" s="253"/>
      <c r="B82" s="244"/>
      <c r="C82" s="245"/>
      <c r="D82" s="110" t="s">
        <v>1201</v>
      </c>
      <c r="E82" s="157"/>
      <c r="F82" s="114" t="s">
        <v>1253</v>
      </c>
      <c r="G82" s="107"/>
      <c r="H82" s="108">
        <v>0.33333333333333298</v>
      </c>
      <c r="I82" s="109">
        <f t="shared" ref="I82:I124" si="2">1-(G82/H82)</f>
        <v>1</v>
      </c>
      <c r="J82" s="109">
        <v>0.9</v>
      </c>
      <c r="K82" s="82"/>
      <c r="L82" s="82"/>
    </row>
    <row r="83" spans="1:12" ht="14.4" customHeight="1">
      <c r="A83" s="253"/>
      <c r="B83" s="244"/>
      <c r="C83" s="248" t="s">
        <v>1196</v>
      </c>
      <c r="D83" s="132" t="s">
        <v>1193</v>
      </c>
      <c r="E83" s="158"/>
      <c r="F83" s="125" t="s">
        <v>1251</v>
      </c>
      <c r="G83" s="126"/>
      <c r="H83" s="127">
        <v>0.33333333333333298</v>
      </c>
      <c r="I83" s="109">
        <f t="shared" si="2"/>
        <v>1</v>
      </c>
      <c r="J83" s="134">
        <v>0.9</v>
      </c>
      <c r="K83" s="135"/>
      <c r="L83" s="136"/>
    </row>
    <row r="84" spans="1:12" ht="14.4" customHeight="1">
      <c r="A84" s="253"/>
      <c r="B84" s="244"/>
      <c r="C84" s="249"/>
      <c r="D84" s="132" t="s">
        <v>1193</v>
      </c>
      <c r="E84" s="158"/>
      <c r="F84" s="125" t="s">
        <v>1252</v>
      </c>
      <c r="G84" s="126"/>
      <c r="H84" s="127">
        <v>0.33333333333333298</v>
      </c>
      <c r="I84" s="109">
        <f t="shared" si="2"/>
        <v>1</v>
      </c>
      <c r="J84" s="134">
        <v>0.9</v>
      </c>
      <c r="K84" s="135"/>
      <c r="L84" s="136"/>
    </row>
    <row r="85" spans="1:12" ht="14.4" customHeight="1">
      <c r="A85" s="253"/>
      <c r="B85" s="244"/>
      <c r="C85" s="250"/>
      <c r="D85" s="132" t="s">
        <v>1193</v>
      </c>
      <c r="E85" s="133"/>
      <c r="F85" s="128" t="s">
        <v>1253</v>
      </c>
      <c r="G85" s="126"/>
      <c r="H85" s="127">
        <v>0.33333333333333298</v>
      </c>
      <c r="I85" s="109">
        <f t="shared" si="2"/>
        <v>1</v>
      </c>
      <c r="J85" s="134">
        <v>0.9</v>
      </c>
      <c r="K85" s="135"/>
      <c r="L85" s="136"/>
    </row>
    <row r="86" spans="1:12" ht="14.4" customHeight="1">
      <c r="A86" s="253"/>
      <c r="B86" s="244"/>
      <c r="C86" s="243" t="s">
        <v>1197</v>
      </c>
      <c r="D86" s="78"/>
      <c r="E86" s="159"/>
      <c r="F86" s="111" t="s">
        <v>1251</v>
      </c>
      <c r="G86" s="107"/>
      <c r="H86" s="108">
        <v>0.33333333333333298</v>
      </c>
      <c r="I86" s="109">
        <f t="shared" si="2"/>
        <v>1</v>
      </c>
      <c r="J86" s="109">
        <v>0.9</v>
      </c>
      <c r="K86" s="168" t="s">
        <v>1587</v>
      </c>
      <c r="L86" s="82"/>
    </row>
    <row r="87" spans="1:12" ht="14.4" customHeight="1">
      <c r="A87" s="253"/>
      <c r="B87" s="244"/>
      <c r="C87" s="244"/>
      <c r="D87" s="78"/>
      <c r="E87" s="159"/>
      <c r="F87" s="111" t="s">
        <v>1252</v>
      </c>
      <c r="G87" s="107"/>
      <c r="H87" s="108">
        <v>0.33333333333333298</v>
      </c>
      <c r="I87" s="109">
        <f t="shared" si="2"/>
        <v>1</v>
      </c>
      <c r="J87" s="109">
        <v>0.9</v>
      </c>
      <c r="K87" s="168" t="s">
        <v>1587</v>
      </c>
      <c r="L87" s="82"/>
    </row>
    <row r="88" spans="1:12" ht="15" customHeight="1" thickBot="1">
      <c r="A88" s="253"/>
      <c r="B88" s="245"/>
      <c r="C88" s="245"/>
      <c r="D88" s="78"/>
      <c r="E88" s="113"/>
      <c r="F88" s="114" t="s">
        <v>1253</v>
      </c>
      <c r="G88" s="108"/>
      <c r="H88" s="108">
        <v>0.33333333333333298</v>
      </c>
      <c r="I88" s="109">
        <f t="shared" si="2"/>
        <v>1</v>
      </c>
      <c r="J88" s="109">
        <v>0.9</v>
      </c>
      <c r="K88" s="168" t="s">
        <v>1587</v>
      </c>
      <c r="L88" s="82"/>
    </row>
    <row r="89" spans="1:12" ht="14.4" customHeight="1">
      <c r="A89" s="253"/>
      <c r="B89" s="251">
        <v>46000</v>
      </c>
      <c r="C89" s="248" t="s">
        <v>1198</v>
      </c>
      <c r="D89" s="132"/>
      <c r="E89" s="158"/>
      <c r="F89" s="125" t="s">
        <v>1251</v>
      </c>
      <c r="G89" s="126"/>
      <c r="H89" s="127">
        <v>0.33333333333333298</v>
      </c>
      <c r="I89" s="109">
        <f t="shared" si="2"/>
        <v>1</v>
      </c>
      <c r="J89" s="134">
        <v>0.9</v>
      </c>
      <c r="K89" s="168" t="s">
        <v>1587</v>
      </c>
      <c r="L89" s="137"/>
    </row>
    <row r="90" spans="1:12" ht="14.4" customHeight="1">
      <c r="A90" s="253"/>
      <c r="B90" s="244"/>
      <c r="C90" s="249"/>
      <c r="D90" s="132"/>
      <c r="E90" s="158"/>
      <c r="F90" s="125" t="s">
        <v>1252</v>
      </c>
      <c r="G90" s="126"/>
      <c r="H90" s="127">
        <v>0.33333333333333298</v>
      </c>
      <c r="I90" s="109">
        <f t="shared" si="2"/>
        <v>1</v>
      </c>
      <c r="J90" s="134">
        <v>0.9</v>
      </c>
      <c r="K90" s="168" t="s">
        <v>1587</v>
      </c>
      <c r="L90" s="136"/>
    </row>
    <row r="91" spans="1:12" ht="14.4" customHeight="1">
      <c r="A91" s="253"/>
      <c r="B91" s="244"/>
      <c r="C91" s="250"/>
      <c r="D91" s="132"/>
      <c r="E91" s="133"/>
      <c r="F91" s="128" t="s">
        <v>1253</v>
      </c>
      <c r="G91" s="127"/>
      <c r="H91" s="127">
        <v>0.33333333333333298</v>
      </c>
      <c r="I91" s="109">
        <f t="shared" si="2"/>
        <v>1</v>
      </c>
      <c r="J91" s="134">
        <v>0.9</v>
      </c>
      <c r="K91" s="168" t="s">
        <v>1587</v>
      </c>
      <c r="L91" s="136"/>
    </row>
    <row r="92" spans="1:12" ht="14.4" customHeight="1">
      <c r="A92" s="253"/>
      <c r="B92" s="244"/>
      <c r="C92" s="243" t="s">
        <v>1196</v>
      </c>
      <c r="D92" s="78"/>
      <c r="E92" s="159"/>
      <c r="F92" s="111" t="s">
        <v>1251</v>
      </c>
      <c r="G92" s="107"/>
      <c r="H92" s="108">
        <v>0.33333333333333298</v>
      </c>
      <c r="I92" s="109">
        <f t="shared" si="2"/>
        <v>1</v>
      </c>
      <c r="J92" s="109">
        <v>0.9</v>
      </c>
      <c r="K92" s="112"/>
      <c r="L92" s="112"/>
    </row>
    <row r="93" spans="1:12" ht="14.4" customHeight="1">
      <c r="A93" s="253"/>
      <c r="B93" s="244"/>
      <c r="C93" s="244"/>
      <c r="D93" s="78"/>
      <c r="E93" s="159"/>
      <c r="F93" s="111" t="s">
        <v>1252</v>
      </c>
      <c r="G93" s="107"/>
      <c r="H93" s="108">
        <v>0.33333333333333298</v>
      </c>
      <c r="I93" s="109">
        <f t="shared" si="2"/>
        <v>1</v>
      </c>
      <c r="J93" s="109">
        <v>0.9</v>
      </c>
      <c r="K93" s="82"/>
      <c r="L93" s="82"/>
    </row>
    <row r="94" spans="1:12" ht="14.4" customHeight="1">
      <c r="A94" s="253"/>
      <c r="B94" s="244"/>
      <c r="C94" s="245"/>
      <c r="D94" s="78"/>
      <c r="E94" s="113"/>
      <c r="F94" s="114" t="s">
        <v>1253</v>
      </c>
      <c r="G94" s="107"/>
      <c r="H94" s="108">
        <v>0.33333333333333331</v>
      </c>
      <c r="I94" s="109">
        <f t="shared" si="2"/>
        <v>1</v>
      </c>
      <c r="J94" s="109">
        <v>0.9</v>
      </c>
      <c r="K94" s="82"/>
      <c r="L94" s="82"/>
    </row>
    <row r="95" spans="1:12" ht="14.4" customHeight="1">
      <c r="A95" s="253"/>
      <c r="B95" s="244"/>
      <c r="C95" s="248" t="s">
        <v>1197</v>
      </c>
      <c r="D95" s="132"/>
      <c r="E95" s="158"/>
      <c r="F95" s="125" t="s">
        <v>1251</v>
      </c>
      <c r="G95" s="126"/>
      <c r="H95" s="127">
        <v>0.33333333333333298</v>
      </c>
      <c r="I95" s="109">
        <f t="shared" si="2"/>
        <v>1</v>
      </c>
      <c r="J95" s="134">
        <v>0.9</v>
      </c>
      <c r="K95" s="146"/>
      <c r="L95" s="136"/>
    </row>
    <row r="96" spans="1:12" ht="14.4" customHeight="1">
      <c r="A96" s="253"/>
      <c r="B96" s="244"/>
      <c r="C96" s="249"/>
      <c r="D96" s="132"/>
      <c r="E96" s="158"/>
      <c r="F96" s="129" t="s">
        <v>1252</v>
      </c>
      <c r="G96" s="126"/>
      <c r="H96" s="127">
        <v>0.33333333333333298</v>
      </c>
      <c r="I96" s="109">
        <f t="shared" si="2"/>
        <v>1</v>
      </c>
      <c r="J96" s="134">
        <v>0.9</v>
      </c>
      <c r="K96" s="136"/>
      <c r="L96" s="136"/>
    </row>
    <row r="97" spans="1:12" ht="15" customHeight="1" thickBot="1">
      <c r="A97" s="253"/>
      <c r="B97" s="245"/>
      <c r="C97" s="250"/>
      <c r="D97" s="132"/>
      <c r="E97" s="133"/>
      <c r="F97" s="128" t="s">
        <v>1253</v>
      </c>
      <c r="G97" s="126"/>
      <c r="H97" s="131">
        <v>0.33333333333333298</v>
      </c>
      <c r="I97" s="115">
        <f t="shared" si="2"/>
        <v>1</v>
      </c>
      <c r="J97" s="134">
        <v>0.9</v>
      </c>
      <c r="K97" s="136"/>
      <c r="L97" s="136"/>
    </row>
    <row r="98" spans="1:12" ht="14.4" customHeight="1">
      <c r="A98" s="253"/>
      <c r="B98" s="251">
        <v>46001</v>
      </c>
      <c r="C98" s="243" t="s">
        <v>1198</v>
      </c>
      <c r="D98" s="78"/>
      <c r="E98" s="159"/>
      <c r="F98" s="111" t="s">
        <v>1251</v>
      </c>
      <c r="G98" s="107"/>
      <c r="H98" s="108">
        <v>0.33333333333333298</v>
      </c>
      <c r="I98" s="109">
        <f t="shared" si="2"/>
        <v>1</v>
      </c>
      <c r="J98" s="109">
        <v>0.9</v>
      </c>
      <c r="K98" s="82"/>
      <c r="L98" s="112"/>
    </row>
    <row r="99" spans="1:12" ht="14.4" customHeight="1">
      <c r="A99" s="253"/>
      <c r="B99" s="244"/>
      <c r="C99" s="244"/>
      <c r="D99" s="78"/>
      <c r="E99" s="159"/>
      <c r="F99" s="106" t="s">
        <v>1252</v>
      </c>
      <c r="G99" s="107"/>
      <c r="H99" s="108">
        <v>0.33333333333333298</v>
      </c>
      <c r="I99" s="109">
        <f t="shared" si="2"/>
        <v>1</v>
      </c>
      <c r="J99" s="109">
        <v>0.9</v>
      </c>
      <c r="K99" s="82"/>
      <c r="L99" s="82"/>
    </row>
    <row r="100" spans="1:12" ht="14.4" customHeight="1">
      <c r="A100" s="253"/>
      <c r="B100" s="244"/>
      <c r="C100" s="245"/>
      <c r="D100" s="78"/>
      <c r="E100" s="113"/>
      <c r="F100" s="114" t="s">
        <v>1253</v>
      </c>
      <c r="G100" s="107"/>
      <c r="H100" s="108">
        <v>0.33333333333333298</v>
      </c>
      <c r="I100" s="109">
        <f t="shared" si="2"/>
        <v>1</v>
      </c>
      <c r="J100" s="109">
        <v>0.9</v>
      </c>
      <c r="K100" s="82"/>
      <c r="L100" s="82"/>
    </row>
    <row r="101" spans="1:12" ht="14.4" customHeight="1">
      <c r="A101" s="253"/>
      <c r="B101" s="244"/>
      <c r="C101" s="248" t="s">
        <v>1196</v>
      </c>
      <c r="D101" s="132"/>
      <c r="E101" s="158"/>
      <c r="F101" s="125" t="s">
        <v>1251</v>
      </c>
      <c r="G101" s="126"/>
      <c r="H101" s="127">
        <v>0.33333333333333298</v>
      </c>
      <c r="I101" s="109">
        <f t="shared" si="2"/>
        <v>1</v>
      </c>
      <c r="J101" s="134">
        <v>0.9</v>
      </c>
      <c r="K101" s="135"/>
      <c r="L101" s="136"/>
    </row>
    <row r="102" spans="1:12" ht="14.4" customHeight="1">
      <c r="A102" s="253"/>
      <c r="B102" s="244"/>
      <c r="C102" s="249"/>
      <c r="D102" s="132"/>
      <c r="E102" s="158"/>
      <c r="F102" s="129" t="s">
        <v>1252</v>
      </c>
      <c r="G102" s="126"/>
      <c r="H102" s="127">
        <v>0.33333333333333298</v>
      </c>
      <c r="I102" s="109">
        <f t="shared" si="2"/>
        <v>1</v>
      </c>
      <c r="J102" s="134">
        <v>0.9</v>
      </c>
      <c r="K102" s="135"/>
      <c r="L102" s="136"/>
    </row>
    <row r="103" spans="1:12" ht="14.4" customHeight="1">
      <c r="A103" s="253"/>
      <c r="B103" s="244"/>
      <c r="C103" s="250"/>
      <c r="D103" s="132"/>
      <c r="E103" s="133"/>
      <c r="F103" s="128" t="s">
        <v>1253</v>
      </c>
      <c r="G103" s="126"/>
      <c r="H103" s="127">
        <v>0.33333333333333298</v>
      </c>
      <c r="I103" s="109">
        <f t="shared" si="2"/>
        <v>1</v>
      </c>
      <c r="J103" s="134">
        <v>0.9</v>
      </c>
      <c r="K103" s="133"/>
      <c r="L103" s="136"/>
    </row>
    <row r="104" spans="1:12" ht="14.4" customHeight="1">
      <c r="A104" s="253"/>
      <c r="B104" s="244"/>
      <c r="C104" s="243" t="s">
        <v>1197</v>
      </c>
      <c r="D104" s="78"/>
      <c r="E104" s="159"/>
      <c r="F104" s="111" t="s">
        <v>1251</v>
      </c>
      <c r="G104" s="107"/>
      <c r="H104" s="108">
        <v>0.33333333333333298</v>
      </c>
      <c r="I104" s="109">
        <f t="shared" si="2"/>
        <v>1</v>
      </c>
      <c r="J104" s="109">
        <v>0.9</v>
      </c>
      <c r="K104" s="82"/>
      <c r="L104" s="82"/>
    </row>
    <row r="105" spans="1:12" ht="14.4" customHeight="1">
      <c r="A105" s="253"/>
      <c r="B105" s="244"/>
      <c r="C105" s="244"/>
      <c r="D105" s="78"/>
      <c r="E105" s="159"/>
      <c r="F105" s="106" t="s">
        <v>1252</v>
      </c>
      <c r="G105" s="107"/>
      <c r="H105" s="108">
        <v>0.33333333333333298</v>
      </c>
      <c r="I105" s="109">
        <f t="shared" si="2"/>
        <v>1</v>
      </c>
      <c r="J105" s="109">
        <v>0.9</v>
      </c>
      <c r="K105" s="82"/>
      <c r="L105" s="82"/>
    </row>
    <row r="106" spans="1:12" ht="15" customHeight="1" thickBot="1">
      <c r="A106" s="253"/>
      <c r="B106" s="245"/>
      <c r="C106" s="245"/>
      <c r="D106" s="78"/>
      <c r="E106" s="113"/>
      <c r="F106" s="114" t="s">
        <v>1253</v>
      </c>
      <c r="G106" s="107"/>
      <c r="H106" s="108">
        <v>0.33333333333333298</v>
      </c>
      <c r="I106" s="109">
        <f t="shared" si="2"/>
        <v>1</v>
      </c>
      <c r="J106" s="109">
        <v>0.9</v>
      </c>
      <c r="K106" s="82"/>
      <c r="L106" s="82"/>
    </row>
    <row r="107" spans="1:12" ht="14.4" customHeight="1">
      <c r="A107" s="253"/>
      <c r="B107" s="251">
        <v>46002</v>
      </c>
      <c r="C107" s="248" t="s">
        <v>1198</v>
      </c>
      <c r="D107" s="132"/>
      <c r="E107" s="158"/>
      <c r="F107" s="125" t="s">
        <v>1251</v>
      </c>
      <c r="G107" s="126"/>
      <c r="H107" s="127">
        <v>0.33333333333333298</v>
      </c>
      <c r="I107" s="109">
        <f>1-(G107/H107)</f>
        <v>1</v>
      </c>
      <c r="J107" s="134">
        <v>0.9</v>
      </c>
      <c r="K107" s="135"/>
      <c r="L107" s="137"/>
    </row>
    <row r="108" spans="1:12" ht="14.4" customHeight="1">
      <c r="A108" s="253"/>
      <c r="B108" s="244"/>
      <c r="C108" s="249"/>
      <c r="D108" s="132"/>
      <c r="E108" s="158"/>
      <c r="F108" s="129" t="s">
        <v>1252</v>
      </c>
      <c r="G108" s="126"/>
      <c r="H108" s="127">
        <v>0.33333333333333298</v>
      </c>
      <c r="I108" s="109">
        <f>1-(G108/H108)</f>
        <v>1</v>
      </c>
      <c r="J108" s="134">
        <v>0.9</v>
      </c>
      <c r="K108" s="135"/>
      <c r="L108" s="136"/>
    </row>
    <row r="109" spans="1:12" ht="14.4" customHeight="1">
      <c r="A109" s="253"/>
      <c r="B109" s="244"/>
      <c r="C109" s="250"/>
      <c r="D109" s="132"/>
      <c r="E109" s="133"/>
      <c r="F109" s="128" t="s">
        <v>1253</v>
      </c>
      <c r="G109" s="126"/>
      <c r="H109" s="127">
        <v>0.33333333333333298</v>
      </c>
      <c r="I109" s="109">
        <f t="shared" si="2"/>
        <v>1</v>
      </c>
      <c r="J109" s="134">
        <v>0.9</v>
      </c>
      <c r="K109" s="133"/>
      <c r="L109" s="136"/>
    </row>
    <row r="110" spans="1:12" ht="14.4" customHeight="1">
      <c r="A110" s="253"/>
      <c r="B110" s="244"/>
      <c r="C110" s="243" t="s">
        <v>1196</v>
      </c>
      <c r="D110" s="78"/>
      <c r="E110" s="159"/>
      <c r="F110" s="111" t="s">
        <v>1251</v>
      </c>
      <c r="G110" s="107"/>
      <c r="H110" s="108">
        <v>0.33333333333333298</v>
      </c>
      <c r="I110" s="109">
        <f t="shared" si="2"/>
        <v>1</v>
      </c>
      <c r="J110" s="109">
        <v>0.9</v>
      </c>
      <c r="K110" s="82"/>
      <c r="L110" s="112"/>
    </row>
    <row r="111" spans="1:12" ht="14.4" customHeight="1">
      <c r="A111" s="253"/>
      <c r="B111" s="244"/>
      <c r="C111" s="244"/>
      <c r="D111" s="78"/>
      <c r="E111" s="159"/>
      <c r="F111" s="106" t="s">
        <v>1252</v>
      </c>
      <c r="G111" s="107"/>
      <c r="H111" s="108">
        <v>0.33333333333333298</v>
      </c>
      <c r="I111" s="109">
        <f t="shared" si="2"/>
        <v>1</v>
      </c>
      <c r="J111" s="109">
        <v>0.9</v>
      </c>
      <c r="K111" s="82"/>
      <c r="L111" s="82"/>
    </row>
    <row r="112" spans="1:12" ht="14.4" customHeight="1">
      <c r="A112" s="253"/>
      <c r="B112" s="244"/>
      <c r="C112" s="245"/>
      <c r="D112" s="78"/>
      <c r="E112" s="113"/>
      <c r="F112" s="114" t="s">
        <v>1253</v>
      </c>
      <c r="G112" s="107"/>
      <c r="H112" s="108">
        <v>0.33333333333333298</v>
      </c>
      <c r="I112" s="109">
        <f t="shared" si="2"/>
        <v>1</v>
      </c>
      <c r="J112" s="109">
        <v>0.9</v>
      </c>
      <c r="K112" s="82"/>
      <c r="L112" s="82"/>
    </row>
    <row r="113" spans="1:12" ht="14.4" customHeight="1">
      <c r="A113" s="253"/>
      <c r="B113" s="244"/>
      <c r="C113" s="248" t="s">
        <v>1197</v>
      </c>
      <c r="D113" s="132"/>
      <c r="E113" s="158"/>
      <c r="F113" s="125" t="s">
        <v>1251</v>
      </c>
      <c r="G113" s="126"/>
      <c r="H113" s="127">
        <v>0.33333333333333298</v>
      </c>
      <c r="I113" s="109">
        <f t="shared" si="2"/>
        <v>1</v>
      </c>
      <c r="J113" s="134">
        <v>0.9</v>
      </c>
      <c r="K113" s="135"/>
      <c r="L113" s="136"/>
    </row>
    <row r="114" spans="1:12" ht="14.4" customHeight="1">
      <c r="A114" s="253"/>
      <c r="B114" s="244"/>
      <c r="C114" s="249"/>
      <c r="D114" s="132"/>
      <c r="E114" s="158"/>
      <c r="F114" s="129" t="s">
        <v>1252</v>
      </c>
      <c r="G114" s="126"/>
      <c r="H114" s="127">
        <v>0.33333333333333298</v>
      </c>
      <c r="I114" s="109">
        <f t="shared" si="2"/>
        <v>1</v>
      </c>
      <c r="J114" s="134">
        <v>0.9</v>
      </c>
      <c r="K114" s="135"/>
      <c r="L114" s="136"/>
    </row>
    <row r="115" spans="1:12" ht="15" customHeight="1" thickBot="1">
      <c r="A115" s="253"/>
      <c r="B115" s="245"/>
      <c r="C115" s="250"/>
      <c r="D115" s="132"/>
      <c r="E115" s="133"/>
      <c r="F115" s="128" t="s">
        <v>1253</v>
      </c>
      <c r="G115" s="126"/>
      <c r="H115" s="127">
        <v>0.33333333333333298</v>
      </c>
      <c r="I115" s="109">
        <f t="shared" si="2"/>
        <v>1</v>
      </c>
      <c r="J115" s="134">
        <v>0.9</v>
      </c>
      <c r="K115" s="133"/>
      <c r="L115" s="136"/>
    </row>
    <row r="116" spans="1:12" ht="14.4" customHeight="1">
      <c r="A116" s="253"/>
      <c r="B116" s="251">
        <v>46003</v>
      </c>
      <c r="C116" s="243" t="s">
        <v>1198</v>
      </c>
      <c r="D116" s="78"/>
      <c r="E116" s="159"/>
      <c r="F116" s="111" t="s">
        <v>1251</v>
      </c>
      <c r="G116" s="107"/>
      <c r="H116" s="108">
        <v>0.33333333333333298</v>
      </c>
      <c r="I116" s="109">
        <f t="shared" si="2"/>
        <v>1</v>
      </c>
      <c r="J116" s="109">
        <v>0.9</v>
      </c>
      <c r="K116" s="82"/>
      <c r="L116" s="112"/>
    </row>
    <row r="117" spans="1:12" ht="14.4" customHeight="1">
      <c r="A117" s="253"/>
      <c r="B117" s="244"/>
      <c r="C117" s="244"/>
      <c r="D117" s="78"/>
      <c r="E117" s="159"/>
      <c r="F117" s="106" t="s">
        <v>1252</v>
      </c>
      <c r="G117" s="107"/>
      <c r="H117" s="108">
        <v>0.33333333333333298</v>
      </c>
      <c r="I117" s="109">
        <f t="shared" si="2"/>
        <v>1</v>
      </c>
      <c r="J117" s="109">
        <v>0.9</v>
      </c>
      <c r="K117" s="82"/>
      <c r="L117" s="82"/>
    </row>
    <row r="118" spans="1:12" ht="14.4" customHeight="1">
      <c r="A118" s="253"/>
      <c r="B118" s="244"/>
      <c r="C118" s="245"/>
      <c r="D118" s="78"/>
      <c r="E118" s="113"/>
      <c r="F118" s="114" t="s">
        <v>1253</v>
      </c>
      <c r="G118" s="107"/>
      <c r="H118" s="108">
        <v>0.33333333333333298</v>
      </c>
      <c r="I118" s="109">
        <f t="shared" si="2"/>
        <v>1</v>
      </c>
      <c r="J118" s="109">
        <v>0.9</v>
      </c>
      <c r="K118" s="82"/>
      <c r="L118" s="82"/>
    </row>
    <row r="119" spans="1:12" ht="14.4" customHeight="1">
      <c r="A119" s="253"/>
      <c r="B119" s="244"/>
      <c r="C119" s="248" t="s">
        <v>1196</v>
      </c>
      <c r="D119" s="132"/>
      <c r="E119" s="158"/>
      <c r="F119" s="125" t="s">
        <v>1251</v>
      </c>
      <c r="G119" s="126"/>
      <c r="H119" s="127">
        <v>0.33333333333333298</v>
      </c>
      <c r="I119" s="109">
        <f t="shared" si="2"/>
        <v>1</v>
      </c>
      <c r="J119" s="134">
        <v>0.9</v>
      </c>
      <c r="K119" s="137"/>
      <c r="L119" s="137"/>
    </row>
    <row r="120" spans="1:12" ht="14.4" customHeight="1">
      <c r="A120" s="253"/>
      <c r="B120" s="244"/>
      <c r="C120" s="249"/>
      <c r="D120" s="132"/>
      <c r="E120" s="158"/>
      <c r="F120" s="129" t="s">
        <v>1252</v>
      </c>
      <c r="G120" s="126"/>
      <c r="H120" s="127">
        <v>0.33333333333333298</v>
      </c>
      <c r="I120" s="109">
        <f t="shared" si="2"/>
        <v>1</v>
      </c>
      <c r="J120" s="134">
        <v>0.9</v>
      </c>
      <c r="K120" s="135"/>
      <c r="L120" s="136"/>
    </row>
    <row r="121" spans="1:12" ht="14.4" customHeight="1">
      <c r="A121" s="253"/>
      <c r="B121" s="244"/>
      <c r="C121" s="250"/>
      <c r="D121" s="132"/>
      <c r="E121" s="133"/>
      <c r="F121" s="128" t="s">
        <v>1253</v>
      </c>
      <c r="G121" s="126"/>
      <c r="H121" s="127">
        <v>0.33333333333333298</v>
      </c>
      <c r="I121" s="109">
        <f t="shared" si="2"/>
        <v>1</v>
      </c>
      <c r="J121" s="134">
        <v>0.9</v>
      </c>
      <c r="K121" s="133"/>
      <c r="L121" s="136"/>
    </row>
    <row r="122" spans="1:12" ht="14.4" customHeight="1">
      <c r="A122" s="253"/>
      <c r="B122" s="244"/>
      <c r="C122" s="243" t="s">
        <v>1197</v>
      </c>
      <c r="D122" s="78"/>
      <c r="E122" s="159"/>
      <c r="F122" s="111" t="s">
        <v>1251</v>
      </c>
      <c r="G122" s="107"/>
      <c r="H122" s="108">
        <v>0.33333333333333298</v>
      </c>
      <c r="I122" s="109">
        <f t="shared" si="2"/>
        <v>1</v>
      </c>
      <c r="J122" s="109">
        <v>0.9</v>
      </c>
      <c r="K122" s="82"/>
      <c r="L122" s="82"/>
    </row>
    <row r="123" spans="1:12" ht="14.4" customHeight="1">
      <c r="A123" s="253"/>
      <c r="B123" s="244"/>
      <c r="C123" s="244"/>
      <c r="D123" s="78"/>
      <c r="E123" s="159"/>
      <c r="F123" s="106" t="s">
        <v>1252</v>
      </c>
      <c r="G123" s="107"/>
      <c r="H123" s="108">
        <v>0.33333333333333298</v>
      </c>
      <c r="I123" s="109">
        <f t="shared" si="2"/>
        <v>1</v>
      </c>
      <c r="J123" s="109">
        <v>0.9</v>
      </c>
      <c r="K123" s="82"/>
      <c r="L123" s="82"/>
    </row>
    <row r="124" spans="1:12" ht="14.4" customHeight="1" thickBot="1">
      <c r="A124" s="253"/>
      <c r="B124" s="245"/>
      <c r="C124" s="245"/>
      <c r="D124" s="78"/>
      <c r="E124" s="113"/>
      <c r="F124" s="114" t="s">
        <v>1253</v>
      </c>
      <c r="G124" s="122"/>
      <c r="H124" s="123">
        <v>0.33333333333333298</v>
      </c>
      <c r="I124" s="109">
        <f t="shared" si="2"/>
        <v>1</v>
      </c>
      <c r="J124" s="109">
        <v>0.9</v>
      </c>
      <c r="K124" s="82"/>
      <c r="L124" s="82"/>
    </row>
    <row r="125" spans="1:12" ht="14.4" customHeight="1">
      <c r="A125" s="253"/>
      <c r="B125" s="251">
        <v>46004</v>
      </c>
      <c r="C125" s="248" t="s">
        <v>1198</v>
      </c>
      <c r="D125" s="132"/>
      <c r="E125" s="158"/>
      <c r="F125" s="125" t="s">
        <v>1251</v>
      </c>
      <c r="G125" s="126"/>
      <c r="H125" s="127">
        <v>0.33333333333333298</v>
      </c>
      <c r="I125" s="109">
        <f>1-(G125/H125)</f>
        <v>1</v>
      </c>
      <c r="J125" s="134">
        <v>0.9</v>
      </c>
      <c r="K125" s="135"/>
      <c r="L125" s="137"/>
    </row>
    <row r="126" spans="1:12" ht="14.4" customHeight="1">
      <c r="A126" s="253"/>
      <c r="B126" s="244"/>
      <c r="C126" s="249"/>
      <c r="D126" s="132"/>
      <c r="E126" s="158"/>
      <c r="F126" s="129" t="s">
        <v>1252</v>
      </c>
      <c r="G126" s="126"/>
      <c r="H126" s="127">
        <v>0.33333333333333298</v>
      </c>
      <c r="I126" s="109">
        <f>1-(G126/H126)</f>
        <v>1</v>
      </c>
      <c r="J126" s="134">
        <v>0.9</v>
      </c>
      <c r="K126" s="135"/>
      <c r="L126" s="136"/>
    </row>
    <row r="127" spans="1:12" ht="14.4" customHeight="1">
      <c r="A127" s="253"/>
      <c r="B127" s="244"/>
      <c r="C127" s="250"/>
      <c r="D127" s="132"/>
      <c r="E127" s="133"/>
      <c r="F127" s="128" t="s">
        <v>1253</v>
      </c>
      <c r="G127" s="126"/>
      <c r="H127" s="127">
        <v>0.33333333333333298</v>
      </c>
      <c r="I127" s="109">
        <f t="shared" ref="I127:I142" si="3">1-(G127/H127)</f>
        <v>1</v>
      </c>
      <c r="J127" s="134">
        <v>0.9</v>
      </c>
      <c r="K127" s="133"/>
      <c r="L127" s="136"/>
    </row>
    <row r="128" spans="1:12" ht="14.4" customHeight="1">
      <c r="A128" s="253"/>
      <c r="B128" s="244"/>
      <c r="C128" s="243" t="s">
        <v>1196</v>
      </c>
      <c r="D128" s="78"/>
      <c r="E128" s="159"/>
      <c r="F128" s="111" t="s">
        <v>1251</v>
      </c>
      <c r="G128" s="107"/>
      <c r="H128" s="108">
        <v>0.33333333333333298</v>
      </c>
      <c r="I128" s="109">
        <f t="shared" si="3"/>
        <v>1</v>
      </c>
      <c r="J128" s="109">
        <v>0.9</v>
      </c>
      <c r="K128" s="82"/>
      <c r="L128" s="112"/>
    </row>
    <row r="129" spans="1:12" ht="14.4" customHeight="1">
      <c r="A129" s="253"/>
      <c r="B129" s="244"/>
      <c r="C129" s="244"/>
      <c r="D129" s="78"/>
      <c r="E129" s="159"/>
      <c r="F129" s="106" t="s">
        <v>1252</v>
      </c>
      <c r="G129" s="107"/>
      <c r="H129" s="108">
        <v>0.33333333333333298</v>
      </c>
      <c r="I129" s="109">
        <f t="shared" si="3"/>
        <v>1</v>
      </c>
      <c r="J129" s="109">
        <v>0.9</v>
      </c>
      <c r="K129" s="82"/>
      <c r="L129" s="82"/>
    </row>
    <row r="130" spans="1:12" ht="14.4" customHeight="1">
      <c r="A130" s="253"/>
      <c r="B130" s="244"/>
      <c r="C130" s="245"/>
      <c r="D130" s="78"/>
      <c r="E130" s="113"/>
      <c r="F130" s="114" t="s">
        <v>1253</v>
      </c>
      <c r="G130" s="107"/>
      <c r="H130" s="108">
        <v>0.33333333333333298</v>
      </c>
      <c r="I130" s="109">
        <f t="shared" si="3"/>
        <v>1</v>
      </c>
      <c r="J130" s="109">
        <v>0.9</v>
      </c>
      <c r="K130" s="82"/>
      <c r="L130" s="82"/>
    </row>
    <row r="131" spans="1:12" ht="14.4" customHeight="1">
      <c r="A131" s="253"/>
      <c r="B131" s="244"/>
      <c r="C131" s="248" t="s">
        <v>1197</v>
      </c>
      <c r="D131" s="132"/>
      <c r="E131" s="158"/>
      <c r="F131" s="125" t="s">
        <v>1251</v>
      </c>
      <c r="G131" s="126"/>
      <c r="H131" s="127">
        <v>0.33333333333333298</v>
      </c>
      <c r="I131" s="109">
        <f t="shared" si="3"/>
        <v>1</v>
      </c>
      <c r="J131" s="134">
        <v>0.9</v>
      </c>
      <c r="K131" s="135"/>
      <c r="L131" s="136"/>
    </row>
    <row r="132" spans="1:12" ht="14.4" customHeight="1">
      <c r="A132" s="253"/>
      <c r="B132" s="244"/>
      <c r="C132" s="249"/>
      <c r="D132" s="132"/>
      <c r="E132" s="158"/>
      <c r="F132" s="129" t="s">
        <v>1252</v>
      </c>
      <c r="G132" s="126"/>
      <c r="H132" s="127">
        <v>0.33333333333333298</v>
      </c>
      <c r="I132" s="109">
        <f t="shared" si="3"/>
        <v>1</v>
      </c>
      <c r="J132" s="134">
        <v>0.9</v>
      </c>
      <c r="K132" s="135"/>
      <c r="L132" s="136"/>
    </row>
    <row r="133" spans="1:12" ht="14.4" customHeight="1" thickBot="1">
      <c r="A133" s="253"/>
      <c r="B133" s="245"/>
      <c r="C133" s="250"/>
      <c r="D133" s="132"/>
      <c r="E133" s="133"/>
      <c r="F133" s="128" t="s">
        <v>1253</v>
      </c>
      <c r="G133" s="126"/>
      <c r="H133" s="127">
        <v>0.33333333333333298</v>
      </c>
      <c r="I133" s="109">
        <f t="shared" si="3"/>
        <v>1</v>
      </c>
      <c r="J133" s="134">
        <v>0.9</v>
      </c>
      <c r="K133" s="133"/>
      <c r="L133" s="136"/>
    </row>
    <row r="134" spans="1:12" ht="14.4" customHeight="1">
      <c r="A134" s="253"/>
      <c r="B134" s="251">
        <v>46005</v>
      </c>
      <c r="C134" s="243" t="s">
        <v>1198</v>
      </c>
      <c r="D134" s="78"/>
      <c r="E134" s="159"/>
      <c r="F134" s="111" t="s">
        <v>1251</v>
      </c>
      <c r="G134" s="107"/>
      <c r="H134" s="108">
        <v>0.33333333333333298</v>
      </c>
      <c r="I134" s="109">
        <f t="shared" si="3"/>
        <v>1</v>
      </c>
      <c r="J134" s="109">
        <v>0.9</v>
      </c>
      <c r="K134" s="82"/>
      <c r="L134" s="112"/>
    </row>
    <row r="135" spans="1:12" ht="14.4" customHeight="1">
      <c r="A135" s="253"/>
      <c r="B135" s="244"/>
      <c r="C135" s="244"/>
      <c r="D135" s="78"/>
      <c r="E135" s="159"/>
      <c r="F135" s="106" t="s">
        <v>1252</v>
      </c>
      <c r="G135" s="107"/>
      <c r="H135" s="108">
        <v>0.33333333333333298</v>
      </c>
      <c r="I135" s="109">
        <f t="shared" si="3"/>
        <v>1</v>
      </c>
      <c r="J135" s="109">
        <v>0.9</v>
      </c>
      <c r="K135" s="82"/>
      <c r="L135" s="82"/>
    </row>
    <row r="136" spans="1:12" ht="14.4" customHeight="1">
      <c r="A136" s="253"/>
      <c r="B136" s="244"/>
      <c r="C136" s="245"/>
      <c r="D136" s="78"/>
      <c r="E136" s="113"/>
      <c r="F136" s="114" t="s">
        <v>1253</v>
      </c>
      <c r="G136" s="107"/>
      <c r="H136" s="108">
        <v>0.33333333333333298</v>
      </c>
      <c r="I136" s="109">
        <f t="shared" si="3"/>
        <v>1</v>
      </c>
      <c r="J136" s="109">
        <v>0.9</v>
      </c>
      <c r="K136" s="82"/>
      <c r="L136" s="82"/>
    </row>
    <row r="137" spans="1:12" ht="14.4" customHeight="1">
      <c r="A137" s="253"/>
      <c r="B137" s="244"/>
      <c r="C137" s="248" t="s">
        <v>1196</v>
      </c>
      <c r="D137" s="132"/>
      <c r="E137" s="158"/>
      <c r="F137" s="125" t="s">
        <v>1251</v>
      </c>
      <c r="G137" s="126"/>
      <c r="H137" s="127">
        <v>0.33333333333333298</v>
      </c>
      <c r="I137" s="109">
        <f t="shared" si="3"/>
        <v>1</v>
      </c>
      <c r="J137" s="134">
        <v>0.9</v>
      </c>
      <c r="K137" s="137"/>
      <c r="L137" s="137"/>
    </row>
    <row r="138" spans="1:12" ht="14.4" customHeight="1">
      <c r="A138" s="253"/>
      <c r="B138" s="244"/>
      <c r="C138" s="249"/>
      <c r="D138" s="132"/>
      <c r="E138" s="158"/>
      <c r="F138" s="129" t="s">
        <v>1252</v>
      </c>
      <c r="G138" s="126"/>
      <c r="H138" s="127">
        <v>0.33333333333333298</v>
      </c>
      <c r="I138" s="109">
        <f t="shared" si="3"/>
        <v>1</v>
      </c>
      <c r="J138" s="134">
        <v>0.9</v>
      </c>
      <c r="K138" s="135"/>
      <c r="L138" s="136"/>
    </row>
    <row r="139" spans="1:12" ht="14.4" customHeight="1">
      <c r="A139" s="253"/>
      <c r="B139" s="244"/>
      <c r="C139" s="250"/>
      <c r="D139" s="132"/>
      <c r="E139" s="133"/>
      <c r="F139" s="128" t="s">
        <v>1253</v>
      </c>
      <c r="G139" s="126"/>
      <c r="H139" s="127">
        <v>0.33333333333333298</v>
      </c>
      <c r="I139" s="109">
        <f t="shared" si="3"/>
        <v>1</v>
      </c>
      <c r="J139" s="134">
        <v>0.9</v>
      </c>
      <c r="K139" s="133"/>
      <c r="L139" s="136"/>
    </row>
    <row r="140" spans="1:12" ht="14.4" customHeight="1">
      <c r="A140" s="253"/>
      <c r="B140" s="244"/>
      <c r="C140" s="243" t="s">
        <v>1197</v>
      </c>
      <c r="D140" s="78"/>
      <c r="E140" s="159"/>
      <c r="F140" s="111" t="s">
        <v>1251</v>
      </c>
      <c r="G140" s="107"/>
      <c r="H140" s="108">
        <v>0.33333333333333298</v>
      </c>
      <c r="I140" s="109">
        <f t="shared" si="3"/>
        <v>1</v>
      </c>
      <c r="J140" s="109">
        <v>0.9</v>
      </c>
      <c r="K140" s="82"/>
      <c r="L140" s="82"/>
    </row>
    <row r="141" spans="1:12" ht="14.4" customHeight="1">
      <c r="A141" s="253"/>
      <c r="B141" s="244"/>
      <c r="C141" s="244"/>
      <c r="D141" s="78"/>
      <c r="E141" s="159"/>
      <c r="F141" s="106" t="s">
        <v>1252</v>
      </c>
      <c r="G141" s="107"/>
      <c r="H141" s="108">
        <v>0.33333333333333298</v>
      </c>
      <c r="I141" s="109">
        <f t="shared" si="3"/>
        <v>1</v>
      </c>
      <c r="J141" s="109">
        <v>0.9</v>
      </c>
      <c r="K141" s="82"/>
      <c r="L141" s="82"/>
    </row>
    <row r="142" spans="1:12" ht="14.4" customHeight="1">
      <c r="A142" s="253"/>
      <c r="B142" s="245"/>
      <c r="C142" s="245"/>
      <c r="D142" s="78"/>
      <c r="E142" s="113"/>
      <c r="F142" s="114" t="s">
        <v>1253</v>
      </c>
      <c r="G142" s="122"/>
      <c r="H142" s="123">
        <v>0.33333333333333298</v>
      </c>
      <c r="I142" s="109">
        <f t="shared" si="3"/>
        <v>1</v>
      </c>
      <c r="J142" s="109">
        <v>0.9</v>
      </c>
      <c r="K142" s="82"/>
      <c r="L142" s="82"/>
    </row>
    <row r="143" spans="1:12" ht="14.4" customHeight="1">
      <c r="A143" s="253"/>
      <c r="B143" s="117"/>
      <c r="C143" s="117"/>
      <c r="D143" s="118"/>
      <c r="E143" s="118"/>
      <c r="F143" s="119" t="s">
        <v>1251</v>
      </c>
      <c r="G143" s="124"/>
      <c r="H143" s="124"/>
      <c r="I143" s="120">
        <f>AVERAGEIF(F80:F142,F143,I80:I142)</f>
        <v>1</v>
      </c>
      <c r="J143" s="121">
        <v>0.9</v>
      </c>
      <c r="K143" s="118"/>
      <c r="L143" s="116"/>
    </row>
    <row r="144" spans="1:12" ht="14.4" customHeight="1">
      <c r="A144" s="253"/>
      <c r="B144" s="117"/>
      <c r="C144" s="117"/>
      <c r="D144" s="118"/>
      <c r="E144" s="118"/>
      <c r="F144" s="119" t="s">
        <v>1252</v>
      </c>
      <c r="G144" s="124"/>
      <c r="H144" s="124"/>
      <c r="I144" s="120">
        <f>AVERAGEIF(F80:F142,F144,I80:I142)</f>
        <v>1</v>
      </c>
      <c r="J144" s="121">
        <v>0.9</v>
      </c>
      <c r="K144" s="118"/>
      <c r="L144" s="116"/>
    </row>
    <row r="145" spans="1:12" ht="15" customHeight="1" thickBot="1">
      <c r="A145" s="253"/>
      <c r="B145" s="117"/>
      <c r="C145" s="117"/>
      <c r="D145" s="118"/>
      <c r="E145" s="118"/>
      <c r="F145" s="119" t="s">
        <v>1253</v>
      </c>
      <c r="G145" s="124"/>
      <c r="H145" s="124"/>
      <c r="I145" s="120">
        <f>AVERAGEIF(F80:F142,F145,I80:I142)</f>
        <v>1</v>
      </c>
      <c r="J145" s="121">
        <v>0.9</v>
      </c>
      <c r="K145" s="118"/>
      <c r="L145" s="116"/>
    </row>
    <row r="146" spans="1:12" ht="14.4" customHeight="1">
      <c r="A146" s="252"/>
      <c r="B146" s="251"/>
      <c r="C146" s="243" t="s">
        <v>1198</v>
      </c>
      <c r="D146" s="110"/>
      <c r="E146" s="156"/>
      <c r="F146" s="111" t="s">
        <v>1251</v>
      </c>
      <c r="G146" s="107"/>
      <c r="H146" s="108">
        <v>0.33333333333333331</v>
      </c>
      <c r="I146" s="109">
        <f>1-(G146/H146)</f>
        <v>1</v>
      </c>
      <c r="J146" s="109">
        <v>0.9</v>
      </c>
      <c r="K146" s="82"/>
      <c r="L146" s="82"/>
    </row>
    <row r="147" spans="1:12" ht="14.4" customHeight="1">
      <c r="A147" s="253"/>
      <c r="B147" s="244"/>
      <c r="C147" s="244"/>
      <c r="D147" s="110"/>
      <c r="E147" s="156"/>
      <c r="F147" s="111" t="s">
        <v>1252</v>
      </c>
      <c r="G147" s="107"/>
      <c r="H147" s="108">
        <v>0.33333333333333331</v>
      </c>
      <c r="I147" s="109">
        <f>1-(G147/H147)</f>
        <v>1</v>
      </c>
      <c r="J147" s="109">
        <v>0.9</v>
      </c>
      <c r="K147" s="82"/>
      <c r="L147" s="82"/>
    </row>
    <row r="148" spans="1:12" ht="14.4" customHeight="1">
      <c r="A148" s="253"/>
      <c r="B148" s="244"/>
      <c r="C148" s="245"/>
      <c r="D148" s="110"/>
      <c r="E148" s="157"/>
      <c r="F148" s="114" t="s">
        <v>1253</v>
      </c>
      <c r="G148" s="107"/>
      <c r="H148" s="108">
        <v>0.33333333333333298</v>
      </c>
      <c r="I148" s="109">
        <f t="shared" ref="I148:I208" si="4">1-(G148/H148)</f>
        <v>1</v>
      </c>
      <c r="J148" s="109">
        <v>0.9</v>
      </c>
      <c r="K148" s="82"/>
      <c r="L148" s="82"/>
    </row>
    <row r="149" spans="1:12" ht="14.4" customHeight="1">
      <c r="A149" s="253"/>
      <c r="B149" s="244"/>
      <c r="C149" s="248" t="s">
        <v>1196</v>
      </c>
      <c r="D149" s="132"/>
      <c r="E149" s="158"/>
      <c r="F149" s="125" t="s">
        <v>1251</v>
      </c>
      <c r="G149" s="126"/>
      <c r="H149" s="127">
        <v>0.33333333333333298</v>
      </c>
      <c r="I149" s="109">
        <f t="shared" si="4"/>
        <v>1</v>
      </c>
      <c r="J149" s="134">
        <v>0.9</v>
      </c>
      <c r="K149" s="82"/>
      <c r="L149" s="136"/>
    </row>
    <row r="150" spans="1:12" ht="14.4" customHeight="1">
      <c r="A150" s="253"/>
      <c r="B150" s="244"/>
      <c r="C150" s="249"/>
      <c r="D150" s="132"/>
      <c r="E150" s="158"/>
      <c r="F150" s="125" t="s">
        <v>1252</v>
      </c>
      <c r="G150" s="126"/>
      <c r="H150" s="127">
        <v>0.33333333333333298</v>
      </c>
      <c r="I150" s="109">
        <f t="shared" si="4"/>
        <v>1</v>
      </c>
      <c r="J150" s="134">
        <v>0.9</v>
      </c>
      <c r="K150" s="135"/>
      <c r="L150" s="136"/>
    </row>
    <row r="151" spans="1:12" ht="14.4" customHeight="1">
      <c r="A151" s="253"/>
      <c r="B151" s="244"/>
      <c r="C151" s="250"/>
      <c r="D151" s="132"/>
      <c r="E151" s="133"/>
      <c r="F151" s="128" t="s">
        <v>1253</v>
      </c>
      <c r="G151" s="126"/>
      <c r="H151" s="127">
        <v>0.33333333333333298</v>
      </c>
      <c r="I151" s="109">
        <f t="shared" si="4"/>
        <v>1</v>
      </c>
      <c r="J151" s="134">
        <v>0.9</v>
      </c>
      <c r="K151" s="133"/>
      <c r="L151" s="136"/>
    </row>
    <row r="152" spans="1:12" ht="14.4" customHeight="1">
      <c r="A152" s="253"/>
      <c r="B152" s="244"/>
      <c r="C152" s="243" t="s">
        <v>1197</v>
      </c>
      <c r="D152" s="78"/>
      <c r="E152" s="159"/>
      <c r="F152" s="111" t="s">
        <v>1251</v>
      </c>
      <c r="G152" s="108"/>
      <c r="H152" s="108">
        <v>0.33333333333333298</v>
      </c>
      <c r="I152" s="109">
        <f t="shared" si="4"/>
        <v>1</v>
      </c>
      <c r="J152" s="109">
        <v>0.9</v>
      </c>
      <c r="K152" s="82"/>
      <c r="L152" s="112"/>
    </row>
    <row r="153" spans="1:12" ht="14.4" customHeight="1">
      <c r="A153" s="253"/>
      <c r="B153" s="244"/>
      <c r="C153" s="244"/>
      <c r="D153" s="78"/>
      <c r="E153" s="159"/>
      <c r="F153" s="111" t="s">
        <v>1252</v>
      </c>
      <c r="G153" s="108"/>
      <c r="H153" s="108">
        <v>0.33333333333333298</v>
      </c>
      <c r="I153" s="109">
        <f t="shared" si="4"/>
        <v>1</v>
      </c>
      <c r="J153" s="109">
        <v>0.9</v>
      </c>
      <c r="K153" s="82"/>
      <c r="L153" s="82"/>
    </row>
    <row r="154" spans="1:12" ht="15" customHeight="1" thickBot="1">
      <c r="A154" s="253"/>
      <c r="B154" s="245"/>
      <c r="C154" s="245"/>
      <c r="D154" s="78"/>
      <c r="E154" s="113"/>
      <c r="F154" s="114" t="s">
        <v>1253</v>
      </c>
      <c r="G154" s="108"/>
      <c r="H154" s="108">
        <v>0.33333333333333298</v>
      </c>
      <c r="I154" s="109">
        <f t="shared" si="4"/>
        <v>1</v>
      </c>
      <c r="J154" s="109">
        <v>0.9</v>
      </c>
      <c r="K154" s="82"/>
      <c r="L154" s="82"/>
    </row>
    <row r="155" spans="1:12" ht="14.4" customHeight="1">
      <c r="A155" s="253"/>
      <c r="B155" s="251"/>
      <c r="C155" s="248" t="s">
        <v>1198</v>
      </c>
      <c r="D155" s="132"/>
      <c r="E155" s="158"/>
      <c r="F155" s="125" t="s">
        <v>1251</v>
      </c>
      <c r="G155" s="126"/>
      <c r="H155" s="127">
        <v>0.33333333333333298</v>
      </c>
      <c r="I155" s="109">
        <f t="shared" si="4"/>
        <v>1</v>
      </c>
      <c r="J155" s="134">
        <v>0.9</v>
      </c>
      <c r="K155" s="135"/>
      <c r="L155" s="137"/>
    </row>
    <row r="156" spans="1:12" ht="14.4" customHeight="1">
      <c r="A156" s="253"/>
      <c r="B156" s="244"/>
      <c r="C156" s="249"/>
      <c r="D156" s="132"/>
      <c r="E156" s="158"/>
      <c r="F156" s="125" t="s">
        <v>1252</v>
      </c>
      <c r="G156" s="126"/>
      <c r="H156" s="127">
        <v>0.33333333333333298</v>
      </c>
      <c r="I156" s="109">
        <f t="shared" si="4"/>
        <v>1</v>
      </c>
      <c r="J156" s="134">
        <v>0.9</v>
      </c>
      <c r="K156" s="135"/>
      <c r="L156" s="136"/>
    </row>
    <row r="157" spans="1:12" ht="14.4" customHeight="1">
      <c r="A157" s="253"/>
      <c r="B157" s="244"/>
      <c r="C157" s="250"/>
      <c r="D157" s="132"/>
      <c r="E157" s="133"/>
      <c r="F157" s="128" t="s">
        <v>1253</v>
      </c>
      <c r="G157" s="126"/>
      <c r="H157" s="127">
        <v>0.33333333333333331</v>
      </c>
      <c r="I157" s="109">
        <f t="shared" si="4"/>
        <v>1</v>
      </c>
      <c r="J157" s="134">
        <v>0.9</v>
      </c>
      <c r="K157" s="133"/>
      <c r="L157" s="136"/>
    </row>
    <row r="158" spans="1:12" ht="14.4" customHeight="1">
      <c r="A158" s="253"/>
      <c r="B158" s="244"/>
      <c r="C158" s="243" t="s">
        <v>1196</v>
      </c>
      <c r="D158" s="78"/>
      <c r="E158" s="159"/>
      <c r="F158" s="111" t="s">
        <v>1251</v>
      </c>
      <c r="G158" s="107"/>
      <c r="H158" s="108">
        <v>0.33333333333333298</v>
      </c>
      <c r="I158" s="109">
        <f t="shared" si="4"/>
        <v>1</v>
      </c>
      <c r="J158" s="109">
        <v>0.9</v>
      </c>
      <c r="K158" s="82"/>
      <c r="L158" s="112"/>
    </row>
    <row r="159" spans="1:12" ht="14.4" customHeight="1">
      <c r="A159" s="253"/>
      <c r="B159" s="244"/>
      <c r="C159" s="244"/>
      <c r="D159" s="78"/>
      <c r="E159" s="159"/>
      <c r="F159" s="111" t="s">
        <v>1252</v>
      </c>
      <c r="G159" s="107"/>
      <c r="H159" s="108">
        <v>0.33333333333333298</v>
      </c>
      <c r="I159" s="109">
        <f t="shared" si="4"/>
        <v>1</v>
      </c>
      <c r="J159" s="109">
        <v>0.9</v>
      </c>
      <c r="K159" s="82"/>
      <c r="L159" s="82"/>
    </row>
    <row r="160" spans="1:12" ht="14.4" customHeight="1">
      <c r="A160" s="253"/>
      <c r="B160" s="244"/>
      <c r="C160" s="245"/>
      <c r="D160" s="78"/>
      <c r="E160" s="113"/>
      <c r="F160" s="114" t="s">
        <v>1253</v>
      </c>
      <c r="G160" s="107"/>
      <c r="H160" s="108">
        <v>0.33333333333333298</v>
      </c>
      <c r="I160" s="109">
        <f t="shared" si="4"/>
        <v>1</v>
      </c>
      <c r="J160" s="109">
        <v>0.9</v>
      </c>
      <c r="K160" s="82"/>
      <c r="L160" s="82"/>
    </row>
    <row r="161" spans="1:12" ht="14.4" customHeight="1">
      <c r="A161" s="253"/>
      <c r="B161" s="244"/>
      <c r="C161" s="248" t="s">
        <v>1197</v>
      </c>
      <c r="D161" s="132"/>
      <c r="E161" s="158"/>
      <c r="F161" s="125" t="s">
        <v>1251</v>
      </c>
      <c r="G161" s="126"/>
      <c r="H161" s="127">
        <v>0.33333333333333298</v>
      </c>
      <c r="I161" s="109">
        <f t="shared" si="4"/>
        <v>1</v>
      </c>
      <c r="J161" s="134">
        <v>0.9</v>
      </c>
      <c r="K161" s="135"/>
      <c r="L161" s="137"/>
    </row>
    <row r="162" spans="1:12" ht="14.4" customHeight="1">
      <c r="A162" s="253"/>
      <c r="B162" s="244"/>
      <c r="C162" s="249"/>
      <c r="D162" s="132"/>
      <c r="E162" s="158"/>
      <c r="F162" s="129" t="s">
        <v>1252</v>
      </c>
      <c r="G162" s="126"/>
      <c r="H162" s="127">
        <v>0.33333333333333298</v>
      </c>
      <c r="I162" s="109">
        <f t="shared" si="4"/>
        <v>1</v>
      </c>
      <c r="J162" s="134">
        <v>0.9</v>
      </c>
      <c r="K162" s="135"/>
      <c r="L162" s="136"/>
    </row>
    <row r="163" spans="1:12" ht="15" customHeight="1" thickBot="1">
      <c r="A163" s="253"/>
      <c r="B163" s="245"/>
      <c r="C163" s="250"/>
      <c r="D163" s="132"/>
      <c r="E163" s="133"/>
      <c r="F163" s="128" t="s">
        <v>1253</v>
      </c>
      <c r="G163" s="126"/>
      <c r="H163" s="131">
        <v>0.33333333333333298</v>
      </c>
      <c r="I163" s="115">
        <f t="shared" si="4"/>
        <v>1</v>
      </c>
      <c r="J163" s="134">
        <v>0.9</v>
      </c>
      <c r="K163" s="135"/>
      <c r="L163" s="136"/>
    </row>
    <row r="164" spans="1:12" ht="14.4" customHeight="1">
      <c r="A164" s="253"/>
      <c r="B164" s="251"/>
      <c r="C164" s="243" t="s">
        <v>1198</v>
      </c>
      <c r="D164" s="78"/>
      <c r="E164" s="159"/>
      <c r="F164" s="111" t="s">
        <v>1251</v>
      </c>
      <c r="G164" s="107"/>
      <c r="H164" s="108">
        <v>0.33333333333333331</v>
      </c>
      <c r="I164" s="109">
        <f>1-(G165/H164)</f>
        <v>1</v>
      </c>
      <c r="J164" s="109">
        <v>0.9</v>
      </c>
      <c r="K164" s="82"/>
      <c r="L164" s="112"/>
    </row>
    <row r="165" spans="1:12" ht="14.4" customHeight="1">
      <c r="A165" s="253"/>
      <c r="B165" s="244"/>
      <c r="C165" s="244"/>
      <c r="D165" s="78"/>
      <c r="E165" s="159"/>
      <c r="F165" s="106" t="s">
        <v>1252</v>
      </c>
      <c r="G165" s="107"/>
      <c r="H165" s="108">
        <v>0.33333333333333331</v>
      </c>
      <c r="I165" s="109">
        <f>1-(G166/H165)</f>
        <v>1</v>
      </c>
      <c r="J165" s="109">
        <v>0.9</v>
      </c>
      <c r="K165" s="82"/>
      <c r="L165" s="82"/>
    </row>
    <row r="166" spans="1:12" ht="14.4" customHeight="1">
      <c r="A166" s="253"/>
      <c r="B166" s="244"/>
      <c r="C166" s="245"/>
      <c r="D166" s="78"/>
      <c r="E166" s="113"/>
      <c r="F166" s="114" t="s">
        <v>1253</v>
      </c>
      <c r="G166" s="107"/>
      <c r="H166" s="108">
        <v>0.33333333333333298</v>
      </c>
      <c r="I166" s="109">
        <f t="shared" si="4"/>
        <v>1</v>
      </c>
      <c r="J166" s="109">
        <v>0.9</v>
      </c>
      <c r="K166" s="82"/>
      <c r="L166" s="82"/>
    </row>
    <row r="167" spans="1:12" ht="14.4" customHeight="1">
      <c r="A167" s="253"/>
      <c r="B167" s="244"/>
      <c r="C167" s="248" t="s">
        <v>1196</v>
      </c>
      <c r="D167" s="132"/>
      <c r="E167" s="158"/>
      <c r="F167" s="125" t="s">
        <v>1251</v>
      </c>
      <c r="G167" s="126"/>
      <c r="H167" s="127">
        <v>0.33333333333333298</v>
      </c>
      <c r="I167" s="109">
        <f t="shared" si="4"/>
        <v>1</v>
      </c>
      <c r="J167" s="134">
        <v>0.9</v>
      </c>
      <c r="K167" s="135"/>
      <c r="L167" s="137"/>
    </row>
    <row r="168" spans="1:12" ht="14.4" customHeight="1">
      <c r="A168" s="253"/>
      <c r="B168" s="244"/>
      <c r="C168" s="249"/>
      <c r="D168" s="132"/>
      <c r="E168" s="158"/>
      <c r="F168" s="129" t="s">
        <v>1252</v>
      </c>
      <c r="G168" s="126"/>
      <c r="H168" s="127">
        <v>0.33333333333333331</v>
      </c>
      <c r="I168" s="109">
        <f t="shared" si="4"/>
        <v>1</v>
      </c>
      <c r="J168" s="134">
        <v>0.9</v>
      </c>
      <c r="K168" s="135"/>
      <c r="L168" s="136"/>
    </row>
    <row r="169" spans="1:12" ht="14.4" customHeight="1">
      <c r="A169" s="253"/>
      <c r="B169" s="244"/>
      <c r="C169" s="250"/>
      <c r="D169" s="132"/>
      <c r="E169" s="133"/>
      <c r="F169" s="128" t="s">
        <v>1253</v>
      </c>
      <c r="G169" s="127"/>
      <c r="H169" s="127">
        <v>0.33333333333333298</v>
      </c>
      <c r="I169" s="109">
        <f t="shared" si="4"/>
        <v>1</v>
      </c>
      <c r="J169" s="134">
        <v>0.9</v>
      </c>
      <c r="K169" s="133"/>
      <c r="L169" s="136"/>
    </row>
    <row r="170" spans="1:12" ht="14.4" customHeight="1">
      <c r="A170" s="253"/>
      <c r="B170" s="244"/>
      <c r="C170" s="243" t="s">
        <v>1197</v>
      </c>
      <c r="D170" s="78"/>
      <c r="E170" s="159"/>
      <c r="F170" s="111" t="s">
        <v>1251</v>
      </c>
      <c r="G170" s="107"/>
      <c r="H170" s="108">
        <v>0.33333333333333298</v>
      </c>
      <c r="I170" s="109">
        <f t="shared" si="4"/>
        <v>1</v>
      </c>
      <c r="J170" s="109">
        <v>0.9</v>
      </c>
      <c r="K170" s="82"/>
      <c r="L170" s="112"/>
    </row>
    <row r="171" spans="1:12" ht="14.4" customHeight="1">
      <c r="A171" s="253"/>
      <c r="B171" s="244"/>
      <c r="C171" s="244"/>
      <c r="D171" s="78"/>
      <c r="E171" s="159"/>
      <c r="F171" s="106" t="s">
        <v>1252</v>
      </c>
      <c r="G171" s="107"/>
      <c r="H171" s="108">
        <v>0.33333333333333298</v>
      </c>
      <c r="I171" s="109">
        <f t="shared" si="4"/>
        <v>1</v>
      </c>
      <c r="J171" s="109">
        <v>0.9</v>
      </c>
      <c r="K171" s="82"/>
      <c r="L171" s="82"/>
    </row>
    <row r="172" spans="1:12" ht="15" customHeight="1" thickBot="1">
      <c r="A172" s="253"/>
      <c r="B172" s="245"/>
      <c r="C172" s="245"/>
      <c r="D172" s="78"/>
      <c r="E172" s="113"/>
      <c r="F172" s="114" t="s">
        <v>1253</v>
      </c>
      <c r="G172" s="108"/>
      <c r="H172" s="108">
        <v>0.33333333333333298</v>
      </c>
      <c r="I172" s="109">
        <f t="shared" si="4"/>
        <v>1</v>
      </c>
      <c r="J172" s="109">
        <v>0.9</v>
      </c>
      <c r="K172" s="82"/>
      <c r="L172" s="82"/>
    </row>
    <row r="173" spans="1:12" ht="14.4" customHeight="1">
      <c r="A173" s="253"/>
      <c r="B173" s="251"/>
      <c r="C173" s="248" t="s">
        <v>1198</v>
      </c>
      <c r="D173" s="132"/>
      <c r="E173" s="158"/>
      <c r="F173" s="125" t="s">
        <v>1251</v>
      </c>
      <c r="G173" s="126"/>
      <c r="H173" s="127">
        <v>0.33333333333333298</v>
      </c>
      <c r="I173" s="109">
        <f t="shared" si="4"/>
        <v>1</v>
      </c>
      <c r="J173" s="134">
        <v>0.9</v>
      </c>
      <c r="K173" s="135"/>
      <c r="L173" s="137"/>
    </row>
    <row r="174" spans="1:12" ht="14.4" customHeight="1">
      <c r="A174" s="253"/>
      <c r="B174" s="244"/>
      <c r="C174" s="249"/>
      <c r="D174" s="132"/>
      <c r="E174" s="158"/>
      <c r="F174" s="129" t="s">
        <v>1252</v>
      </c>
      <c r="G174" s="126"/>
      <c r="H174" s="127">
        <v>0.33333333333333298</v>
      </c>
      <c r="I174" s="109">
        <f t="shared" si="4"/>
        <v>1</v>
      </c>
      <c r="J174" s="134">
        <v>0.9</v>
      </c>
      <c r="K174" s="135"/>
      <c r="L174" s="136"/>
    </row>
    <row r="175" spans="1:12" ht="14.4" customHeight="1">
      <c r="A175" s="253"/>
      <c r="B175" s="244"/>
      <c r="C175" s="250"/>
      <c r="D175" s="132"/>
      <c r="E175" s="133"/>
      <c r="F175" s="128" t="s">
        <v>1253</v>
      </c>
      <c r="G175" s="127"/>
      <c r="H175" s="127">
        <v>0.33333333333333298</v>
      </c>
      <c r="I175" s="109">
        <f t="shared" si="4"/>
        <v>1</v>
      </c>
      <c r="J175" s="134">
        <v>0.9</v>
      </c>
      <c r="K175" s="133"/>
      <c r="L175" s="136"/>
    </row>
    <row r="176" spans="1:12" ht="14.4" customHeight="1">
      <c r="A176" s="253"/>
      <c r="B176" s="244"/>
      <c r="C176" s="243" t="s">
        <v>1196</v>
      </c>
      <c r="D176" s="78"/>
      <c r="E176" s="159"/>
      <c r="F176" s="111" t="s">
        <v>1251</v>
      </c>
      <c r="G176" s="108"/>
      <c r="H176" s="108">
        <v>0.33333333333333298</v>
      </c>
      <c r="I176" s="109">
        <f t="shared" si="4"/>
        <v>1</v>
      </c>
      <c r="J176" s="109">
        <v>0.9</v>
      </c>
      <c r="K176" s="112"/>
      <c r="L176" s="112"/>
    </row>
    <row r="177" spans="1:12" ht="14.4" customHeight="1">
      <c r="A177" s="253"/>
      <c r="B177" s="244"/>
      <c r="C177" s="244"/>
      <c r="D177" s="78"/>
      <c r="E177" s="159"/>
      <c r="F177" s="106" t="s">
        <v>1252</v>
      </c>
      <c r="G177" s="108"/>
      <c r="H177" s="108">
        <v>0.33333333333333298</v>
      </c>
      <c r="I177" s="109">
        <f t="shared" si="4"/>
        <v>1</v>
      </c>
      <c r="J177" s="109">
        <v>0.9</v>
      </c>
      <c r="K177" s="112"/>
      <c r="L177" s="82"/>
    </row>
    <row r="178" spans="1:12" ht="14.4" customHeight="1">
      <c r="A178" s="253"/>
      <c r="B178" s="244"/>
      <c r="C178" s="245"/>
      <c r="D178" s="78"/>
      <c r="E178" s="113"/>
      <c r="F178" s="114" t="s">
        <v>1253</v>
      </c>
      <c r="G178" s="108"/>
      <c r="H178" s="108">
        <v>0.33333333333333298</v>
      </c>
      <c r="I178" s="109">
        <f t="shared" si="4"/>
        <v>1</v>
      </c>
      <c r="J178" s="109">
        <v>0.9</v>
      </c>
      <c r="K178" s="82"/>
      <c r="L178" s="82"/>
    </row>
    <row r="179" spans="1:12" ht="14.4" customHeight="1">
      <c r="A179" s="253"/>
      <c r="B179" s="244"/>
      <c r="C179" s="248" t="s">
        <v>1197</v>
      </c>
      <c r="D179" s="132"/>
      <c r="E179" s="158"/>
      <c r="F179" s="125" t="s">
        <v>1251</v>
      </c>
      <c r="G179" s="127"/>
      <c r="H179" s="127">
        <v>0.33333333333333298</v>
      </c>
      <c r="I179" s="109">
        <f t="shared" si="4"/>
        <v>1</v>
      </c>
      <c r="J179" s="134">
        <v>0.9</v>
      </c>
      <c r="K179" s="133"/>
      <c r="L179" s="137"/>
    </row>
    <row r="180" spans="1:12" ht="14.4" customHeight="1">
      <c r="A180" s="253"/>
      <c r="B180" s="244"/>
      <c r="C180" s="249"/>
      <c r="D180" s="132"/>
      <c r="E180" s="158"/>
      <c r="F180" s="129" t="s">
        <v>1252</v>
      </c>
      <c r="G180" s="127"/>
      <c r="H180" s="127">
        <v>0.33333333333333298</v>
      </c>
      <c r="I180" s="109">
        <f t="shared" si="4"/>
        <v>1</v>
      </c>
      <c r="J180" s="134">
        <v>0.9</v>
      </c>
      <c r="K180" s="133"/>
      <c r="L180" s="136"/>
    </row>
    <row r="181" spans="1:12" ht="15" customHeight="1" thickBot="1">
      <c r="A181" s="253"/>
      <c r="B181" s="245"/>
      <c r="C181" s="250"/>
      <c r="D181" s="132"/>
      <c r="E181" s="133"/>
      <c r="F181" s="128" t="s">
        <v>1253</v>
      </c>
      <c r="G181" s="127"/>
      <c r="H181" s="127">
        <v>0.33333333333333298</v>
      </c>
      <c r="I181" s="109">
        <f t="shared" si="4"/>
        <v>1</v>
      </c>
      <c r="J181" s="134">
        <v>0.9</v>
      </c>
      <c r="K181" s="133"/>
      <c r="L181" s="136"/>
    </row>
    <row r="182" spans="1:12" ht="14.4" customHeight="1">
      <c r="A182" s="253"/>
      <c r="B182" s="251"/>
      <c r="C182" s="243" t="s">
        <v>1198</v>
      </c>
      <c r="D182" s="78"/>
      <c r="E182" s="159"/>
      <c r="F182" s="111" t="s">
        <v>1251</v>
      </c>
      <c r="G182" s="107"/>
      <c r="H182" s="108">
        <v>0.33333333333333298</v>
      </c>
      <c r="I182" s="109">
        <f t="shared" si="4"/>
        <v>1</v>
      </c>
      <c r="J182" s="109">
        <v>0.9</v>
      </c>
      <c r="K182" s="82"/>
      <c r="L182" s="112"/>
    </row>
    <row r="183" spans="1:12" ht="14.4" customHeight="1">
      <c r="A183" s="253"/>
      <c r="B183" s="244"/>
      <c r="C183" s="244"/>
      <c r="D183" s="78"/>
      <c r="E183" s="159"/>
      <c r="F183" s="106" t="s">
        <v>1252</v>
      </c>
      <c r="G183" s="107"/>
      <c r="H183" s="108">
        <v>0.33333333333333298</v>
      </c>
      <c r="I183" s="109">
        <f t="shared" si="4"/>
        <v>1</v>
      </c>
      <c r="J183" s="109">
        <v>0.9</v>
      </c>
      <c r="K183" s="82"/>
      <c r="L183" s="82"/>
    </row>
    <row r="184" spans="1:12" ht="14.4" customHeight="1">
      <c r="A184" s="253"/>
      <c r="B184" s="244"/>
      <c r="C184" s="245"/>
      <c r="D184" s="78"/>
      <c r="E184" s="113"/>
      <c r="F184" s="114" t="s">
        <v>1253</v>
      </c>
      <c r="G184" s="107"/>
      <c r="H184" s="108">
        <v>0.33333333333333331</v>
      </c>
      <c r="I184" s="109">
        <f t="shared" si="4"/>
        <v>1</v>
      </c>
      <c r="J184" s="109">
        <v>0.9</v>
      </c>
      <c r="K184" s="82"/>
      <c r="L184" s="82"/>
    </row>
    <row r="185" spans="1:12" ht="14.4" customHeight="1">
      <c r="A185" s="253"/>
      <c r="B185" s="244"/>
      <c r="C185" s="248" t="s">
        <v>1196</v>
      </c>
      <c r="D185" s="132"/>
      <c r="E185" s="158"/>
      <c r="F185" s="125" t="s">
        <v>1251</v>
      </c>
      <c r="G185" s="126"/>
      <c r="H185" s="127">
        <v>0.33333333333333298</v>
      </c>
      <c r="I185" s="109">
        <f t="shared" si="4"/>
        <v>1</v>
      </c>
      <c r="J185" s="134">
        <v>0.9</v>
      </c>
      <c r="K185" s="135"/>
      <c r="L185" s="137"/>
    </row>
    <row r="186" spans="1:12" ht="14.4" customHeight="1">
      <c r="A186" s="253"/>
      <c r="B186" s="244"/>
      <c r="C186" s="249"/>
      <c r="D186" s="132"/>
      <c r="E186" s="158"/>
      <c r="F186" s="129" t="s">
        <v>1252</v>
      </c>
      <c r="G186" s="126"/>
      <c r="H186" s="127">
        <v>0.33333333333333298</v>
      </c>
      <c r="I186" s="109">
        <f t="shared" si="4"/>
        <v>1</v>
      </c>
      <c r="J186" s="134">
        <v>0.9</v>
      </c>
      <c r="K186" s="135"/>
      <c r="L186" s="136"/>
    </row>
    <row r="187" spans="1:12" ht="14.4" customHeight="1">
      <c r="A187" s="253"/>
      <c r="B187" s="244"/>
      <c r="C187" s="250"/>
      <c r="D187" s="132"/>
      <c r="E187" s="133"/>
      <c r="F187" s="128" t="s">
        <v>1253</v>
      </c>
      <c r="G187" s="126"/>
      <c r="H187" s="127">
        <v>0.33333333333333298</v>
      </c>
      <c r="I187" s="109">
        <f t="shared" si="4"/>
        <v>1</v>
      </c>
      <c r="J187" s="134">
        <v>0.9</v>
      </c>
      <c r="K187" s="133"/>
      <c r="L187" s="136"/>
    </row>
    <row r="188" spans="1:12" ht="14.4" customHeight="1">
      <c r="A188" s="253"/>
      <c r="B188" s="244"/>
      <c r="C188" s="243" t="s">
        <v>1197</v>
      </c>
      <c r="D188" s="78"/>
      <c r="E188" s="159"/>
      <c r="F188" s="111" t="s">
        <v>1251</v>
      </c>
      <c r="G188" s="107"/>
      <c r="H188" s="108">
        <v>0.33333333333333298</v>
      </c>
      <c r="I188" s="109">
        <f t="shared" si="4"/>
        <v>1</v>
      </c>
      <c r="J188" s="109">
        <v>0.9</v>
      </c>
      <c r="K188" s="82"/>
      <c r="L188" s="82"/>
    </row>
    <row r="189" spans="1:12" ht="14.4" customHeight="1">
      <c r="A189" s="253"/>
      <c r="B189" s="244"/>
      <c r="C189" s="244"/>
      <c r="D189" s="78"/>
      <c r="E189" s="159"/>
      <c r="F189" s="106" t="s">
        <v>1252</v>
      </c>
      <c r="G189" s="107"/>
      <c r="H189" s="108">
        <v>0.33333333333333298</v>
      </c>
      <c r="I189" s="109">
        <f t="shared" si="4"/>
        <v>1</v>
      </c>
      <c r="J189" s="109">
        <v>0.9</v>
      </c>
      <c r="K189" s="82"/>
      <c r="L189" s="82"/>
    </row>
    <row r="190" spans="1:12" ht="14.4" customHeight="1" thickBot="1">
      <c r="A190" s="253"/>
      <c r="B190" s="245"/>
      <c r="C190" s="245"/>
      <c r="D190" s="78"/>
      <c r="E190" s="113"/>
      <c r="F190" s="114" t="s">
        <v>1253</v>
      </c>
      <c r="G190" s="107"/>
      <c r="H190" s="123">
        <v>0.33333333333333298</v>
      </c>
      <c r="I190" s="109">
        <f t="shared" si="4"/>
        <v>1</v>
      </c>
      <c r="J190" s="109">
        <v>0.9</v>
      </c>
      <c r="K190" s="82"/>
      <c r="L190" s="82"/>
    </row>
    <row r="191" spans="1:12" ht="14.4" customHeight="1">
      <c r="A191" s="253"/>
      <c r="B191" s="251"/>
      <c r="C191" s="243" t="s">
        <v>1198</v>
      </c>
      <c r="D191" s="78"/>
      <c r="E191" s="159"/>
      <c r="F191" s="111" t="s">
        <v>1251</v>
      </c>
      <c r="G191" s="107"/>
      <c r="H191" s="108">
        <v>0.33333333333333298</v>
      </c>
      <c r="I191" s="109">
        <f t="shared" si="4"/>
        <v>1</v>
      </c>
      <c r="J191" s="109">
        <v>0.9</v>
      </c>
      <c r="K191" s="82"/>
      <c r="L191" s="112"/>
    </row>
    <row r="192" spans="1:12" ht="14.4" customHeight="1">
      <c r="A192" s="253"/>
      <c r="B192" s="244"/>
      <c r="C192" s="244"/>
      <c r="D192" s="78"/>
      <c r="E192" s="159"/>
      <c r="F192" s="106" t="s">
        <v>1252</v>
      </c>
      <c r="G192" s="107"/>
      <c r="H192" s="108">
        <v>0.33333333333333298</v>
      </c>
      <c r="I192" s="109">
        <f t="shared" si="4"/>
        <v>1</v>
      </c>
      <c r="J192" s="109">
        <v>0.9</v>
      </c>
      <c r="K192" s="82"/>
      <c r="L192" s="82"/>
    </row>
    <row r="193" spans="1:12" ht="14.4" customHeight="1">
      <c r="A193" s="253"/>
      <c r="B193" s="244"/>
      <c r="C193" s="245"/>
      <c r="D193" s="78"/>
      <c r="E193" s="113"/>
      <c r="F193" s="114" t="s">
        <v>1253</v>
      </c>
      <c r="G193" s="107"/>
      <c r="H193" s="108">
        <v>0.33333333333333298</v>
      </c>
      <c r="I193" s="109">
        <f t="shared" si="4"/>
        <v>1</v>
      </c>
      <c r="J193" s="109">
        <v>0.9</v>
      </c>
      <c r="K193" s="82"/>
      <c r="L193" s="82"/>
    </row>
    <row r="194" spans="1:12" ht="14.4" customHeight="1">
      <c r="A194" s="253"/>
      <c r="B194" s="244"/>
      <c r="C194" s="248" t="s">
        <v>1196</v>
      </c>
      <c r="D194" s="132"/>
      <c r="E194" s="158"/>
      <c r="F194" s="125" t="s">
        <v>1251</v>
      </c>
      <c r="G194" s="126"/>
      <c r="H194" s="127">
        <v>0.33333333333333298</v>
      </c>
      <c r="I194" s="109">
        <f t="shared" si="4"/>
        <v>1</v>
      </c>
      <c r="J194" s="134">
        <v>0.9</v>
      </c>
      <c r="K194" s="135"/>
      <c r="L194" s="137"/>
    </row>
    <row r="195" spans="1:12" ht="14.4" customHeight="1">
      <c r="A195" s="253"/>
      <c r="B195" s="244"/>
      <c r="C195" s="249"/>
      <c r="D195" s="132"/>
      <c r="E195" s="158"/>
      <c r="F195" s="129" t="s">
        <v>1252</v>
      </c>
      <c r="G195" s="126"/>
      <c r="H195" s="127">
        <v>0.33333333333333298</v>
      </c>
      <c r="I195" s="109">
        <f t="shared" si="4"/>
        <v>1</v>
      </c>
      <c r="J195" s="134">
        <v>0.9</v>
      </c>
      <c r="K195" s="135"/>
      <c r="L195" s="136"/>
    </row>
    <row r="196" spans="1:12" ht="14.4" customHeight="1">
      <c r="A196" s="253"/>
      <c r="B196" s="244"/>
      <c r="C196" s="250"/>
      <c r="D196" s="132"/>
      <c r="E196" s="133"/>
      <c r="F196" s="128" t="s">
        <v>1253</v>
      </c>
      <c r="G196" s="126"/>
      <c r="H196" s="127">
        <v>0.33333333333333298</v>
      </c>
      <c r="I196" s="109">
        <f t="shared" si="4"/>
        <v>1</v>
      </c>
      <c r="J196" s="134">
        <v>0.9</v>
      </c>
      <c r="K196" s="133"/>
      <c r="L196" s="136"/>
    </row>
    <row r="197" spans="1:12" ht="14.4" customHeight="1">
      <c r="A197" s="253"/>
      <c r="B197" s="244"/>
      <c r="C197" s="243" t="s">
        <v>1197</v>
      </c>
      <c r="D197" s="78"/>
      <c r="E197" s="159"/>
      <c r="F197" s="111" t="s">
        <v>1251</v>
      </c>
      <c r="G197" s="107"/>
      <c r="H197" s="108">
        <v>0.33333333333333298</v>
      </c>
      <c r="I197" s="109">
        <f t="shared" si="4"/>
        <v>1</v>
      </c>
      <c r="J197" s="109">
        <v>0.9</v>
      </c>
      <c r="K197" s="82"/>
      <c r="L197" s="82"/>
    </row>
    <row r="198" spans="1:12" ht="14.4" customHeight="1">
      <c r="A198" s="253"/>
      <c r="B198" s="244"/>
      <c r="C198" s="244"/>
      <c r="D198" s="78"/>
      <c r="E198" s="159"/>
      <c r="F198" s="106" t="s">
        <v>1252</v>
      </c>
      <c r="G198" s="107"/>
      <c r="H198" s="108">
        <v>0.33333333333333298</v>
      </c>
      <c r="I198" s="109">
        <f t="shared" si="4"/>
        <v>1</v>
      </c>
      <c r="J198" s="109">
        <v>0.9</v>
      </c>
      <c r="K198" s="82"/>
      <c r="L198" s="82"/>
    </row>
    <row r="199" spans="1:12" ht="14.4" customHeight="1" thickBot="1">
      <c r="A199" s="253"/>
      <c r="B199" s="245"/>
      <c r="C199" s="245"/>
      <c r="D199" s="78"/>
      <c r="E199" s="113"/>
      <c r="F199" s="114" t="s">
        <v>1253</v>
      </c>
      <c r="G199" s="107"/>
      <c r="H199" s="123">
        <v>0.33333333333333298</v>
      </c>
      <c r="I199" s="109">
        <f t="shared" si="4"/>
        <v>1</v>
      </c>
      <c r="J199" s="109">
        <v>0.9</v>
      </c>
      <c r="K199" s="82"/>
      <c r="L199" s="82"/>
    </row>
    <row r="200" spans="1:12" ht="14.4" customHeight="1">
      <c r="A200" s="253"/>
      <c r="B200" s="251"/>
      <c r="C200" s="243" t="s">
        <v>1198</v>
      </c>
      <c r="D200" s="78"/>
      <c r="E200" s="159"/>
      <c r="F200" s="111" t="s">
        <v>1251</v>
      </c>
      <c r="G200" s="107"/>
      <c r="H200" s="108">
        <v>0.33333333333333298</v>
      </c>
      <c r="I200" s="109">
        <f t="shared" si="4"/>
        <v>1</v>
      </c>
      <c r="J200" s="109">
        <v>0.9</v>
      </c>
      <c r="K200" s="82"/>
      <c r="L200" s="112"/>
    </row>
    <row r="201" spans="1:12" ht="14.4" customHeight="1">
      <c r="A201" s="253"/>
      <c r="B201" s="244"/>
      <c r="C201" s="244"/>
      <c r="D201" s="78"/>
      <c r="E201" s="159"/>
      <c r="F201" s="106" t="s">
        <v>1252</v>
      </c>
      <c r="G201" s="107"/>
      <c r="H201" s="108">
        <v>0.33333333333333298</v>
      </c>
      <c r="I201" s="109">
        <f t="shared" si="4"/>
        <v>1</v>
      </c>
      <c r="J201" s="109">
        <v>0.9</v>
      </c>
      <c r="K201" s="82"/>
      <c r="L201" s="82"/>
    </row>
    <row r="202" spans="1:12" ht="14.4" customHeight="1">
      <c r="A202" s="253"/>
      <c r="B202" s="244"/>
      <c r="C202" s="245"/>
      <c r="D202" s="78"/>
      <c r="E202" s="113"/>
      <c r="F202" s="114" t="s">
        <v>1253</v>
      </c>
      <c r="G202" s="107"/>
      <c r="H202" s="108">
        <v>0.33333333333333298</v>
      </c>
      <c r="I202" s="109">
        <f t="shared" si="4"/>
        <v>1</v>
      </c>
      <c r="J202" s="109">
        <v>0.9</v>
      </c>
      <c r="K202" s="82"/>
      <c r="L202" s="82"/>
    </row>
    <row r="203" spans="1:12" ht="14.4" customHeight="1">
      <c r="A203" s="253"/>
      <c r="B203" s="244"/>
      <c r="C203" s="248" t="s">
        <v>1196</v>
      </c>
      <c r="D203" s="132"/>
      <c r="E203" s="158"/>
      <c r="F203" s="125" t="s">
        <v>1251</v>
      </c>
      <c r="G203" s="126"/>
      <c r="H203" s="127">
        <v>0.33333333333333298</v>
      </c>
      <c r="I203" s="109">
        <f t="shared" si="4"/>
        <v>1</v>
      </c>
      <c r="J203" s="134">
        <v>0.9</v>
      </c>
      <c r="K203" s="135"/>
      <c r="L203" s="137"/>
    </row>
    <row r="204" spans="1:12" ht="14.4" customHeight="1">
      <c r="A204" s="253"/>
      <c r="B204" s="244"/>
      <c r="C204" s="249"/>
      <c r="D204" s="132"/>
      <c r="E204" s="158"/>
      <c r="F204" s="129" t="s">
        <v>1252</v>
      </c>
      <c r="G204" s="126"/>
      <c r="H204" s="127">
        <v>0.33333333333333298</v>
      </c>
      <c r="I204" s="109">
        <f t="shared" si="4"/>
        <v>1</v>
      </c>
      <c r="J204" s="134">
        <v>0.9</v>
      </c>
      <c r="K204" s="135"/>
      <c r="L204" s="136"/>
    </row>
    <row r="205" spans="1:12" ht="14.4" customHeight="1">
      <c r="A205" s="253"/>
      <c r="B205" s="244"/>
      <c r="C205" s="250"/>
      <c r="D205" s="132"/>
      <c r="E205" s="133"/>
      <c r="F205" s="128" t="s">
        <v>1253</v>
      </c>
      <c r="G205" s="126"/>
      <c r="H205" s="127">
        <v>0.33333333333333298</v>
      </c>
      <c r="I205" s="109">
        <f t="shared" si="4"/>
        <v>1</v>
      </c>
      <c r="J205" s="134">
        <v>0.9</v>
      </c>
      <c r="K205" s="133"/>
      <c r="L205" s="136"/>
    </row>
    <row r="206" spans="1:12" ht="14.4" customHeight="1">
      <c r="A206" s="253"/>
      <c r="B206" s="244"/>
      <c r="C206" s="243" t="s">
        <v>1197</v>
      </c>
      <c r="D206" s="78"/>
      <c r="E206" s="159"/>
      <c r="F206" s="111" t="s">
        <v>1251</v>
      </c>
      <c r="G206" s="107"/>
      <c r="H206" s="108">
        <v>0.33333333333333298</v>
      </c>
      <c r="I206" s="109">
        <f t="shared" si="4"/>
        <v>1</v>
      </c>
      <c r="J206" s="109">
        <v>0.9</v>
      </c>
      <c r="K206" s="82"/>
      <c r="L206" s="82"/>
    </row>
    <row r="207" spans="1:12" ht="14.4" customHeight="1">
      <c r="A207" s="253"/>
      <c r="B207" s="244"/>
      <c r="C207" s="244"/>
      <c r="D207" s="78"/>
      <c r="E207" s="159"/>
      <c r="F207" s="106" t="s">
        <v>1252</v>
      </c>
      <c r="G207" s="107"/>
      <c r="H207" s="108">
        <v>0.33333333333333298</v>
      </c>
      <c r="I207" s="109">
        <f t="shared" si="4"/>
        <v>1</v>
      </c>
      <c r="J207" s="109">
        <v>0.9</v>
      </c>
      <c r="K207" s="82"/>
      <c r="L207" s="82"/>
    </row>
    <row r="208" spans="1:12" ht="14.4" customHeight="1">
      <c r="A208" s="253"/>
      <c r="B208" s="245"/>
      <c r="C208" s="245"/>
      <c r="D208" s="78"/>
      <c r="E208" s="113"/>
      <c r="F208" s="114" t="s">
        <v>1253</v>
      </c>
      <c r="G208" s="107"/>
      <c r="H208" s="123">
        <v>0.33333333333333298</v>
      </c>
      <c r="I208" s="109">
        <f t="shared" si="4"/>
        <v>1</v>
      </c>
      <c r="J208" s="109">
        <v>0.9</v>
      </c>
      <c r="K208" s="82"/>
      <c r="L208" s="82"/>
    </row>
    <row r="209" spans="1:12" ht="14.4" customHeight="1">
      <c r="A209" s="253"/>
      <c r="B209" s="117"/>
      <c r="C209" s="117"/>
      <c r="D209" s="118"/>
      <c r="E209" s="118"/>
      <c r="F209" s="119" t="s">
        <v>1251</v>
      </c>
      <c r="G209" s="124"/>
      <c r="H209" s="124"/>
      <c r="I209" s="120">
        <f>AVERAGEIF(F146:F208,F209,I146:I208)</f>
        <v>1</v>
      </c>
      <c r="J209" s="121">
        <v>0.9</v>
      </c>
      <c r="K209" s="118"/>
      <c r="L209" s="116"/>
    </row>
    <row r="210" spans="1:12" ht="14.4" customHeight="1">
      <c r="A210" s="253"/>
      <c r="B210" s="117"/>
      <c r="C210" s="117"/>
      <c r="D210" s="118"/>
      <c r="E210" s="118"/>
      <c r="F210" s="119" t="s">
        <v>1252</v>
      </c>
      <c r="G210" s="124"/>
      <c r="H210" s="124"/>
      <c r="I210" s="120">
        <f>AVERAGEIF(F146:F208,F210,I146:I208)</f>
        <v>1</v>
      </c>
      <c r="J210" s="121">
        <v>0.9</v>
      </c>
      <c r="K210" s="118"/>
      <c r="L210" s="116"/>
    </row>
    <row r="211" spans="1:12" ht="14.4" customHeight="1" thickBot="1">
      <c r="A211" s="253"/>
      <c r="B211" s="117"/>
      <c r="C211" s="117"/>
      <c r="D211" s="118"/>
      <c r="E211" s="118"/>
      <c r="F211" s="119" t="s">
        <v>1253</v>
      </c>
      <c r="G211" s="124"/>
      <c r="H211" s="124"/>
      <c r="I211" s="120">
        <f>AVERAGEIF(F146:F208,F211,I146:I208)</f>
        <v>1</v>
      </c>
      <c r="J211" s="121">
        <v>0.9</v>
      </c>
      <c r="K211" s="118"/>
      <c r="L211" s="116"/>
    </row>
    <row r="212" spans="1:12">
      <c r="A212" s="252"/>
      <c r="B212" s="251"/>
      <c r="C212" s="243" t="s">
        <v>1198</v>
      </c>
      <c r="D212" s="110"/>
      <c r="E212" s="156"/>
      <c r="F212" s="111" t="s">
        <v>1251</v>
      </c>
      <c r="G212" s="107"/>
      <c r="H212" s="108">
        <v>0.33333333333333331</v>
      </c>
      <c r="I212" s="109">
        <f>1-(G212/H212)</f>
        <v>1</v>
      </c>
      <c r="J212" s="109">
        <v>0.9</v>
      </c>
      <c r="K212" s="82"/>
      <c r="L212" s="82"/>
    </row>
    <row r="213" spans="1:12">
      <c r="A213" s="253"/>
      <c r="B213" s="244"/>
      <c r="C213" s="244"/>
      <c r="D213" s="110"/>
      <c r="E213" s="156"/>
      <c r="F213" s="111" t="s">
        <v>1252</v>
      </c>
      <c r="G213" s="107"/>
      <c r="H213" s="108">
        <v>0.33333333333333331</v>
      </c>
      <c r="I213" s="109">
        <f>1-(G213/H213)</f>
        <v>1</v>
      </c>
      <c r="J213" s="109">
        <v>0.9</v>
      </c>
      <c r="K213" s="82"/>
      <c r="L213" s="82"/>
    </row>
    <row r="214" spans="1:12">
      <c r="A214" s="253"/>
      <c r="B214" s="244"/>
      <c r="C214" s="245"/>
      <c r="D214" s="110"/>
      <c r="E214" s="157"/>
      <c r="F214" s="114" t="s">
        <v>1253</v>
      </c>
      <c r="G214" s="107"/>
      <c r="H214" s="108">
        <v>0.33333333333333298</v>
      </c>
      <c r="I214" s="109">
        <f t="shared" ref="I214:I274" si="5">1-(G214/H214)</f>
        <v>1</v>
      </c>
      <c r="J214" s="109">
        <v>0.9</v>
      </c>
      <c r="K214" s="82"/>
      <c r="L214" s="82"/>
    </row>
    <row r="215" spans="1:12">
      <c r="A215" s="253"/>
      <c r="B215" s="244"/>
      <c r="C215" s="248" t="s">
        <v>1196</v>
      </c>
      <c r="D215" s="132"/>
      <c r="E215" s="158"/>
      <c r="F215" s="125" t="s">
        <v>1251</v>
      </c>
      <c r="G215" s="126"/>
      <c r="H215" s="127">
        <v>0.33333333333333331</v>
      </c>
      <c r="I215" s="109">
        <f t="shared" si="5"/>
        <v>1</v>
      </c>
      <c r="J215" s="134">
        <v>0.9</v>
      </c>
      <c r="K215" s="135"/>
      <c r="L215" s="136"/>
    </row>
    <row r="216" spans="1:12">
      <c r="A216" s="253"/>
      <c r="B216" s="244"/>
      <c r="C216" s="249"/>
      <c r="D216" s="132"/>
      <c r="E216" s="158"/>
      <c r="F216" s="125" t="s">
        <v>1252</v>
      </c>
      <c r="G216" s="126"/>
      <c r="H216" s="127">
        <v>0.33333333333333298</v>
      </c>
      <c r="I216" s="109">
        <f t="shared" si="5"/>
        <v>1</v>
      </c>
      <c r="J216" s="134">
        <v>0.9</v>
      </c>
      <c r="K216" s="135"/>
      <c r="L216" s="136"/>
    </row>
    <row r="217" spans="1:12">
      <c r="A217" s="253"/>
      <c r="B217" s="244"/>
      <c r="C217" s="250"/>
      <c r="D217" s="132"/>
      <c r="E217" s="133"/>
      <c r="F217" s="128" t="s">
        <v>1253</v>
      </c>
      <c r="G217" s="126"/>
      <c r="H217" s="127">
        <v>0.33333333333333298</v>
      </c>
      <c r="I217" s="109">
        <f t="shared" si="5"/>
        <v>1</v>
      </c>
      <c r="J217" s="134">
        <v>0.9</v>
      </c>
      <c r="K217" s="133"/>
      <c r="L217" s="136"/>
    </row>
    <row r="218" spans="1:12">
      <c r="A218" s="253"/>
      <c r="B218" s="244"/>
      <c r="C218" s="243" t="s">
        <v>1197</v>
      </c>
      <c r="D218" s="78"/>
      <c r="E218" s="159"/>
      <c r="F218" s="111" t="s">
        <v>1251</v>
      </c>
      <c r="G218" s="107"/>
      <c r="H218" s="108">
        <v>0.33333333333333298</v>
      </c>
      <c r="I218" s="109">
        <f t="shared" si="5"/>
        <v>1</v>
      </c>
      <c r="J218" s="109">
        <v>0.9</v>
      </c>
      <c r="K218" s="82"/>
      <c r="L218" s="112"/>
    </row>
    <row r="219" spans="1:12">
      <c r="A219" s="253"/>
      <c r="B219" s="244"/>
      <c r="C219" s="244"/>
      <c r="D219" s="78"/>
      <c r="E219" s="159"/>
      <c r="F219" s="111" t="s">
        <v>1252</v>
      </c>
      <c r="G219" s="107"/>
      <c r="H219" s="108">
        <v>0.33333333333333298</v>
      </c>
      <c r="I219" s="109">
        <f t="shared" si="5"/>
        <v>1</v>
      </c>
      <c r="J219" s="109">
        <v>0.9</v>
      </c>
      <c r="K219" s="82"/>
      <c r="L219" s="82"/>
    </row>
    <row r="220" spans="1:12" ht="15" thickBot="1">
      <c r="A220" s="253"/>
      <c r="B220" s="245"/>
      <c r="C220" s="245"/>
      <c r="D220" s="78"/>
      <c r="E220" s="113"/>
      <c r="F220" s="114" t="s">
        <v>1253</v>
      </c>
      <c r="G220" s="107"/>
      <c r="H220" s="108">
        <v>0.33333333333333298</v>
      </c>
      <c r="I220" s="109">
        <f t="shared" si="5"/>
        <v>1</v>
      </c>
      <c r="J220" s="109">
        <v>0.9</v>
      </c>
      <c r="K220" s="82"/>
      <c r="L220" s="82"/>
    </row>
    <row r="221" spans="1:12">
      <c r="A221" s="253"/>
      <c r="B221" s="251"/>
      <c r="C221" s="248" t="s">
        <v>1198</v>
      </c>
      <c r="D221" s="132"/>
      <c r="E221" s="158"/>
      <c r="F221" s="125" t="s">
        <v>1251</v>
      </c>
      <c r="G221" s="126"/>
      <c r="H221" s="127">
        <v>0.33333333333333298</v>
      </c>
      <c r="I221" s="109">
        <f t="shared" si="5"/>
        <v>1</v>
      </c>
      <c r="J221" s="134">
        <v>0.9</v>
      </c>
      <c r="K221" s="135"/>
      <c r="L221" s="137"/>
    </row>
    <row r="222" spans="1:12">
      <c r="A222" s="253"/>
      <c r="B222" s="244"/>
      <c r="C222" s="249"/>
      <c r="D222" s="132"/>
      <c r="E222" s="158"/>
      <c r="F222" s="125" t="s">
        <v>1252</v>
      </c>
      <c r="G222" s="126"/>
      <c r="H222" s="127">
        <v>0.33333333333333298</v>
      </c>
      <c r="I222" s="109">
        <f t="shared" si="5"/>
        <v>1</v>
      </c>
      <c r="J222" s="134">
        <v>0.9</v>
      </c>
      <c r="K222" s="135"/>
      <c r="L222" s="136"/>
    </row>
    <row r="223" spans="1:12">
      <c r="A223" s="253"/>
      <c r="B223" s="244"/>
      <c r="C223" s="250"/>
      <c r="D223" s="132"/>
      <c r="E223" s="133"/>
      <c r="F223" s="128" t="s">
        <v>1253</v>
      </c>
      <c r="G223" s="126"/>
      <c r="H223" s="127">
        <v>0.33333333333333298</v>
      </c>
      <c r="I223" s="109">
        <f t="shared" si="5"/>
        <v>1</v>
      </c>
      <c r="J223" s="134">
        <v>0.9</v>
      </c>
      <c r="K223" s="133"/>
      <c r="L223" s="136"/>
    </row>
    <row r="224" spans="1:12">
      <c r="A224" s="253"/>
      <c r="B224" s="244"/>
      <c r="C224" s="243" t="s">
        <v>1196</v>
      </c>
      <c r="D224" s="78"/>
      <c r="E224" s="159"/>
      <c r="F224" s="111" t="s">
        <v>1251</v>
      </c>
      <c r="G224" s="107"/>
      <c r="H224" s="108">
        <v>0.33333333333333298</v>
      </c>
      <c r="I224" s="109">
        <f t="shared" si="5"/>
        <v>1</v>
      </c>
      <c r="J224" s="109">
        <v>0.9</v>
      </c>
      <c r="K224" s="82"/>
      <c r="L224" s="112"/>
    </row>
    <row r="225" spans="1:12">
      <c r="A225" s="253"/>
      <c r="B225" s="244"/>
      <c r="C225" s="244"/>
      <c r="D225" s="78"/>
      <c r="E225" s="159"/>
      <c r="F225" s="111" t="s">
        <v>1252</v>
      </c>
      <c r="G225" s="107"/>
      <c r="H225" s="108">
        <v>0.33333333333333298</v>
      </c>
      <c r="I225" s="109">
        <f t="shared" si="5"/>
        <v>1</v>
      </c>
      <c r="J225" s="109">
        <v>0.9</v>
      </c>
      <c r="K225" s="82"/>
      <c r="L225" s="82"/>
    </row>
    <row r="226" spans="1:12">
      <c r="A226" s="253"/>
      <c r="B226" s="244"/>
      <c r="C226" s="245"/>
      <c r="D226" s="78"/>
      <c r="E226" s="113"/>
      <c r="F226" s="114" t="s">
        <v>1253</v>
      </c>
      <c r="G226" s="107"/>
      <c r="H226" s="108">
        <v>0.33333333333333298</v>
      </c>
      <c r="I226" s="109">
        <f t="shared" si="5"/>
        <v>1</v>
      </c>
      <c r="J226" s="109">
        <v>0.9</v>
      </c>
      <c r="K226" s="82"/>
      <c r="L226" s="82"/>
    </row>
    <row r="227" spans="1:12">
      <c r="A227" s="253"/>
      <c r="B227" s="244"/>
      <c r="C227" s="248" t="s">
        <v>1197</v>
      </c>
      <c r="D227" s="132"/>
      <c r="E227" s="158"/>
      <c r="F227" s="125" t="s">
        <v>1251</v>
      </c>
      <c r="G227" s="126"/>
      <c r="H227" s="127">
        <v>0.33333333333333298</v>
      </c>
      <c r="I227" s="109">
        <f t="shared" si="5"/>
        <v>1</v>
      </c>
      <c r="J227" s="134">
        <v>0.9</v>
      </c>
      <c r="K227" s="135"/>
      <c r="L227" s="137"/>
    </row>
    <row r="228" spans="1:12">
      <c r="A228" s="253"/>
      <c r="B228" s="244"/>
      <c r="C228" s="249"/>
      <c r="D228" s="132"/>
      <c r="E228" s="158"/>
      <c r="F228" s="129" t="s">
        <v>1252</v>
      </c>
      <c r="G228" s="126"/>
      <c r="H228" s="127">
        <v>0.33333333333333298</v>
      </c>
      <c r="I228" s="109">
        <f t="shared" si="5"/>
        <v>1</v>
      </c>
      <c r="J228" s="134">
        <v>0.9</v>
      </c>
      <c r="K228" s="135"/>
      <c r="L228" s="136"/>
    </row>
    <row r="229" spans="1:12" ht="15" thickBot="1">
      <c r="A229" s="253"/>
      <c r="B229" s="245"/>
      <c r="C229" s="250"/>
      <c r="D229" s="132"/>
      <c r="E229" s="133"/>
      <c r="F229" s="128" t="s">
        <v>1253</v>
      </c>
      <c r="G229" s="126"/>
      <c r="H229" s="131">
        <v>0.33333333333333298</v>
      </c>
      <c r="I229" s="115">
        <f t="shared" si="5"/>
        <v>1</v>
      </c>
      <c r="J229" s="134">
        <v>0.9</v>
      </c>
      <c r="K229" s="133"/>
      <c r="L229" s="136"/>
    </row>
    <row r="230" spans="1:12">
      <c r="A230" s="253"/>
      <c r="B230" s="251"/>
      <c r="C230" s="243" t="s">
        <v>1198</v>
      </c>
      <c r="D230" s="78"/>
      <c r="E230" s="159"/>
      <c r="F230" s="111" t="s">
        <v>1251</v>
      </c>
      <c r="G230" s="107"/>
      <c r="H230" s="108">
        <v>0.33333333333333298</v>
      </c>
      <c r="I230" s="109">
        <f t="shared" si="5"/>
        <v>1</v>
      </c>
      <c r="J230" s="109">
        <v>0.9</v>
      </c>
      <c r="K230" s="82"/>
      <c r="L230" s="112"/>
    </row>
    <row r="231" spans="1:12">
      <c r="A231" s="253"/>
      <c r="B231" s="244"/>
      <c r="C231" s="244"/>
      <c r="D231" s="78"/>
      <c r="E231" s="159"/>
      <c r="F231" s="106" t="s">
        <v>1252</v>
      </c>
      <c r="G231" s="107"/>
      <c r="H231" s="108">
        <v>0.33333333333333298</v>
      </c>
      <c r="I231" s="109">
        <f t="shared" si="5"/>
        <v>1</v>
      </c>
      <c r="J231" s="109">
        <v>0.9</v>
      </c>
      <c r="K231" s="82"/>
      <c r="L231" s="82"/>
    </row>
    <row r="232" spans="1:12">
      <c r="A232" s="253"/>
      <c r="B232" s="244"/>
      <c r="C232" s="245"/>
      <c r="D232" s="78"/>
      <c r="E232" s="113"/>
      <c r="F232" s="114" t="s">
        <v>1253</v>
      </c>
      <c r="G232" s="107"/>
      <c r="H232" s="108">
        <v>0.33333333333333298</v>
      </c>
      <c r="I232" s="109">
        <f t="shared" si="5"/>
        <v>1</v>
      </c>
      <c r="J232" s="109">
        <v>0.9</v>
      </c>
      <c r="K232" s="82"/>
      <c r="L232" s="82"/>
    </row>
    <row r="233" spans="1:12">
      <c r="A233" s="253"/>
      <c r="B233" s="244"/>
      <c r="C233" s="248" t="s">
        <v>1196</v>
      </c>
      <c r="D233" s="132"/>
      <c r="E233" s="158"/>
      <c r="F233" s="125" t="s">
        <v>1251</v>
      </c>
      <c r="G233" s="126"/>
      <c r="H233" s="127">
        <v>0.33333333333333298</v>
      </c>
      <c r="I233" s="109">
        <f t="shared" si="5"/>
        <v>1</v>
      </c>
      <c r="J233" s="134">
        <v>0.9</v>
      </c>
      <c r="K233" s="135"/>
      <c r="L233" s="137"/>
    </row>
    <row r="234" spans="1:12">
      <c r="A234" s="253"/>
      <c r="B234" s="244"/>
      <c r="C234" s="249"/>
      <c r="D234" s="132"/>
      <c r="E234" s="158"/>
      <c r="F234" s="129" t="s">
        <v>1252</v>
      </c>
      <c r="G234" s="126"/>
      <c r="H234" s="127">
        <v>0.33333333333333298</v>
      </c>
      <c r="I234" s="109">
        <f t="shared" si="5"/>
        <v>1</v>
      </c>
      <c r="J234" s="134">
        <v>0.9</v>
      </c>
      <c r="K234" s="135"/>
      <c r="L234" s="136"/>
    </row>
    <row r="235" spans="1:12">
      <c r="A235" s="253"/>
      <c r="B235" s="244"/>
      <c r="C235" s="250"/>
      <c r="D235" s="132"/>
      <c r="E235" s="133"/>
      <c r="F235" s="128" t="s">
        <v>1253</v>
      </c>
      <c r="G235" s="126"/>
      <c r="H235" s="127">
        <v>0.33333333333333298</v>
      </c>
      <c r="I235" s="109">
        <f t="shared" si="5"/>
        <v>1</v>
      </c>
      <c r="J235" s="134">
        <v>0.9</v>
      </c>
      <c r="K235" s="133"/>
      <c r="L235" s="136"/>
    </row>
    <row r="236" spans="1:12">
      <c r="A236" s="253"/>
      <c r="B236" s="244"/>
      <c r="C236" s="243" t="s">
        <v>1197</v>
      </c>
      <c r="D236" s="78"/>
      <c r="E236" s="159"/>
      <c r="F236" s="111" t="s">
        <v>1251</v>
      </c>
      <c r="G236" s="107"/>
      <c r="H236" s="108">
        <v>0.33333333333333298</v>
      </c>
      <c r="I236" s="109">
        <f t="shared" si="5"/>
        <v>1</v>
      </c>
      <c r="J236" s="109">
        <v>0.9</v>
      </c>
      <c r="K236" s="82"/>
      <c r="L236" s="112"/>
    </row>
    <row r="237" spans="1:12">
      <c r="A237" s="253"/>
      <c r="B237" s="244"/>
      <c r="C237" s="244"/>
      <c r="D237" s="78"/>
      <c r="E237" s="159"/>
      <c r="F237" s="106" t="s">
        <v>1252</v>
      </c>
      <c r="G237" s="107"/>
      <c r="H237" s="108">
        <v>0.33333333333333298</v>
      </c>
      <c r="I237" s="109">
        <f t="shared" si="5"/>
        <v>1</v>
      </c>
      <c r="J237" s="109">
        <v>0.9</v>
      </c>
      <c r="K237" s="82"/>
      <c r="L237" s="82"/>
    </row>
    <row r="238" spans="1:12" ht="15" thickBot="1">
      <c r="A238" s="253"/>
      <c r="B238" s="245"/>
      <c r="C238" s="245"/>
      <c r="D238" s="78"/>
      <c r="E238" s="113"/>
      <c r="F238" s="114" t="s">
        <v>1253</v>
      </c>
      <c r="G238" s="107"/>
      <c r="H238" s="108">
        <v>0.33333333333333298</v>
      </c>
      <c r="I238" s="109">
        <f t="shared" si="5"/>
        <v>1</v>
      </c>
      <c r="J238" s="109">
        <v>0.9</v>
      </c>
      <c r="K238" s="82"/>
      <c r="L238" s="82"/>
    </row>
    <row r="239" spans="1:12">
      <c r="A239" s="253"/>
      <c r="B239" s="251"/>
      <c r="C239" s="248" t="s">
        <v>1198</v>
      </c>
      <c r="D239" s="132"/>
      <c r="E239" s="158"/>
      <c r="F239" s="125" t="s">
        <v>1251</v>
      </c>
      <c r="G239" s="126"/>
      <c r="H239" s="127">
        <v>0.33333333333333298</v>
      </c>
      <c r="I239" s="109">
        <f t="shared" si="5"/>
        <v>1</v>
      </c>
      <c r="J239" s="134">
        <v>0.9</v>
      </c>
      <c r="K239" s="135"/>
      <c r="L239" s="137"/>
    </row>
    <row r="240" spans="1:12">
      <c r="A240" s="253"/>
      <c r="B240" s="244"/>
      <c r="C240" s="249"/>
      <c r="D240" s="132"/>
      <c r="E240" s="158"/>
      <c r="F240" s="129" t="s">
        <v>1252</v>
      </c>
      <c r="G240" s="126"/>
      <c r="H240" s="127">
        <v>0.33333333333333331</v>
      </c>
      <c r="I240" s="109">
        <f t="shared" si="5"/>
        <v>1</v>
      </c>
      <c r="J240" s="134">
        <v>0.9</v>
      </c>
      <c r="K240" s="135"/>
      <c r="L240" s="136"/>
    </row>
    <row r="241" spans="1:12">
      <c r="A241" s="253"/>
      <c r="B241" s="244"/>
      <c r="C241" s="250"/>
      <c r="D241" s="132"/>
      <c r="E241" s="133"/>
      <c r="F241" s="128" t="s">
        <v>1253</v>
      </c>
      <c r="G241" s="126"/>
      <c r="H241" s="127">
        <v>0.33333333333333298</v>
      </c>
      <c r="I241" s="109">
        <f t="shared" si="5"/>
        <v>1</v>
      </c>
      <c r="J241" s="134">
        <v>0.9</v>
      </c>
      <c r="K241" s="133"/>
      <c r="L241" s="136"/>
    </row>
    <row r="242" spans="1:12">
      <c r="A242" s="253"/>
      <c r="B242" s="244"/>
      <c r="C242" s="243" t="s">
        <v>1196</v>
      </c>
      <c r="D242" s="78"/>
      <c r="E242" s="159"/>
      <c r="F242" s="111" t="s">
        <v>1251</v>
      </c>
      <c r="G242" s="107"/>
      <c r="H242" s="108">
        <v>0.33333333333333298</v>
      </c>
      <c r="I242" s="109">
        <f t="shared" si="5"/>
        <v>1</v>
      </c>
      <c r="J242" s="109">
        <v>0.9</v>
      </c>
      <c r="K242" s="82"/>
      <c r="L242" s="112"/>
    </row>
    <row r="243" spans="1:12">
      <c r="A243" s="253"/>
      <c r="B243" s="244"/>
      <c r="C243" s="244"/>
      <c r="D243" s="78"/>
      <c r="E243" s="159"/>
      <c r="F243" s="106" t="s">
        <v>1252</v>
      </c>
      <c r="G243" s="107"/>
      <c r="H243" s="108">
        <v>0.33333333333333298</v>
      </c>
      <c r="I243" s="109">
        <f t="shared" si="5"/>
        <v>1</v>
      </c>
      <c r="J243" s="109">
        <v>0.9</v>
      </c>
      <c r="K243" s="82"/>
      <c r="L243" s="82"/>
    </row>
    <row r="244" spans="1:12">
      <c r="A244" s="253"/>
      <c r="B244" s="244"/>
      <c r="C244" s="245"/>
      <c r="D244" s="78"/>
      <c r="E244" s="113"/>
      <c r="F244" s="114" t="s">
        <v>1253</v>
      </c>
      <c r="G244" s="107"/>
      <c r="H244" s="108">
        <v>0.33333333333333298</v>
      </c>
      <c r="I244" s="109">
        <f t="shared" si="5"/>
        <v>1</v>
      </c>
      <c r="J244" s="109">
        <v>0.9</v>
      </c>
      <c r="K244" s="82"/>
      <c r="L244" s="82"/>
    </row>
    <row r="245" spans="1:12">
      <c r="A245" s="253"/>
      <c r="B245" s="244"/>
      <c r="C245" s="248" t="s">
        <v>1197</v>
      </c>
      <c r="D245" s="132"/>
      <c r="E245" s="158"/>
      <c r="F245" s="125" t="s">
        <v>1251</v>
      </c>
      <c r="G245" s="126"/>
      <c r="H245" s="127">
        <v>0.33333333333333298</v>
      </c>
      <c r="I245" s="109">
        <f t="shared" si="5"/>
        <v>1</v>
      </c>
      <c r="J245" s="134">
        <v>0.9</v>
      </c>
      <c r="K245" s="133"/>
      <c r="L245" s="137"/>
    </row>
    <row r="246" spans="1:12">
      <c r="A246" s="253"/>
      <c r="B246" s="244"/>
      <c r="C246" s="249"/>
      <c r="D246" s="132"/>
      <c r="E246" s="158"/>
      <c r="F246" s="129" t="s">
        <v>1252</v>
      </c>
      <c r="G246" s="126"/>
      <c r="H246" s="127">
        <v>0.33333333333333298</v>
      </c>
      <c r="I246" s="109">
        <f t="shared" si="5"/>
        <v>1</v>
      </c>
      <c r="J246" s="134">
        <v>0.9</v>
      </c>
      <c r="K246" s="135"/>
      <c r="L246" s="136"/>
    </row>
    <row r="247" spans="1:12" ht="15" thickBot="1">
      <c r="A247" s="253"/>
      <c r="B247" s="245"/>
      <c r="C247" s="250"/>
      <c r="D247" s="132"/>
      <c r="E247" s="133"/>
      <c r="F247" s="128" t="s">
        <v>1253</v>
      </c>
      <c r="G247" s="126"/>
      <c r="H247" s="127">
        <v>0.33333333333333298</v>
      </c>
      <c r="I247" s="109">
        <f t="shared" si="5"/>
        <v>1</v>
      </c>
      <c r="J247" s="134">
        <v>0.9</v>
      </c>
      <c r="K247" s="133"/>
      <c r="L247" s="136"/>
    </row>
    <row r="248" spans="1:12">
      <c r="A248" s="253"/>
      <c r="B248" s="251"/>
      <c r="C248" s="248" t="s">
        <v>1198</v>
      </c>
      <c r="D248" s="132"/>
      <c r="E248" s="158"/>
      <c r="F248" s="125" t="s">
        <v>1251</v>
      </c>
      <c r="G248" s="126"/>
      <c r="H248" s="127">
        <v>0.33333333333333298</v>
      </c>
      <c r="I248" s="109">
        <f t="shared" si="5"/>
        <v>1</v>
      </c>
      <c r="J248" s="134">
        <v>0.9</v>
      </c>
      <c r="K248" s="135"/>
      <c r="L248" s="137"/>
    </row>
    <row r="249" spans="1:12">
      <c r="A249" s="253"/>
      <c r="B249" s="244"/>
      <c r="C249" s="249"/>
      <c r="D249" s="132"/>
      <c r="E249" s="158"/>
      <c r="F249" s="129" t="s">
        <v>1252</v>
      </c>
      <c r="G249" s="126"/>
      <c r="H249" s="127">
        <v>0.33333333333333298</v>
      </c>
      <c r="I249" s="109">
        <f t="shared" si="5"/>
        <v>1</v>
      </c>
      <c r="J249" s="134">
        <v>0.9</v>
      </c>
      <c r="K249" s="135"/>
      <c r="L249" s="136"/>
    </row>
    <row r="250" spans="1:12">
      <c r="A250" s="253"/>
      <c r="B250" s="244"/>
      <c r="C250" s="250"/>
      <c r="D250" s="132"/>
      <c r="E250" s="133"/>
      <c r="F250" s="128" t="s">
        <v>1253</v>
      </c>
      <c r="G250" s="126"/>
      <c r="H250" s="127">
        <v>0.33333333333333331</v>
      </c>
      <c r="I250" s="109">
        <f t="shared" si="5"/>
        <v>1</v>
      </c>
      <c r="J250" s="134">
        <v>0.9</v>
      </c>
      <c r="K250" s="133"/>
      <c r="L250" s="136"/>
    </row>
    <row r="251" spans="1:12">
      <c r="A251" s="253"/>
      <c r="B251" s="244"/>
      <c r="C251" s="243" t="s">
        <v>1196</v>
      </c>
      <c r="D251" s="78"/>
      <c r="E251" s="159"/>
      <c r="F251" s="111" t="s">
        <v>1251</v>
      </c>
      <c r="G251" s="107"/>
      <c r="H251" s="108">
        <v>0.33333333333333298</v>
      </c>
      <c r="I251" s="109">
        <f t="shared" si="5"/>
        <v>1</v>
      </c>
      <c r="J251" s="109">
        <v>0.9</v>
      </c>
      <c r="K251" s="82"/>
      <c r="L251" s="112"/>
    </row>
    <row r="252" spans="1:12">
      <c r="A252" s="253"/>
      <c r="B252" s="244"/>
      <c r="C252" s="244"/>
      <c r="D252" s="78"/>
      <c r="E252" s="159"/>
      <c r="F252" s="106" t="s">
        <v>1252</v>
      </c>
      <c r="G252" s="107"/>
      <c r="H252" s="108">
        <v>0.33333333333333298</v>
      </c>
      <c r="I252" s="109">
        <f t="shared" si="5"/>
        <v>1</v>
      </c>
      <c r="J252" s="109">
        <v>0.9</v>
      </c>
      <c r="K252" s="82"/>
      <c r="L252" s="82"/>
    </row>
    <row r="253" spans="1:12">
      <c r="A253" s="253"/>
      <c r="B253" s="244"/>
      <c r="C253" s="245"/>
      <c r="D253" s="78"/>
      <c r="E253" s="113"/>
      <c r="F253" s="114" t="s">
        <v>1253</v>
      </c>
      <c r="G253" s="107"/>
      <c r="H253" s="108">
        <v>0.33333333333333298</v>
      </c>
      <c r="I253" s="109">
        <f t="shared" si="5"/>
        <v>1</v>
      </c>
      <c r="J253" s="109">
        <v>0.9</v>
      </c>
      <c r="K253" s="82"/>
      <c r="L253" s="82"/>
    </row>
    <row r="254" spans="1:12">
      <c r="A254" s="253"/>
      <c r="B254" s="244"/>
      <c r="C254" s="248" t="s">
        <v>1197</v>
      </c>
      <c r="D254" s="132"/>
      <c r="E254" s="158"/>
      <c r="F254" s="125" t="s">
        <v>1251</v>
      </c>
      <c r="G254" s="126"/>
      <c r="H254" s="127">
        <v>0.33333333333333298</v>
      </c>
      <c r="I254" s="109">
        <f t="shared" si="5"/>
        <v>1</v>
      </c>
      <c r="J254" s="134">
        <v>0.9</v>
      </c>
      <c r="K254" s="133"/>
      <c r="L254" s="137"/>
    </row>
    <row r="255" spans="1:12">
      <c r="A255" s="253"/>
      <c r="B255" s="244"/>
      <c r="C255" s="249"/>
      <c r="D255" s="132"/>
      <c r="E255" s="158"/>
      <c r="F255" s="129" t="s">
        <v>1252</v>
      </c>
      <c r="G255" s="126"/>
      <c r="H255" s="127">
        <v>0.33333333333333298</v>
      </c>
      <c r="I255" s="109">
        <f t="shared" si="5"/>
        <v>1</v>
      </c>
      <c r="J255" s="134">
        <v>0.9</v>
      </c>
      <c r="K255" s="135"/>
      <c r="L255" s="136"/>
    </row>
    <row r="256" spans="1:12" ht="15" thickBot="1">
      <c r="A256" s="253"/>
      <c r="B256" s="245"/>
      <c r="C256" s="250"/>
      <c r="D256" s="132"/>
      <c r="E256" s="133"/>
      <c r="F256" s="128" t="s">
        <v>1253</v>
      </c>
      <c r="G256" s="126"/>
      <c r="H256" s="127">
        <v>0.33333333333333298</v>
      </c>
      <c r="I256" s="109">
        <f t="shared" si="5"/>
        <v>1</v>
      </c>
      <c r="J256" s="134">
        <v>0.9</v>
      </c>
      <c r="K256" s="133"/>
      <c r="L256" s="136"/>
    </row>
    <row r="257" spans="1:12">
      <c r="A257" s="253"/>
      <c r="B257" s="251"/>
      <c r="C257" s="248" t="s">
        <v>1198</v>
      </c>
      <c r="D257" s="132"/>
      <c r="E257" s="158"/>
      <c r="F257" s="125" t="s">
        <v>1251</v>
      </c>
      <c r="G257" s="126"/>
      <c r="H257" s="127">
        <v>0.33333333333333298</v>
      </c>
      <c r="I257" s="109">
        <f t="shared" si="5"/>
        <v>1</v>
      </c>
      <c r="J257" s="134">
        <v>0.9</v>
      </c>
      <c r="K257" s="135"/>
      <c r="L257" s="137"/>
    </row>
    <row r="258" spans="1:12">
      <c r="A258" s="253"/>
      <c r="B258" s="244"/>
      <c r="C258" s="249"/>
      <c r="D258" s="132"/>
      <c r="E258" s="158"/>
      <c r="F258" s="129" t="s">
        <v>1252</v>
      </c>
      <c r="G258" s="126"/>
      <c r="H258" s="127">
        <v>0.33333333333333298</v>
      </c>
      <c r="I258" s="109">
        <f t="shared" si="5"/>
        <v>1</v>
      </c>
      <c r="J258" s="134">
        <v>0.9</v>
      </c>
      <c r="K258" s="135"/>
      <c r="L258" s="136"/>
    </row>
    <row r="259" spans="1:12">
      <c r="A259" s="253"/>
      <c r="B259" s="244"/>
      <c r="C259" s="250"/>
      <c r="D259" s="132"/>
      <c r="E259" s="133"/>
      <c r="F259" s="128" t="s">
        <v>1253</v>
      </c>
      <c r="G259" s="126"/>
      <c r="H259" s="127">
        <v>0.33333333333333298</v>
      </c>
      <c r="I259" s="109">
        <f t="shared" si="5"/>
        <v>1</v>
      </c>
      <c r="J259" s="134">
        <v>0.9</v>
      </c>
      <c r="K259" s="135"/>
      <c r="L259" s="136"/>
    </row>
    <row r="260" spans="1:12">
      <c r="A260" s="253"/>
      <c r="B260" s="244"/>
      <c r="C260" s="243" t="s">
        <v>1196</v>
      </c>
      <c r="D260" s="78"/>
      <c r="E260" s="159"/>
      <c r="F260" s="111" t="s">
        <v>1251</v>
      </c>
      <c r="G260" s="107"/>
      <c r="H260" s="108">
        <v>0.33333333333333298</v>
      </c>
      <c r="I260" s="109">
        <f t="shared" si="5"/>
        <v>1</v>
      </c>
      <c r="J260" s="109">
        <v>0.9</v>
      </c>
      <c r="K260" s="82"/>
      <c r="L260" s="112"/>
    </row>
    <row r="261" spans="1:12">
      <c r="A261" s="253"/>
      <c r="B261" s="244"/>
      <c r="C261" s="244"/>
      <c r="D261" s="78"/>
      <c r="E261" s="159"/>
      <c r="F261" s="106" t="s">
        <v>1252</v>
      </c>
      <c r="G261" s="107"/>
      <c r="H261" s="108">
        <v>0.33333333333333298</v>
      </c>
      <c r="I261" s="109">
        <f t="shared" si="5"/>
        <v>1</v>
      </c>
      <c r="J261" s="109">
        <v>0.9</v>
      </c>
      <c r="K261" s="82"/>
      <c r="L261" s="82"/>
    </row>
    <row r="262" spans="1:12">
      <c r="A262" s="253"/>
      <c r="B262" s="244"/>
      <c r="C262" s="245"/>
      <c r="D262" s="78"/>
      <c r="E262" s="113"/>
      <c r="F262" s="114" t="s">
        <v>1253</v>
      </c>
      <c r="G262" s="107"/>
      <c r="H262" s="108">
        <v>0.33333333333333298</v>
      </c>
      <c r="I262" s="109">
        <f t="shared" si="5"/>
        <v>1</v>
      </c>
      <c r="J262" s="109">
        <v>0.9</v>
      </c>
      <c r="K262" s="82"/>
      <c r="L262" s="82"/>
    </row>
    <row r="263" spans="1:12">
      <c r="A263" s="253"/>
      <c r="B263" s="244"/>
      <c r="C263" s="248" t="s">
        <v>1197</v>
      </c>
      <c r="D263" s="132"/>
      <c r="E263" s="158"/>
      <c r="F263" s="125" t="s">
        <v>1251</v>
      </c>
      <c r="G263" s="126"/>
      <c r="H263" s="127">
        <v>0.33333333333333298</v>
      </c>
      <c r="I263" s="109">
        <f t="shared" si="5"/>
        <v>1</v>
      </c>
      <c r="J263" s="134">
        <v>0.9</v>
      </c>
      <c r="K263" s="133"/>
      <c r="L263" s="137"/>
    </row>
    <row r="264" spans="1:12">
      <c r="A264" s="253"/>
      <c r="B264" s="244"/>
      <c r="C264" s="249"/>
      <c r="D264" s="132"/>
      <c r="E264" s="158"/>
      <c r="F264" s="129" t="s">
        <v>1252</v>
      </c>
      <c r="G264" s="126"/>
      <c r="H264" s="127">
        <v>0.33333333333333298</v>
      </c>
      <c r="I264" s="109">
        <f t="shared" si="5"/>
        <v>1</v>
      </c>
      <c r="J264" s="134">
        <v>0.9</v>
      </c>
      <c r="K264" s="135"/>
      <c r="L264" s="136"/>
    </row>
    <row r="265" spans="1:12" ht="15" thickBot="1">
      <c r="A265" s="253"/>
      <c r="B265" s="245"/>
      <c r="C265" s="250"/>
      <c r="D265" s="132"/>
      <c r="E265" s="133"/>
      <c r="F265" s="128" t="s">
        <v>1253</v>
      </c>
      <c r="G265" s="126"/>
      <c r="H265" s="127">
        <v>0.33333333333333298</v>
      </c>
      <c r="I265" s="109">
        <f t="shared" si="5"/>
        <v>1</v>
      </c>
      <c r="J265" s="134">
        <v>0.9</v>
      </c>
      <c r="K265" s="133"/>
      <c r="L265" s="136"/>
    </row>
    <row r="266" spans="1:12">
      <c r="A266" s="253"/>
      <c r="B266" s="251"/>
      <c r="C266" s="248" t="s">
        <v>1198</v>
      </c>
      <c r="D266" s="132"/>
      <c r="E266" s="158"/>
      <c r="F266" s="125" t="s">
        <v>1251</v>
      </c>
      <c r="G266" s="126"/>
      <c r="H266" s="127">
        <v>0.33333333333333298</v>
      </c>
      <c r="I266" s="109">
        <f t="shared" si="5"/>
        <v>1</v>
      </c>
      <c r="J266" s="134">
        <v>0.9</v>
      </c>
      <c r="K266" s="135"/>
      <c r="L266" s="137"/>
    </row>
    <row r="267" spans="1:12">
      <c r="A267" s="253"/>
      <c r="B267" s="244"/>
      <c r="C267" s="249"/>
      <c r="D267" s="132"/>
      <c r="E267" s="158"/>
      <c r="F267" s="129" t="s">
        <v>1252</v>
      </c>
      <c r="G267" s="126"/>
      <c r="H267" s="127">
        <v>0.33333333333333298</v>
      </c>
      <c r="I267" s="109">
        <f t="shared" si="5"/>
        <v>1</v>
      </c>
      <c r="J267" s="134">
        <v>0.9</v>
      </c>
      <c r="K267" s="135"/>
      <c r="L267" s="136"/>
    </row>
    <row r="268" spans="1:12">
      <c r="A268" s="253"/>
      <c r="B268" s="244"/>
      <c r="C268" s="250"/>
      <c r="D268" s="132"/>
      <c r="E268" s="133"/>
      <c r="F268" s="128" t="s">
        <v>1253</v>
      </c>
      <c r="G268" s="126"/>
      <c r="H268" s="127">
        <v>0.33333333333333298</v>
      </c>
      <c r="I268" s="109">
        <f t="shared" si="5"/>
        <v>1</v>
      </c>
      <c r="J268" s="134">
        <v>0.9</v>
      </c>
      <c r="K268" s="133"/>
      <c r="L268" s="136"/>
    </row>
    <row r="269" spans="1:12">
      <c r="A269" s="253"/>
      <c r="B269" s="244"/>
      <c r="C269" s="243" t="s">
        <v>1196</v>
      </c>
      <c r="D269" s="78"/>
      <c r="E269" s="159"/>
      <c r="F269" s="111" t="s">
        <v>1251</v>
      </c>
      <c r="G269" s="107"/>
      <c r="H269" s="108">
        <v>0.33333333333333298</v>
      </c>
      <c r="I269" s="109">
        <f t="shared" si="5"/>
        <v>1</v>
      </c>
      <c r="J269" s="109">
        <v>0.9</v>
      </c>
      <c r="K269" s="82"/>
      <c r="L269" s="112"/>
    </row>
    <row r="270" spans="1:12">
      <c r="A270" s="253"/>
      <c r="B270" s="244"/>
      <c r="C270" s="244"/>
      <c r="D270" s="78"/>
      <c r="E270" s="159"/>
      <c r="F270" s="106" t="s">
        <v>1252</v>
      </c>
      <c r="G270" s="107"/>
      <c r="H270" s="108">
        <v>0.33333333333333298</v>
      </c>
      <c r="I270" s="109">
        <f t="shared" si="5"/>
        <v>1</v>
      </c>
      <c r="J270" s="109">
        <v>0.9</v>
      </c>
      <c r="K270" s="82"/>
      <c r="L270" s="82"/>
    </row>
    <row r="271" spans="1:12">
      <c r="A271" s="253"/>
      <c r="B271" s="244"/>
      <c r="C271" s="245"/>
      <c r="D271" s="78"/>
      <c r="E271" s="113"/>
      <c r="F271" s="114" t="s">
        <v>1253</v>
      </c>
      <c r="G271" s="107"/>
      <c r="H271" s="108">
        <v>0.33333333333333298</v>
      </c>
      <c r="I271" s="109">
        <f t="shared" si="5"/>
        <v>1</v>
      </c>
      <c r="J271" s="109">
        <v>0.9</v>
      </c>
      <c r="K271" s="82"/>
      <c r="L271" s="82"/>
    </row>
    <row r="272" spans="1:12">
      <c r="A272" s="253"/>
      <c r="B272" s="244"/>
      <c r="C272" s="248" t="s">
        <v>1197</v>
      </c>
      <c r="D272" s="132"/>
      <c r="E272" s="158"/>
      <c r="F272" s="125" t="s">
        <v>1251</v>
      </c>
      <c r="G272" s="126"/>
      <c r="H272" s="127">
        <v>0.33333333333333298</v>
      </c>
      <c r="I272" s="109">
        <f t="shared" si="5"/>
        <v>1</v>
      </c>
      <c r="J272" s="134">
        <v>0.9</v>
      </c>
      <c r="K272" s="133"/>
      <c r="L272" s="137"/>
    </row>
    <row r="273" spans="1:12">
      <c r="A273" s="253"/>
      <c r="B273" s="244"/>
      <c r="C273" s="249"/>
      <c r="D273" s="132"/>
      <c r="E273" s="158"/>
      <c r="F273" s="129" t="s">
        <v>1252</v>
      </c>
      <c r="G273" s="126"/>
      <c r="H273" s="127">
        <v>0.33333333333333298</v>
      </c>
      <c r="I273" s="109">
        <f t="shared" si="5"/>
        <v>1</v>
      </c>
      <c r="J273" s="134">
        <v>0.9</v>
      </c>
      <c r="K273" s="135"/>
      <c r="L273" s="136"/>
    </row>
    <row r="274" spans="1:12">
      <c r="A274" s="253"/>
      <c r="B274" s="245"/>
      <c r="C274" s="250"/>
      <c r="D274" s="132"/>
      <c r="E274" s="133"/>
      <c r="F274" s="128" t="s">
        <v>1253</v>
      </c>
      <c r="G274" s="126"/>
      <c r="H274" s="127">
        <v>0.33333333333333298</v>
      </c>
      <c r="I274" s="109">
        <f t="shared" si="5"/>
        <v>1</v>
      </c>
      <c r="J274" s="134">
        <v>0.9</v>
      </c>
      <c r="K274" s="133"/>
      <c r="L274" s="136"/>
    </row>
    <row r="275" spans="1:12">
      <c r="A275" s="253"/>
      <c r="B275" s="117"/>
      <c r="C275" s="117"/>
      <c r="D275" s="118"/>
      <c r="E275" s="118"/>
      <c r="F275" s="119" t="s">
        <v>1251</v>
      </c>
      <c r="G275" s="124"/>
      <c r="H275" s="124"/>
      <c r="I275" s="120">
        <f>AVERAGEIF(F212:F274,F275,I212:I274)</f>
        <v>1</v>
      </c>
      <c r="J275" s="121">
        <v>0.9</v>
      </c>
      <c r="K275" s="118"/>
      <c r="L275" s="116"/>
    </row>
    <row r="276" spans="1:12">
      <c r="A276" s="253"/>
      <c r="B276" s="117"/>
      <c r="C276" s="117"/>
      <c r="D276" s="118"/>
      <c r="E276" s="118"/>
      <c r="F276" s="119" t="s">
        <v>1252</v>
      </c>
      <c r="G276" s="124"/>
      <c r="H276" s="124"/>
      <c r="I276" s="120">
        <f>AVERAGEIF(F212:F274,F276,I212:I274)</f>
        <v>1</v>
      </c>
      <c r="J276" s="121">
        <v>0.9</v>
      </c>
      <c r="K276" s="118"/>
      <c r="L276" s="116"/>
    </row>
    <row r="277" spans="1:12" ht="15" thickBot="1">
      <c r="A277" s="253"/>
      <c r="B277" s="117"/>
      <c r="C277" s="117"/>
      <c r="D277" s="118"/>
      <c r="E277" s="118"/>
      <c r="F277" s="119" t="s">
        <v>1253</v>
      </c>
      <c r="G277" s="124"/>
      <c r="H277" s="124"/>
      <c r="I277" s="120">
        <f>AVERAGEIF(F212:F274,F277,I212:I274)</f>
        <v>1</v>
      </c>
      <c r="J277" s="121">
        <v>0.9</v>
      </c>
      <c r="K277" s="118"/>
      <c r="L277" s="116"/>
    </row>
    <row r="278" spans="1:12">
      <c r="A278" s="252"/>
      <c r="B278" s="251"/>
      <c r="C278" s="243" t="s">
        <v>1198</v>
      </c>
      <c r="D278" s="110"/>
      <c r="E278" s="156"/>
      <c r="F278" s="111" t="s">
        <v>1251</v>
      </c>
      <c r="G278" s="107"/>
      <c r="H278" s="108">
        <v>0.33333333333333331</v>
      </c>
      <c r="I278" s="109">
        <f>1-(G278/H278)</f>
        <v>1</v>
      </c>
      <c r="J278" s="109">
        <v>0.9</v>
      </c>
      <c r="K278" s="82"/>
      <c r="L278" s="82"/>
    </row>
    <row r="279" spans="1:12">
      <c r="A279" s="253"/>
      <c r="B279" s="244"/>
      <c r="C279" s="244"/>
      <c r="D279" s="110"/>
      <c r="E279" s="156"/>
      <c r="F279" s="111" t="s">
        <v>1252</v>
      </c>
      <c r="G279" s="107"/>
      <c r="H279" s="108">
        <v>0.33333333333333331</v>
      </c>
      <c r="I279" s="109">
        <f>1-(G279/H279)</f>
        <v>1</v>
      </c>
      <c r="J279" s="109">
        <v>0.9</v>
      </c>
      <c r="K279" s="82"/>
      <c r="L279" s="82"/>
    </row>
    <row r="280" spans="1:12">
      <c r="A280" s="253"/>
      <c r="B280" s="244"/>
      <c r="C280" s="245"/>
      <c r="D280" s="110"/>
      <c r="E280" s="157"/>
      <c r="F280" s="114" t="s">
        <v>1253</v>
      </c>
      <c r="G280" s="107"/>
      <c r="H280" s="108">
        <v>0.33333333333333298</v>
      </c>
      <c r="I280" s="109">
        <f t="shared" ref="I280:I313" si="6">1-(G280/H280)</f>
        <v>1</v>
      </c>
      <c r="J280" s="109">
        <v>0.9</v>
      </c>
      <c r="K280" s="82"/>
      <c r="L280" s="82"/>
    </row>
    <row r="281" spans="1:12">
      <c r="A281" s="253"/>
      <c r="B281" s="244"/>
      <c r="C281" s="248" t="s">
        <v>1196</v>
      </c>
      <c r="D281" s="132"/>
      <c r="E281" s="158"/>
      <c r="F281" s="125" t="s">
        <v>1251</v>
      </c>
      <c r="G281" s="126"/>
      <c r="H281" s="127">
        <v>0.33333333333333298</v>
      </c>
      <c r="I281" s="109">
        <f t="shared" si="6"/>
        <v>1</v>
      </c>
      <c r="J281" s="134">
        <v>0.9</v>
      </c>
      <c r="K281" s="135"/>
      <c r="L281" s="136"/>
    </row>
    <row r="282" spans="1:12">
      <c r="A282" s="253"/>
      <c r="B282" s="244"/>
      <c r="C282" s="249"/>
      <c r="D282" s="132"/>
      <c r="E282" s="158"/>
      <c r="F282" s="125" t="s">
        <v>1252</v>
      </c>
      <c r="G282" s="126"/>
      <c r="H282" s="127">
        <v>0.33333333333333298</v>
      </c>
      <c r="I282" s="109">
        <f t="shared" si="6"/>
        <v>1</v>
      </c>
      <c r="J282" s="134">
        <v>0.9</v>
      </c>
      <c r="K282" s="135"/>
      <c r="L282" s="136"/>
    </row>
    <row r="283" spans="1:12">
      <c r="A283" s="253"/>
      <c r="B283" s="244"/>
      <c r="C283" s="250"/>
      <c r="D283" s="132"/>
      <c r="E283" s="133"/>
      <c r="F283" s="128" t="s">
        <v>1253</v>
      </c>
      <c r="G283" s="126"/>
      <c r="H283" s="127">
        <v>0.33333333333333298</v>
      </c>
      <c r="I283" s="109">
        <f t="shared" si="6"/>
        <v>1</v>
      </c>
      <c r="J283" s="134">
        <v>0.9</v>
      </c>
      <c r="K283" s="133"/>
      <c r="L283" s="136"/>
    </row>
    <row r="284" spans="1:12">
      <c r="A284" s="253"/>
      <c r="B284" s="244"/>
      <c r="C284" s="243" t="s">
        <v>1197</v>
      </c>
      <c r="D284" s="78"/>
      <c r="E284" s="159"/>
      <c r="F284" s="111" t="s">
        <v>1251</v>
      </c>
      <c r="G284" s="107"/>
      <c r="H284" s="108">
        <v>0.33333333333333298</v>
      </c>
      <c r="I284" s="109">
        <f t="shared" si="6"/>
        <v>1</v>
      </c>
      <c r="J284" s="109">
        <v>0.9</v>
      </c>
      <c r="K284" s="82"/>
      <c r="L284" s="112"/>
    </row>
    <row r="285" spans="1:12">
      <c r="A285" s="253"/>
      <c r="B285" s="244"/>
      <c r="C285" s="244"/>
      <c r="D285" s="78"/>
      <c r="E285" s="159"/>
      <c r="F285" s="111" t="s">
        <v>1252</v>
      </c>
      <c r="G285" s="107"/>
      <c r="H285" s="108">
        <v>0.33333333333333298</v>
      </c>
      <c r="I285" s="109">
        <f t="shared" si="6"/>
        <v>1</v>
      </c>
      <c r="J285" s="109">
        <v>0.9</v>
      </c>
      <c r="K285" s="82"/>
      <c r="L285" s="82"/>
    </row>
    <row r="286" spans="1:12" ht="15" thickBot="1">
      <c r="A286" s="253"/>
      <c r="B286" s="245"/>
      <c r="C286" s="245"/>
      <c r="D286" s="78"/>
      <c r="E286" s="113"/>
      <c r="F286" s="114" t="s">
        <v>1253</v>
      </c>
      <c r="G286" s="107"/>
      <c r="H286" s="108">
        <v>0.33333333333333331</v>
      </c>
      <c r="I286" s="109">
        <f t="shared" si="6"/>
        <v>1</v>
      </c>
      <c r="J286" s="109">
        <v>0.9</v>
      </c>
      <c r="K286" s="82"/>
      <c r="L286" s="82"/>
    </row>
    <row r="287" spans="1:12">
      <c r="A287" s="253"/>
      <c r="B287" s="251"/>
      <c r="C287" s="248" t="s">
        <v>1198</v>
      </c>
      <c r="D287" s="132"/>
      <c r="E287" s="158"/>
      <c r="F287" s="125" t="s">
        <v>1251</v>
      </c>
      <c r="G287" s="126"/>
      <c r="H287" s="127">
        <v>0.33333333333333298</v>
      </c>
      <c r="I287" s="109">
        <f t="shared" si="6"/>
        <v>1</v>
      </c>
      <c r="J287" s="134">
        <v>0.9</v>
      </c>
      <c r="K287" s="135"/>
      <c r="L287" s="137"/>
    </row>
    <row r="288" spans="1:12">
      <c r="A288" s="253"/>
      <c r="B288" s="244"/>
      <c r="C288" s="249"/>
      <c r="D288" s="132"/>
      <c r="E288" s="158"/>
      <c r="F288" s="125" t="s">
        <v>1252</v>
      </c>
      <c r="G288" s="126"/>
      <c r="H288" s="127">
        <v>0.33333333333333298</v>
      </c>
      <c r="I288" s="109">
        <f t="shared" si="6"/>
        <v>1</v>
      </c>
      <c r="J288" s="134">
        <v>0.9</v>
      </c>
      <c r="K288" s="135"/>
      <c r="L288" s="136"/>
    </row>
    <row r="289" spans="1:12">
      <c r="A289" s="253"/>
      <c r="B289" s="244"/>
      <c r="C289" s="250"/>
      <c r="D289" s="132"/>
      <c r="E289" s="133"/>
      <c r="F289" s="128" t="s">
        <v>1253</v>
      </c>
      <c r="G289" s="126"/>
      <c r="H289" s="127">
        <v>0.33333333333333298</v>
      </c>
      <c r="I289" s="109">
        <f t="shared" si="6"/>
        <v>1</v>
      </c>
      <c r="J289" s="134">
        <v>0.9</v>
      </c>
      <c r="K289" s="133"/>
      <c r="L289" s="136"/>
    </row>
    <row r="290" spans="1:12">
      <c r="A290" s="253"/>
      <c r="B290" s="244"/>
      <c r="C290" s="243" t="s">
        <v>1196</v>
      </c>
      <c r="D290" s="78"/>
      <c r="E290" s="159"/>
      <c r="F290" s="111" t="s">
        <v>1251</v>
      </c>
      <c r="G290" s="107"/>
      <c r="H290" s="108">
        <v>0.33333333333333298</v>
      </c>
      <c r="I290" s="109">
        <f t="shared" si="6"/>
        <v>1</v>
      </c>
      <c r="J290" s="109">
        <v>0.9</v>
      </c>
      <c r="K290" s="82"/>
      <c r="L290" s="112"/>
    </row>
    <row r="291" spans="1:12">
      <c r="A291" s="253"/>
      <c r="B291" s="244"/>
      <c r="C291" s="244"/>
      <c r="D291" s="78"/>
      <c r="E291" s="159"/>
      <c r="F291" s="111" t="s">
        <v>1252</v>
      </c>
      <c r="G291" s="107"/>
      <c r="H291" s="108">
        <v>0.33333333333333298</v>
      </c>
      <c r="I291" s="109">
        <f t="shared" si="6"/>
        <v>1</v>
      </c>
      <c r="J291" s="109">
        <v>0.9</v>
      </c>
      <c r="K291" s="82"/>
      <c r="L291" s="82"/>
    </row>
    <row r="292" spans="1:12">
      <c r="A292" s="253"/>
      <c r="B292" s="244"/>
      <c r="C292" s="245"/>
      <c r="D292" s="78"/>
      <c r="E292" s="113"/>
      <c r="F292" s="114" t="s">
        <v>1253</v>
      </c>
      <c r="G292" s="107"/>
      <c r="H292" s="108">
        <v>0.33333333333333298</v>
      </c>
      <c r="I292" s="109">
        <f t="shared" si="6"/>
        <v>1</v>
      </c>
      <c r="J292" s="109">
        <v>0.9</v>
      </c>
      <c r="K292" s="82"/>
      <c r="L292" s="82"/>
    </row>
    <row r="293" spans="1:12">
      <c r="A293" s="253"/>
      <c r="B293" s="244"/>
      <c r="C293" s="248" t="s">
        <v>1197</v>
      </c>
      <c r="D293" s="132"/>
      <c r="E293" s="158"/>
      <c r="F293" s="125" t="s">
        <v>1251</v>
      </c>
      <c r="G293" s="126"/>
      <c r="H293" s="127">
        <v>0.33333333333333298</v>
      </c>
      <c r="I293" s="109">
        <f t="shared" si="6"/>
        <v>1</v>
      </c>
      <c r="J293" s="134">
        <v>0.9</v>
      </c>
      <c r="K293" s="135"/>
      <c r="L293" s="137"/>
    </row>
    <row r="294" spans="1:12">
      <c r="A294" s="253"/>
      <c r="B294" s="244"/>
      <c r="C294" s="249"/>
      <c r="D294" s="132"/>
      <c r="E294" s="158"/>
      <c r="F294" s="129" t="s">
        <v>1252</v>
      </c>
      <c r="G294" s="126"/>
      <c r="H294" s="127">
        <v>0.33333333333333298</v>
      </c>
      <c r="I294" s="109">
        <f t="shared" si="6"/>
        <v>1</v>
      </c>
      <c r="J294" s="134">
        <v>0.9</v>
      </c>
      <c r="K294" s="135"/>
      <c r="L294" s="136"/>
    </row>
    <row r="295" spans="1:12" ht="15" thickBot="1">
      <c r="A295" s="253"/>
      <c r="B295" s="245"/>
      <c r="C295" s="250"/>
      <c r="D295" s="132"/>
      <c r="E295" s="133"/>
      <c r="F295" s="128" t="s">
        <v>1253</v>
      </c>
      <c r="G295" s="126"/>
      <c r="H295" s="131">
        <v>0.33333333333333298</v>
      </c>
      <c r="I295" s="115">
        <f t="shared" si="6"/>
        <v>1</v>
      </c>
      <c r="J295" s="134">
        <v>0.9</v>
      </c>
      <c r="K295" s="133"/>
      <c r="L295" s="136"/>
    </row>
    <row r="296" spans="1:12">
      <c r="A296" s="253"/>
      <c r="B296" s="251"/>
      <c r="C296" s="243" t="s">
        <v>1198</v>
      </c>
      <c r="D296" s="78"/>
      <c r="E296" s="159"/>
      <c r="F296" s="111" t="s">
        <v>1251</v>
      </c>
      <c r="G296" s="107"/>
      <c r="H296" s="108">
        <v>0.33333333333333331</v>
      </c>
      <c r="I296" s="109">
        <f t="shared" si="6"/>
        <v>1</v>
      </c>
      <c r="J296" s="109">
        <v>0.9</v>
      </c>
      <c r="K296" s="82"/>
      <c r="L296" s="112"/>
    </row>
    <row r="297" spans="1:12">
      <c r="A297" s="253"/>
      <c r="B297" s="244"/>
      <c r="C297" s="244"/>
      <c r="D297" s="78"/>
      <c r="E297" s="159"/>
      <c r="F297" s="106" t="s">
        <v>1252</v>
      </c>
      <c r="G297" s="107"/>
      <c r="H297" s="108">
        <v>0.33333333333333298</v>
      </c>
      <c r="I297" s="109">
        <f t="shared" si="6"/>
        <v>1</v>
      </c>
      <c r="J297" s="109">
        <v>0.9</v>
      </c>
      <c r="K297" s="82"/>
      <c r="L297" s="82"/>
    </row>
    <row r="298" spans="1:12">
      <c r="A298" s="253"/>
      <c r="B298" s="244"/>
      <c r="C298" s="245"/>
      <c r="D298" s="78"/>
      <c r="E298" s="113"/>
      <c r="F298" s="114" t="s">
        <v>1253</v>
      </c>
      <c r="G298" s="107"/>
      <c r="H298" s="108">
        <v>0.33333333333333298</v>
      </c>
      <c r="I298" s="109">
        <f t="shared" si="6"/>
        <v>1</v>
      </c>
      <c r="J298" s="109">
        <v>0.9</v>
      </c>
      <c r="K298" s="82"/>
      <c r="L298" s="82"/>
    </row>
    <row r="299" spans="1:12">
      <c r="A299" s="253"/>
      <c r="B299" s="244"/>
      <c r="C299" s="248" t="s">
        <v>1196</v>
      </c>
      <c r="D299" s="132"/>
      <c r="E299" s="158"/>
      <c r="F299" s="125" t="s">
        <v>1251</v>
      </c>
      <c r="G299" s="126"/>
      <c r="H299" s="127">
        <v>0.33333333333333298</v>
      </c>
      <c r="I299" s="109">
        <f t="shared" si="6"/>
        <v>1</v>
      </c>
      <c r="J299" s="134">
        <v>0.9</v>
      </c>
      <c r="K299" s="135"/>
      <c r="L299" s="137"/>
    </row>
    <row r="300" spans="1:12">
      <c r="A300" s="253"/>
      <c r="B300" s="244"/>
      <c r="C300" s="249"/>
      <c r="D300" s="132"/>
      <c r="E300" s="158"/>
      <c r="F300" s="129" t="s">
        <v>1252</v>
      </c>
      <c r="G300" s="126"/>
      <c r="H300" s="127">
        <v>0.33333333333333298</v>
      </c>
      <c r="I300" s="109">
        <f t="shared" si="6"/>
        <v>1</v>
      </c>
      <c r="J300" s="134">
        <v>0.9</v>
      </c>
      <c r="K300" s="135"/>
      <c r="L300" s="136"/>
    </row>
    <row r="301" spans="1:12">
      <c r="A301" s="253"/>
      <c r="B301" s="244"/>
      <c r="C301" s="250"/>
      <c r="D301" s="132"/>
      <c r="E301" s="133"/>
      <c r="F301" s="128" t="s">
        <v>1253</v>
      </c>
      <c r="G301" s="126"/>
      <c r="H301" s="127">
        <v>0.33333333333333298</v>
      </c>
      <c r="I301" s="109">
        <f t="shared" si="6"/>
        <v>1</v>
      </c>
      <c r="J301" s="134">
        <v>0.9</v>
      </c>
      <c r="K301" s="135"/>
      <c r="L301" s="136"/>
    </row>
    <row r="302" spans="1:12">
      <c r="A302" s="253"/>
      <c r="B302" s="244"/>
      <c r="C302" s="243" t="s">
        <v>1197</v>
      </c>
      <c r="D302" s="78"/>
      <c r="E302" s="159"/>
      <c r="F302" s="111" t="s">
        <v>1251</v>
      </c>
      <c r="G302" s="107"/>
      <c r="H302" s="108">
        <v>0.33333333333333298</v>
      </c>
      <c r="I302" s="109">
        <f t="shared" si="6"/>
        <v>1</v>
      </c>
      <c r="J302" s="109">
        <v>0.9</v>
      </c>
      <c r="K302" s="82"/>
      <c r="L302" s="112"/>
    </row>
    <row r="303" spans="1:12">
      <c r="A303" s="253"/>
      <c r="B303" s="244"/>
      <c r="C303" s="244"/>
      <c r="D303" s="78"/>
      <c r="E303" s="159"/>
      <c r="F303" s="106" t="s">
        <v>1252</v>
      </c>
      <c r="G303" s="107"/>
      <c r="H303" s="108">
        <v>0.33333333333333298</v>
      </c>
      <c r="I303" s="109">
        <f t="shared" si="6"/>
        <v>1</v>
      </c>
      <c r="J303" s="109">
        <v>0.9</v>
      </c>
      <c r="K303" s="82"/>
      <c r="L303" s="82"/>
    </row>
    <row r="304" spans="1:12" ht="15" thickBot="1">
      <c r="A304" s="253"/>
      <c r="B304" s="245"/>
      <c r="C304" s="245"/>
      <c r="D304" s="78"/>
      <c r="E304" s="113"/>
      <c r="F304" s="114" t="s">
        <v>1253</v>
      </c>
      <c r="G304" s="107"/>
      <c r="H304" s="108">
        <v>0.33333333333333298</v>
      </c>
      <c r="I304" s="109">
        <f t="shared" si="6"/>
        <v>1</v>
      </c>
      <c r="J304" s="109">
        <v>0.9</v>
      </c>
      <c r="K304" s="82"/>
      <c r="L304" s="82"/>
    </row>
    <row r="305" spans="1:12">
      <c r="A305" s="253"/>
      <c r="B305" s="251"/>
      <c r="C305" s="248" t="s">
        <v>1198</v>
      </c>
      <c r="D305" s="132"/>
      <c r="E305" s="158"/>
      <c r="F305" s="125" t="s">
        <v>1251</v>
      </c>
      <c r="G305" s="126"/>
      <c r="H305" s="127">
        <v>0.33333333333333331</v>
      </c>
      <c r="I305" s="109">
        <f t="shared" si="6"/>
        <v>1</v>
      </c>
      <c r="J305" s="134">
        <v>0.9</v>
      </c>
      <c r="K305" s="135"/>
      <c r="L305" s="137"/>
    </row>
    <row r="306" spans="1:12">
      <c r="A306" s="253"/>
      <c r="B306" s="244"/>
      <c r="C306" s="249"/>
      <c r="D306" s="132"/>
      <c r="E306" s="158"/>
      <c r="F306" s="129" t="s">
        <v>1252</v>
      </c>
      <c r="G306" s="126"/>
      <c r="H306" s="127">
        <v>0.33333333333333298</v>
      </c>
      <c r="I306" s="109">
        <f t="shared" si="6"/>
        <v>1</v>
      </c>
      <c r="J306" s="134">
        <v>0.9</v>
      </c>
      <c r="K306" s="135"/>
      <c r="L306" s="136"/>
    </row>
    <row r="307" spans="1:12">
      <c r="A307" s="253"/>
      <c r="B307" s="244"/>
      <c r="C307" s="250"/>
      <c r="D307" s="132"/>
      <c r="E307" s="133"/>
      <c r="F307" s="128" t="s">
        <v>1253</v>
      </c>
      <c r="G307" s="126"/>
      <c r="H307" s="127">
        <v>0.33333333333333298</v>
      </c>
      <c r="I307" s="109">
        <f t="shared" si="6"/>
        <v>1</v>
      </c>
      <c r="J307" s="134">
        <v>0.9</v>
      </c>
      <c r="K307" s="135"/>
      <c r="L307" s="136"/>
    </row>
    <row r="308" spans="1:12">
      <c r="A308" s="253"/>
      <c r="B308" s="244"/>
      <c r="C308" s="243" t="s">
        <v>1196</v>
      </c>
      <c r="D308" s="78"/>
      <c r="E308" s="159"/>
      <c r="F308" s="111" t="s">
        <v>1251</v>
      </c>
      <c r="G308" s="107"/>
      <c r="H308" s="108">
        <v>0.33333333333333298</v>
      </c>
      <c r="I308" s="109">
        <f t="shared" si="6"/>
        <v>1</v>
      </c>
      <c r="J308" s="109">
        <v>0.9</v>
      </c>
      <c r="K308" s="82"/>
      <c r="L308" s="112"/>
    </row>
    <row r="309" spans="1:12">
      <c r="A309" s="253"/>
      <c r="B309" s="244"/>
      <c r="C309" s="244"/>
      <c r="D309" s="78"/>
      <c r="E309" s="159"/>
      <c r="F309" s="106" t="s">
        <v>1252</v>
      </c>
      <c r="G309" s="107"/>
      <c r="H309" s="108">
        <v>0.33333333333333298</v>
      </c>
      <c r="I309" s="109">
        <f t="shared" si="6"/>
        <v>1</v>
      </c>
      <c r="J309" s="109">
        <v>0.9</v>
      </c>
      <c r="K309" s="82"/>
      <c r="L309" s="82"/>
    </row>
    <row r="310" spans="1:12">
      <c r="A310" s="253"/>
      <c r="B310" s="244"/>
      <c r="C310" s="245"/>
      <c r="D310" s="78"/>
      <c r="E310" s="113"/>
      <c r="F310" s="114" t="s">
        <v>1253</v>
      </c>
      <c r="G310" s="107"/>
      <c r="H310" s="108">
        <v>0.33333333333333298</v>
      </c>
      <c r="I310" s="109">
        <f t="shared" si="6"/>
        <v>1</v>
      </c>
      <c r="J310" s="109">
        <v>0.9</v>
      </c>
      <c r="K310" s="82"/>
      <c r="L310" s="82"/>
    </row>
    <row r="311" spans="1:12">
      <c r="A311" s="253"/>
      <c r="B311" s="244"/>
      <c r="C311" s="248" t="s">
        <v>1197</v>
      </c>
      <c r="D311" s="132"/>
      <c r="E311" s="158"/>
      <c r="F311" s="125" t="s">
        <v>1251</v>
      </c>
      <c r="G311" s="126"/>
      <c r="H311" s="127">
        <v>0.33333333333333298</v>
      </c>
      <c r="I311" s="109">
        <f t="shared" si="6"/>
        <v>1</v>
      </c>
      <c r="J311" s="134">
        <v>0.9</v>
      </c>
      <c r="K311" s="133"/>
      <c r="L311" s="137"/>
    </row>
    <row r="312" spans="1:12">
      <c r="A312" s="253"/>
      <c r="B312" s="244"/>
      <c r="C312" s="249"/>
      <c r="D312" s="132"/>
      <c r="E312" s="158"/>
      <c r="F312" s="129" t="s">
        <v>1252</v>
      </c>
      <c r="G312" s="126"/>
      <c r="H312" s="127">
        <v>0.33333333333333298</v>
      </c>
      <c r="I312" s="109">
        <f t="shared" si="6"/>
        <v>1</v>
      </c>
      <c r="J312" s="134">
        <v>0.9</v>
      </c>
      <c r="K312" s="135"/>
      <c r="L312" s="136"/>
    </row>
    <row r="313" spans="1:12">
      <c r="A313" s="253"/>
      <c r="B313" s="245"/>
      <c r="C313" s="250"/>
      <c r="D313" s="132"/>
      <c r="E313" s="133"/>
      <c r="F313" s="128" t="s">
        <v>1253</v>
      </c>
      <c r="G313" s="126"/>
      <c r="H313" s="127">
        <v>0.33333333333333298</v>
      </c>
      <c r="I313" s="109">
        <f t="shared" si="6"/>
        <v>1</v>
      </c>
      <c r="J313" s="134">
        <v>0.9</v>
      </c>
      <c r="K313" s="133"/>
      <c r="L313" s="136"/>
    </row>
    <row r="314" spans="1:12">
      <c r="A314" s="253"/>
      <c r="B314" s="117"/>
      <c r="C314" s="117"/>
      <c r="D314" s="118"/>
      <c r="E314" s="118"/>
      <c r="F314" s="119" t="s">
        <v>1251</v>
      </c>
      <c r="G314" s="124"/>
      <c r="H314" s="124"/>
      <c r="I314" s="120">
        <f>AVERAGEIF(F278:F313,F314,I278:I313)</f>
        <v>1</v>
      </c>
      <c r="J314" s="121">
        <v>0.9</v>
      </c>
      <c r="K314" s="118"/>
      <c r="L314" s="116"/>
    </row>
    <row r="315" spans="1:12">
      <c r="A315" s="253"/>
      <c r="B315" s="117"/>
      <c r="C315" s="117"/>
      <c r="D315" s="118"/>
      <c r="E315" s="118"/>
      <c r="F315" s="119" t="s">
        <v>1252</v>
      </c>
      <c r="G315" s="124"/>
      <c r="H315" s="124"/>
      <c r="I315" s="120">
        <f>AVERAGEIF(F278:F313,F315,I278:I313)</f>
        <v>1</v>
      </c>
      <c r="J315" s="121">
        <v>0.9</v>
      </c>
      <c r="K315" s="118"/>
      <c r="L315" s="116"/>
    </row>
    <row r="316" spans="1:12">
      <c r="A316" s="253"/>
      <c r="B316" s="117"/>
      <c r="C316" s="117"/>
      <c r="D316" s="118"/>
      <c r="E316" s="118"/>
      <c r="F316" s="119" t="s">
        <v>1253</v>
      </c>
      <c r="G316" s="124"/>
      <c r="H316" s="124"/>
      <c r="I316" s="120">
        <f>AVERAGEIF(F278:F313,F316,I278:I313)</f>
        <v>1</v>
      </c>
      <c r="J316" s="121">
        <v>0.9</v>
      </c>
      <c r="K316" s="118"/>
      <c r="L316" s="116"/>
    </row>
  </sheetData>
  <mergeCells count="174">
    <mergeCell ref="A278:A316"/>
    <mergeCell ref="B305:B313"/>
    <mergeCell ref="C305:C307"/>
    <mergeCell ref="C308:C310"/>
    <mergeCell ref="C311:C313"/>
    <mergeCell ref="B11:B19"/>
    <mergeCell ref="C11:C13"/>
    <mergeCell ref="C14:C16"/>
    <mergeCell ref="C17:C19"/>
    <mergeCell ref="C23:C25"/>
    <mergeCell ref="C287:C289"/>
    <mergeCell ref="C290:C292"/>
    <mergeCell ref="C293:C295"/>
    <mergeCell ref="B296:B304"/>
    <mergeCell ref="C296:C298"/>
    <mergeCell ref="C299:C301"/>
    <mergeCell ref="C302:C304"/>
    <mergeCell ref="B266:B274"/>
    <mergeCell ref="C266:C268"/>
    <mergeCell ref="C269:C271"/>
    <mergeCell ref="C272:C274"/>
    <mergeCell ref="B278:B286"/>
    <mergeCell ref="C278:C280"/>
    <mergeCell ref="C281:C283"/>
    <mergeCell ref="C284:C286"/>
    <mergeCell ref="B287:B295"/>
    <mergeCell ref="B248:B256"/>
    <mergeCell ref="C248:C250"/>
    <mergeCell ref="C251:C253"/>
    <mergeCell ref="C254:C256"/>
    <mergeCell ref="B257:B265"/>
    <mergeCell ref="C257:C259"/>
    <mergeCell ref="C260:C262"/>
    <mergeCell ref="C263:C265"/>
    <mergeCell ref="C230:C232"/>
    <mergeCell ref="C233:C235"/>
    <mergeCell ref="C236:C238"/>
    <mergeCell ref="B239:B247"/>
    <mergeCell ref="C239:C241"/>
    <mergeCell ref="C242:C244"/>
    <mergeCell ref="C245:C247"/>
    <mergeCell ref="A212:A277"/>
    <mergeCell ref="B212:B220"/>
    <mergeCell ref="C212:C214"/>
    <mergeCell ref="C215:C217"/>
    <mergeCell ref="C218:C220"/>
    <mergeCell ref="B221:B229"/>
    <mergeCell ref="C221:C223"/>
    <mergeCell ref="C224:C226"/>
    <mergeCell ref="C227:C229"/>
    <mergeCell ref="B230:B238"/>
    <mergeCell ref="B191:B199"/>
    <mergeCell ref="C191:C193"/>
    <mergeCell ref="C194:C196"/>
    <mergeCell ref="C197:C199"/>
    <mergeCell ref="B200:B208"/>
    <mergeCell ref="C200:C202"/>
    <mergeCell ref="C203:C205"/>
    <mergeCell ref="C206:C208"/>
    <mergeCell ref="B173:B181"/>
    <mergeCell ref="C173:C175"/>
    <mergeCell ref="C176:C178"/>
    <mergeCell ref="C179:C181"/>
    <mergeCell ref="B182:B190"/>
    <mergeCell ref="C182:C184"/>
    <mergeCell ref="C185:C187"/>
    <mergeCell ref="C188:C190"/>
    <mergeCell ref="A146:A211"/>
    <mergeCell ref="B146:B154"/>
    <mergeCell ref="C146:C148"/>
    <mergeCell ref="C149:C151"/>
    <mergeCell ref="C152:C154"/>
    <mergeCell ref="B155:B163"/>
    <mergeCell ref="B116:B124"/>
    <mergeCell ref="C116:C118"/>
    <mergeCell ref="C119:C121"/>
    <mergeCell ref="C122:C124"/>
    <mergeCell ref="B125:B133"/>
    <mergeCell ref="C125:C127"/>
    <mergeCell ref="C128:C130"/>
    <mergeCell ref="C131:C133"/>
    <mergeCell ref="C155:C157"/>
    <mergeCell ref="C158:C160"/>
    <mergeCell ref="C161:C163"/>
    <mergeCell ref="B164:B172"/>
    <mergeCell ref="C164:C166"/>
    <mergeCell ref="C167:C169"/>
    <mergeCell ref="C170:C172"/>
    <mergeCell ref="B134:B142"/>
    <mergeCell ref="C134:C136"/>
    <mergeCell ref="C137:C139"/>
    <mergeCell ref="C98:C100"/>
    <mergeCell ref="C101:C103"/>
    <mergeCell ref="C104:C106"/>
    <mergeCell ref="B107:B115"/>
    <mergeCell ref="C107:C109"/>
    <mergeCell ref="C110:C112"/>
    <mergeCell ref="C113:C115"/>
    <mergeCell ref="A80:A145"/>
    <mergeCell ref="B80:B88"/>
    <mergeCell ref="C80:C82"/>
    <mergeCell ref="C83:C85"/>
    <mergeCell ref="C86:C88"/>
    <mergeCell ref="B89:B97"/>
    <mergeCell ref="C89:C91"/>
    <mergeCell ref="C92:C94"/>
    <mergeCell ref="C95:C97"/>
    <mergeCell ref="B98:B106"/>
    <mergeCell ref="C140:C142"/>
    <mergeCell ref="B59:B67"/>
    <mergeCell ref="C59:C61"/>
    <mergeCell ref="C62:C64"/>
    <mergeCell ref="C65:C67"/>
    <mergeCell ref="B68:B76"/>
    <mergeCell ref="C68:C70"/>
    <mergeCell ref="C71:C73"/>
    <mergeCell ref="C74:C76"/>
    <mergeCell ref="N55:N56"/>
    <mergeCell ref="B50:B58"/>
    <mergeCell ref="O55:O56"/>
    <mergeCell ref="P55:P56"/>
    <mergeCell ref="Q55:Q56"/>
    <mergeCell ref="C56:C58"/>
    <mergeCell ref="P57:P60"/>
    <mergeCell ref="Q57:Q60"/>
    <mergeCell ref="C47:C49"/>
    <mergeCell ref="N48:N49"/>
    <mergeCell ref="O48:O49"/>
    <mergeCell ref="P48:P49"/>
    <mergeCell ref="Q48:Q49"/>
    <mergeCell ref="C50:C52"/>
    <mergeCell ref="P50:P53"/>
    <mergeCell ref="Q50:Q53"/>
    <mergeCell ref="C53:C55"/>
    <mergeCell ref="N41:N42"/>
    <mergeCell ref="O41:O42"/>
    <mergeCell ref="P41:P42"/>
    <mergeCell ref="Q41:Q42"/>
    <mergeCell ref="P43:P46"/>
    <mergeCell ref="Q43:Q46"/>
    <mergeCell ref="C44:C46"/>
    <mergeCell ref="N34:N35"/>
    <mergeCell ref="O34:O35"/>
    <mergeCell ref="P34:P35"/>
    <mergeCell ref="Q34:Q35"/>
    <mergeCell ref="C35:C37"/>
    <mergeCell ref="P36:P39"/>
    <mergeCell ref="Q36:Q39"/>
    <mergeCell ref="C38:C40"/>
    <mergeCell ref="N27:N28"/>
    <mergeCell ref="O27:O28"/>
    <mergeCell ref="P27:P28"/>
    <mergeCell ref="Q27:Q28"/>
    <mergeCell ref="C29:C31"/>
    <mergeCell ref="P29:P31"/>
    <mergeCell ref="Q29:Q31"/>
    <mergeCell ref="A4:F4"/>
    <mergeCell ref="G4:J4"/>
    <mergeCell ref="K4:L4"/>
    <mergeCell ref="C26:C28"/>
    <mergeCell ref="A11:A22"/>
    <mergeCell ref="A23:A79"/>
    <mergeCell ref="B23:B31"/>
    <mergeCell ref="B32:B40"/>
    <mergeCell ref="C32:C34"/>
    <mergeCell ref="B41:B49"/>
    <mergeCell ref="A1:F1"/>
    <mergeCell ref="G1:J1"/>
    <mergeCell ref="K1:L1"/>
    <mergeCell ref="A2:L2"/>
    <mergeCell ref="A3:F3"/>
    <mergeCell ref="G3:J3"/>
    <mergeCell ref="K3:L3"/>
    <mergeCell ref="C41:C43"/>
  </mergeCells>
  <conditionalFormatting sqref="F11:F19 F23:F76">
    <cfRule type="containsText" dxfId="15" priority="4" operator="containsText" text="P'NUT">
      <formula>NOT(ISERROR(SEARCH("P'NUT",F11)))</formula>
    </cfRule>
  </conditionalFormatting>
  <conditionalFormatting sqref="F11:F76">
    <cfRule type="containsText" dxfId="14" priority="2" operator="containsText" text="P'SUP">
      <formula>NOT(ISERROR(SEARCH("P'SUP",F11)))</formula>
    </cfRule>
  </conditionalFormatting>
  <conditionalFormatting sqref="F11:F316">
    <cfRule type="containsText" dxfId="13" priority="5" operator="containsText" text="P'SUP">
      <formula>NOT(ISERROR(SEARCH("P'SUP",F11)))</formula>
    </cfRule>
  </conditionalFormatting>
  <conditionalFormatting sqref="F20:F22">
    <cfRule type="containsText" dxfId="12" priority="1" operator="containsText" text="P'NUT">
      <formula>NOT(ISERROR(SEARCH("P'NUT",F20)))</formula>
    </cfRule>
  </conditionalFormatting>
  <conditionalFormatting sqref="F77:F316">
    <cfRule type="containsText" dxfId="11" priority="14" operator="containsText" text="P'NUT">
      <formula>NOT(ISERROR(SEARCH("P'NUT",F77)))</formula>
    </cfRule>
    <cfRule type="containsText" dxfId="10" priority="15" operator="containsText" text="P'SUP">
      <formula>NOT(ISERROR(SEARCH("P'SUP",F77)))</formula>
    </cfRule>
  </conditionalFormatting>
  <conditionalFormatting sqref="I11:I316">
    <cfRule type="cellIs" dxfId="9" priority="12" operator="greaterThan">
      <formula>0.85</formula>
    </cfRule>
    <cfRule type="cellIs" dxfId="8" priority="13" operator="lessThan">
      <formula>0.85</formula>
    </cfRule>
  </conditionalFormatting>
  <conditionalFormatting sqref="O37:O39">
    <cfRule type="cellIs" dxfId="7" priority="8" operator="lessThan">
      <formula>0.85</formula>
    </cfRule>
  </conditionalFormatting>
  <conditionalFormatting sqref="O29:P31">
    <cfRule type="cellIs" dxfId="6" priority="11" operator="lessThan">
      <formula>0.85</formula>
    </cfRule>
  </conditionalFormatting>
  <conditionalFormatting sqref="O36:P36">
    <cfRule type="cellIs" dxfId="5" priority="10" operator="lessThan">
      <formula>0.85</formula>
    </cfRule>
  </conditionalFormatting>
  <conditionalFormatting sqref="O43:P43 O44:O46">
    <cfRule type="cellIs" dxfId="4" priority="9" operator="lessThan">
      <formula>0.85</formula>
    </cfRule>
  </conditionalFormatting>
  <conditionalFormatting sqref="O50:P50 O51:O53">
    <cfRule type="cellIs" dxfId="3" priority="7" operator="lessThan">
      <formula>0.85</formula>
    </cfRule>
  </conditionalFormatting>
  <conditionalFormatting sqref="O57:P57 O58:O60">
    <cfRule type="cellIs" dxfId="2" priority="6" operator="lessThan">
      <formula>0.85</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4C5DC84D-B9D6-4EB4-B528-AF803F528D6B}">
          <x14:formula1>
            <xm:f>n!$A$2:$A$6</xm:f>
          </x14:formula1>
          <xm:sqref>P43 P36 P50 P57</xm:sqref>
        </x14:dataValidation>
        <x14:dataValidation type="list" allowBlank="1" showInputMessage="1" showErrorMessage="1" xr:uid="{FF0DCFD0-1CC7-4BD2-8E88-0D07F7A02A0D}">
          <x14:formula1>
            <xm:f>n!$B$2:$B$4</xm:f>
          </x14:formula1>
          <xm:sqref>C11:C316</xm:sqref>
        </x14:dataValidation>
        <x14:dataValidation type="list" allowBlank="1" showInputMessage="1" showErrorMessage="1" xr:uid="{76662AD2-D641-48F3-ABF1-5A422FF05639}">
          <x14:formula1>
            <xm:f>n!$A$1:$A$6</xm:f>
          </x14:formula1>
          <xm:sqref>D11:E316</xm:sqref>
        </x14:dataValidation>
        <x14:dataValidation type="list" allowBlank="1" showInputMessage="1" showErrorMessage="1" xr:uid="{96A76B29-472A-4EF9-AF77-FED4070C42CD}">
          <x14:formula1>
            <xm:f>n!$A$8:$A$10</xm:f>
          </x14:formula1>
          <xm:sqref>F11:F316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B177D-59A2-471A-A5B0-64546E9D1EF5}">
  <dimension ref="A5:O10"/>
  <sheetViews>
    <sheetView workbookViewId="0">
      <selection activeCell="O9" sqref="O9"/>
    </sheetView>
  </sheetViews>
  <sheetFormatPr baseColWidth="10" defaultRowHeight="14.4"/>
  <cols>
    <col min="2" max="2" width="7.21875" customWidth="1"/>
    <col min="3" max="3" width="6.88671875" customWidth="1"/>
    <col min="4" max="4" width="6.21875" customWidth="1"/>
    <col min="5" max="5" width="6.44140625" customWidth="1"/>
    <col min="6" max="6" width="6.88671875" customWidth="1"/>
    <col min="7" max="8" width="7" customWidth="1"/>
    <col min="9" max="9" width="6.33203125" customWidth="1"/>
    <col min="10" max="10" width="6" customWidth="1"/>
    <col min="11" max="11" width="6.33203125" customWidth="1"/>
    <col min="12" max="12" width="6.21875" customWidth="1"/>
    <col min="13" max="13" width="6.5546875" customWidth="1"/>
    <col min="14" max="14" width="12" customWidth="1"/>
    <col min="15" max="15" width="33.6640625" customWidth="1"/>
  </cols>
  <sheetData>
    <row r="5" spans="1:15">
      <c r="A5" t="s">
        <v>1287</v>
      </c>
      <c r="B5" t="s">
        <v>1212</v>
      </c>
      <c r="C5" t="s">
        <v>1213</v>
      </c>
      <c r="D5" t="s">
        <v>1214</v>
      </c>
      <c r="E5" t="s">
        <v>1215</v>
      </c>
      <c r="F5" t="s">
        <v>1216</v>
      </c>
      <c r="G5" t="s">
        <v>1217</v>
      </c>
      <c r="H5" t="s">
        <v>1218</v>
      </c>
      <c r="I5" t="s">
        <v>1219</v>
      </c>
      <c r="J5" t="s">
        <v>1611</v>
      </c>
      <c r="K5" t="s">
        <v>1612</v>
      </c>
      <c r="L5" t="s">
        <v>1613</v>
      </c>
      <c r="M5" t="s">
        <v>1615</v>
      </c>
      <c r="N5" t="s">
        <v>1614</v>
      </c>
      <c r="O5" t="s">
        <v>1255</v>
      </c>
    </row>
    <row r="6" spans="1:15">
      <c r="A6" t="s">
        <v>1251</v>
      </c>
      <c r="B6" s="200">
        <f>'Dispo jan25'!O17</f>
        <v>0.41092592592592569</v>
      </c>
      <c r="C6" s="200">
        <f>'Dispo fevr25'!O17</f>
        <v>0</v>
      </c>
      <c r="D6" s="200">
        <f>'Dispo mars25'!O38</f>
        <v>0.44549603174603175</v>
      </c>
      <c r="E6" s="200">
        <f>Dispoavril25!O17</f>
        <v>0.98555555555555541</v>
      </c>
      <c r="F6" s="200">
        <f>DispoMai25!O17</f>
        <v>0.55674603174603177</v>
      </c>
      <c r="G6" s="200">
        <f>Dispojuin25!O29</f>
        <v>0.85267857142857129</v>
      </c>
      <c r="H6" s="200">
        <f>Dispojuil25!O17</f>
        <v>0.86241732804232796</v>
      </c>
      <c r="I6" s="200">
        <f>Dispaout25!O17</f>
        <v>0.95922619047619051</v>
      </c>
      <c r="J6" s="200">
        <f>Sept25!O24</f>
        <v>0.93166666666666664</v>
      </c>
      <c r="K6" s="200">
        <f>'Oct25'!O17</f>
        <v>0.95342757936507938</v>
      </c>
      <c r="L6" s="200">
        <f>'Nov25'!O17</f>
        <v>0.87311507936507926</v>
      </c>
      <c r="M6" s="200">
        <f>'Dec25'!O29</f>
        <v>0.99540441176470584</v>
      </c>
      <c r="N6" s="67">
        <f>(Tableau12[[#This Row],[JANVIER]]+Tableau12[[#This Row],[FEVRIER]]+Tableau12[[#This Row],[MARS]]+Tableau12[[#This Row],[AVRIL]]+Tableau12[[#This Row],[MAI]]+Tableau12[[#This Row],[JUIN]]+Tableau12[[#This Row],[JUILLET]]+Tableau12[[#This Row],[AOUT]]+Tableau12[[#This Row],[SEPT]]+Tableau12[[#This Row],[OCT]]+Tableau12[[#This Row],[NOV]]+Tableau12[[#This Row],[DEC]])/12</f>
        <v>0.73555494767351381</v>
      </c>
    </row>
    <row r="7" spans="1:15">
      <c r="A7" t="s">
        <v>1252</v>
      </c>
      <c r="B7" s="200">
        <f>'Dispo jan25'!O18</f>
        <v>0.92245370370370372</v>
      </c>
      <c r="C7" s="200">
        <f>'Dispo fevr25'!O18</f>
        <v>0.91290476190476189</v>
      </c>
      <c r="D7" s="200">
        <f>'Dispo mars25'!O39</f>
        <v>0.91170634920634919</v>
      </c>
      <c r="E7" s="200">
        <f>Dispoavril25!O18</f>
        <v>0.97956349206349214</v>
      </c>
      <c r="F7" s="200">
        <f>DispoMai25!O18</f>
        <v>0.53699404761904757</v>
      </c>
      <c r="G7" s="200">
        <f>Dispojuin25!O30</f>
        <v>0.88920304232804226</v>
      </c>
      <c r="H7" s="200">
        <f>Dispojuil25!O18</f>
        <v>0.81537698412698401</v>
      </c>
      <c r="I7" s="200">
        <f>Dispaout25!O18</f>
        <v>0.95208333333333339</v>
      </c>
      <c r="J7" s="200">
        <f>Sept25!O25</f>
        <v>0.83708333333333318</v>
      </c>
      <c r="K7" s="200">
        <f>'Oct25'!O18</f>
        <v>0.91655753968253961</v>
      </c>
      <c r="L7" s="200">
        <f>'Nov25'!O18</f>
        <v>0.8763293650793651</v>
      </c>
      <c r="M7" s="200">
        <f>'Dec25'!O30</f>
        <v>0.9780092592592593</v>
      </c>
      <c r="N7" s="67">
        <f>(Tableau12[[#This Row],[JANVIER]]+Tableau12[[#This Row],[FEVRIER]]+Tableau12[[#This Row],[MARS]]+Tableau12[[#This Row],[AVRIL]]+Tableau12[[#This Row],[MAI]]+Tableau12[[#This Row],[JUIN]]+Tableau12[[#This Row],[JUILLET]]+Tableau12[[#This Row],[AOUT]]+Tableau12[[#This Row],[SEPT]]+Tableau12[[#This Row],[OCT]]+Tableau12[[#This Row],[NOV]]+Tableau12[[#This Row],[DEC]])/12</f>
        <v>0.87735543430335083</v>
      </c>
    </row>
    <row r="8" spans="1:15">
      <c r="A8" t="s">
        <v>1253</v>
      </c>
      <c r="B8" s="200">
        <f>'Dispo jan25'!O19</f>
        <v>0.83773148148148147</v>
      </c>
      <c r="C8" s="200">
        <f>'Dispo fevr25'!O19</f>
        <v>0.82701984126984129</v>
      </c>
      <c r="D8" s="200">
        <f>'Dispo mars25'!O40</f>
        <v>0.84047619047619038</v>
      </c>
      <c r="E8" s="200">
        <f>Dispoavril25!O19</f>
        <v>0.69869047619047608</v>
      </c>
      <c r="F8" s="200">
        <f>DispoMai25!O19</f>
        <v>0.88313657407407398</v>
      </c>
      <c r="G8" s="200">
        <f>Dispojuin25!O31</f>
        <v>0.45791997354497349</v>
      </c>
      <c r="H8" s="200">
        <f>Dispojuil25!O19</f>
        <v>0.1479828042328041</v>
      </c>
      <c r="I8" s="200">
        <f>Dispaout25!O19</f>
        <v>0.93789682539682528</v>
      </c>
      <c r="J8" s="200">
        <f>Sept25!O26</f>
        <v>0.91499999999999981</v>
      </c>
      <c r="K8" s="200">
        <f>'Oct25'!O19</f>
        <v>0.9515674603174602</v>
      </c>
      <c r="L8" s="200">
        <f>'Nov25'!O19</f>
        <v>0.83057539682539683</v>
      </c>
      <c r="M8" s="200">
        <f>'Dec25'!O31</f>
        <v>0.97598379629629628</v>
      </c>
      <c r="N8" s="67">
        <f>(Tableau12[[#This Row],[JANVIER]]+Tableau12[[#This Row],[FEVRIER]]+Tableau12[[#This Row],[MARS]]+Tableau12[[#This Row],[AVRIL]]+Tableau12[[#This Row],[MAI]]+Tableau12[[#This Row],[JUIN]]+Tableau12[[#This Row],[JUILLET]]+Tableau12[[#This Row],[AOUT]]+Tableau12[[#This Row],[SEPT]]+Tableau12[[#This Row],[OCT]]+Tableau12[[#This Row],[NOV]]+Tableau12[[#This Row],[DEC]])/12</f>
        <v>0.77533173500881825</v>
      </c>
    </row>
    <row r="9" spans="1:15">
      <c r="A9" t="s">
        <v>1616</v>
      </c>
      <c r="B9" s="67">
        <f>(B6+B7+B8)/3</f>
        <v>0.72370370370370363</v>
      </c>
      <c r="C9" s="67">
        <f t="shared" ref="C9:M9" si="0">(C6+C7+C8)/3</f>
        <v>0.57997486772486773</v>
      </c>
      <c r="D9" s="67">
        <f t="shared" si="0"/>
        <v>0.73255952380952383</v>
      </c>
      <c r="E9" s="67">
        <f t="shared" si="0"/>
        <v>0.8879365079365078</v>
      </c>
      <c r="F9" s="67">
        <f t="shared" si="0"/>
        <v>0.65895888447971773</v>
      </c>
      <c r="G9" s="67">
        <f t="shared" si="0"/>
        <v>0.73326719576719557</v>
      </c>
      <c r="H9" s="67">
        <f t="shared" si="0"/>
        <v>0.60859237213403872</v>
      </c>
      <c r="I9" s="67">
        <f t="shared" si="0"/>
        <v>0.94973544973544977</v>
      </c>
      <c r="J9" s="67">
        <f t="shared" si="0"/>
        <v>0.89458333333333329</v>
      </c>
      <c r="K9" s="67">
        <f t="shared" si="0"/>
        <v>0.9405175264550264</v>
      </c>
      <c r="L9" s="67">
        <f t="shared" si="0"/>
        <v>0.8600066137566138</v>
      </c>
      <c r="M9" s="67">
        <f t="shared" si="0"/>
        <v>0.98313248910675377</v>
      </c>
      <c r="N9" s="67">
        <f>(Tableau12[[#This Row],[JANVIER]]+Tableau12[[#This Row],[FEVRIER]]+Tableau12[[#This Row],[MARS]]+Tableau12[[#This Row],[AVRIL]]+Tableau12[[#This Row],[MAI]]+Tableau12[[#This Row],[JUIN]]+Tableau12[[#This Row],[JUILLET]]+Tableau12[[#This Row],[AOUT]]+Tableau12[[#This Row],[SEPT]]+Tableau12[[#This Row],[OCT]]+Tableau12[[#This Row],[NOV]]+Tableau12[[#This Row],[DEC]])/12</f>
        <v>0.79608070566189448</v>
      </c>
    </row>
    <row r="10" spans="1:15">
      <c r="A10" t="s">
        <v>1617</v>
      </c>
      <c r="B10" s="200">
        <v>0.9</v>
      </c>
      <c r="C10" s="200">
        <v>0.9</v>
      </c>
      <c r="D10" s="200">
        <v>0.9</v>
      </c>
      <c r="E10" s="200">
        <v>0.9</v>
      </c>
      <c r="F10" s="200">
        <v>0.9</v>
      </c>
      <c r="G10" s="200">
        <v>0.9</v>
      </c>
      <c r="H10" s="200">
        <v>0.9</v>
      </c>
      <c r="I10" s="200">
        <v>0.9</v>
      </c>
      <c r="J10" s="200">
        <v>0.9</v>
      </c>
      <c r="K10" s="200">
        <v>0.9</v>
      </c>
      <c r="L10" s="200">
        <v>0.9</v>
      </c>
      <c r="M10" s="200">
        <v>0.9</v>
      </c>
      <c r="N10" s="200">
        <v>0.9</v>
      </c>
    </row>
  </sheetData>
  <phoneticPr fontId="13" type="noConversion"/>
  <conditionalFormatting sqref="B9:M9">
    <cfRule type="cellIs" dxfId="1" priority="1" operator="lessThan">
      <formula>0.85</formula>
    </cfRule>
  </conditionalFormatting>
  <conditionalFormatting sqref="N6:N9">
    <cfRule type="cellIs" dxfId="0" priority="2" operator="lessThan">
      <formula>0.85</formula>
    </cfRule>
  </conditionalFormatting>
  <pageMargins left="0.7" right="0.7" top="0.75" bottom="0.75" header="0.3" footer="0.3"/>
  <ignoredErrors>
    <ignoredError sqref="B9:N10" calculatedColumn="1"/>
  </ignoredErrors>
  <drawing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1BAF7-1C86-41DB-B80A-71B9475E213F}">
  <dimension ref="A1:H27"/>
  <sheetViews>
    <sheetView workbookViewId="0">
      <selection activeCell="H3" sqref="H3"/>
    </sheetView>
  </sheetViews>
  <sheetFormatPr baseColWidth="10" defaultRowHeight="14.4"/>
  <cols>
    <col min="5" max="5" width="25.77734375" customWidth="1"/>
    <col min="8" max="8" width="15.77734375" customWidth="1"/>
  </cols>
  <sheetData>
    <row r="1" spans="1:8">
      <c r="A1" t="s">
        <v>1201</v>
      </c>
      <c r="E1" t="s">
        <v>1203</v>
      </c>
      <c r="F1" t="s">
        <v>1212</v>
      </c>
      <c r="G1" t="s">
        <v>1191</v>
      </c>
      <c r="H1" t="s">
        <v>1449</v>
      </c>
    </row>
    <row r="2" spans="1:8">
      <c r="A2" t="s">
        <v>1191</v>
      </c>
      <c r="B2" t="s">
        <v>1198</v>
      </c>
      <c r="C2" t="s">
        <v>1199</v>
      </c>
      <c r="E2" t="s">
        <v>1204</v>
      </c>
      <c r="F2" t="s">
        <v>1213</v>
      </c>
      <c r="G2" t="s">
        <v>1192</v>
      </c>
      <c r="H2" t="s">
        <v>1450</v>
      </c>
    </row>
    <row r="3" spans="1:8">
      <c r="A3" t="s">
        <v>1192</v>
      </c>
      <c r="B3" t="s">
        <v>1196</v>
      </c>
      <c r="C3" t="s">
        <v>1200</v>
      </c>
      <c r="E3" t="s">
        <v>1205</v>
      </c>
      <c r="F3" t="s">
        <v>1214</v>
      </c>
      <c r="G3" t="s">
        <v>1193</v>
      </c>
      <c r="H3" t="s">
        <v>1451</v>
      </c>
    </row>
    <row r="4" spans="1:8">
      <c r="A4" t="s">
        <v>1193</v>
      </c>
      <c r="B4" t="s">
        <v>1197</v>
      </c>
      <c r="E4" t="s">
        <v>1206</v>
      </c>
      <c r="F4" t="s">
        <v>1215</v>
      </c>
      <c r="G4" t="s">
        <v>1194</v>
      </c>
    </row>
    <row r="5" spans="1:8">
      <c r="A5" t="s">
        <v>1194</v>
      </c>
      <c r="E5" t="s">
        <v>1207</v>
      </c>
      <c r="F5" t="s">
        <v>1216</v>
      </c>
      <c r="G5" t="s">
        <v>1195</v>
      </c>
    </row>
    <row r="6" spans="1:8">
      <c r="A6" t="s">
        <v>1195</v>
      </c>
      <c r="F6" t="s">
        <v>1217</v>
      </c>
    </row>
    <row r="7" spans="1:8">
      <c r="F7" t="s">
        <v>1218</v>
      </c>
    </row>
    <row r="8" spans="1:8">
      <c r="A8" t="s">
        <v>1251</v>
      </c>
      <c r="F8" t="s">
        <v>1219</v>
      </c>
    </row>
    <row r="9" spans="1:8">
      <c r="A9" t="s">
        <v>1252</v>
      </c>
      <c r="F9" t="s">
        <v>1220</v>
      </c>
    </row>
    <row r="10" spans="1:8">
      <c r="A10" t="s">
        <v>1253</v>
      </c>
      <c r="F10" t="s">
        <v>1221</v>
      </c>
    </row>
    <row r="11" spans="1:8">
      <c r="F11" t="s">
        <v>1222</v>
      </c>
    </row>
    <row r="12" spans="1:8">
      <c r="F12" t="s">
        <v>1223</v>
      </c>
    </row>
    <row r="13" spans="1:8">
      <c r="A13" t="s">
        <v>1201</v>
      </c>
    </row>
    <row r="14" spans="1:8">
      <c r="A14" t="s">
        <v>1191</v>
      </c>
    </row>
    <row r="15" spans="1:8">
      <c r="A15" t="s">
        <v>1192</v>
      </c>
    </row>
    <row r="16" spans="1:8">
      <c r="A16" t="s">
        <v>1193</v>
      </c>
    </row>
    <row r="17" spans="1:1">
      <c r="A17" t="s">
        <v>1194</v>
      </c>
    </row>
    <row r="27" spans="1:1">
      <c r="A27" t="s">
        <v>1195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8E41E-24FA-43FA-8DE3-4861B85B072F}">
  <sheetPr>
    <tabColor theme="9" tint="0.39997558519241921"/>
  </sheetPr>
  <dimension ref="B2:I963"/>
  <sheetViews>
    <sheetView topLeftCell="E958" workbookViewId="0">
      <selection activeCell="I983" sqref="I983:I984"/>
    </sheetView>
  </sheetViews>
  <sheetFormatPr baseColWidth="10" defaultColWidth="11.44140625" defaultRowHeight="14.4"/>
  <cols>
    <col min="5" max="5" width="38.33203125" customWidth="1"/>
    <col min="6" max="6" width="11" customWidth="1"/>
    <col min="7" max="7" width="19.5546875" customWidth="1"/>
    <col min="8" max="8" width="18.109375" customWidth="1"/>
    <col min="9" max="9" width="196.109375" bestFit="1" customWidth="1"/>
  </cols>
  <sheetData>
    <row r="2" spans="2:9" ht="41.4">
      <c r="B2" s="1" t="s">
        <v>0</v>
      </c>
      <c r="C2" s="2" t="s">
        <v>1</v>
      </c>
      <c r="D2" s="2" t="s">
        <v>2</v>
      </c>
      <c r="E2" s="3" t="s">
        <v>175</v>
      </c>
      <c r="F2" s="3" t="s">
        <v>176</v>
      </c>
      <c r="G2" s="3" t="s">
        <v>177</v>
      </c>
      <c r="H2" s="3" t="s">
        <v>178</v>
      </c>
      <c r="I2" s="3" t="s">
        <v>179</v>
      </c>
    </row>
    <row r="3" spans="2:9">
      <c r="B3" s="12" t="s">
        <v>11</v>
      </c>
      <c r="C3">
        <v>2022</v>
      </c>
      <c r="D3" t="s">
        <v>12</v>
      </c>
      <c r="E3" t="s">
        <v>180</v>
      </c>
      <c r="F3" s="19"/>
      <c r="G3" t="s">
        <v>181</v>
      </c>
      <c r="H3">
        <v>6</v>
      </c>
      <c r="I3" t="s">
        <v>182</v>
      </c>
    </row>
    <row r="4" spans="2:9">
      <c r="B4" s="12" t="s">
        <v>11</v>
      </c>
      <c r="C4">
        <v>2022</v>
      </c>
      <c r="D4" t="s">
        <v>12</v>
      </c>
      <c r="E4" t="s">
        <v>180</v>
      </c>
      <c r="F4" s="11"/>
      <c r="G4" t="s">
        <v>181</v>
      </c>
      <c r="H4">
        <v>2</v>
      </c>
      <c r="I4" t="s">
        <v>183</v>
      </c>
    </row>
    <row r="5" spans="2:9">
      <c r="B5" s="12" t="s">
        <v>11</v>
      </c>
      <c r="C5">
        <v>2022</v>
      </c>
      <c r="D5" t="s">
        <v>12</v>
      </c>
      <c r="E5" t="s">
        <v>184</v>
      </c>
      <c r="F5" s="19"/>
      <c r="G5" t="s">
        <v>181</v>
      </c>
      <c r="H5">
        <v>2</v>
      </c>
      <c r="I5" t="s">
        <v>185</v>
      </c>
    </row>
    <row r="6" spans="2:9">
      <c r="B6" s="12" t="s">
        <v>11</v>
      </c>
      <c r="C6">
        <v>2022</v>
      </c>
      <c r="D6" t="s">
        <v>12</v>
      </c>
      <c r="E6" t="s">
        <v>180</v>
      </c>
      <c r="F6" s="11"/>
      <c r="G6" t="s">
        <v>181</v>
      </c>
      <c r="H6">
        <v>1</v>
      </c>
      <c r="I6" t="s">
        <v>186</v>
      </c>
    </row>
    <row r="7" spans="2:9">
      <c r="B7" s="12" t="s">
        <v>11</v>
      </c>
      <c r="C7">
        <v>2022</v>
      </c>
      <c r="D7" t="s">
        <v>12</v>
      </c>
      <c r="E7" t="s">
        <v>180</v>
      </c>
      <c r="F7" s="19"/>
      <c r="G7" t="s">
        <v>181</v>
      </c>
      <c r="H7">
        <v>1</v>
      </c>
      <c r="I7" t="s">
        <v>187</v>
      </c>
    </row>
    <row r="8" spans="2:9">
      <c r="B8" s="12" t="s">
        <v>11</v>
      </c>
      <c r="C8">
        <v>2022</v>
      </c>
      <c r="D8" t="s">
        <v>12</v>
      </c>
      <c r="E8" t="s">
        <v>188</v>
      </c>
      <c r="F8" s="11"/>
      <c r="G8" t="s">
        <v>181</v>
      </c>
      <c r="H8">
        <v>4</v>
      </c>
      <c r="I8" t="s">
        <v>189</v>
      </c>
    </row>
    <row r="9" spans="2:9">
      <c r="B9" s="12" t="s">
        <v>11</v>
      </c>
      <c r="C9">
        <v>2022</v>
      </c>
      <c r="D9" t="s">
        <v>12</v>
      </c>
      <c r="E9" t="s">
        <v>180</v>
      </c>
      <c r="F9" s="19"/>
      <c r="G9" t="s">
        <v>181</v>
      </c>
      <c r="H9">
        <v>1</v>
      </c>
      <c r="I9" t="s">
        <v>190</v>
      </c>
    </row>
    <row r="10" spans="2:9">
      <c r="B10" s="12" t="s">
        <v>11</v>
      </c>
      <c r="C10">
        <v>2022</v>
      </c>
      <c r="D10" t="s">
        <v>12</v>
      </c>
      <c r="E10" t="s">
        <v>191</v>
      </c>
      <c r="F10" s="11"/>
      <c r="G10" t="s">
        <v>181</v>
      </c>
      <c r="H10">
        <v>2</v>
      </c>
      <c r="I10" t="s">
        <v>189</v>
      </c>
    </row>
    <row r="11" spans="2:9">
      <c r="B11" s="12" t="s">
        <v>11</v>
      </c>
      <c r="C11">
        <v>2022</v>
      </c>
      <c r="D11" t="s">
        <v>12</v>
      </c>
      <c r="E11" t="s">
        <v>180</v>
      </c>
      <c r="F11" s="19"/>
      <c r="G11" t="s">
        <v>181</v>
      </c>
      <c r="H11">
        <v>2</v>
      </c>
      <c r="I11" t="s">
        <v>192</v>
      </c>
    </row>
    <row r="12" spans="2:9">
      <c r="B12" s="12" t="s">
        <v>11</v>
      </c>
      <c r="C12">
        <v>2022</v>
      </c>
      <c r="D12" t="s">
        <v>12</v>
      </c>
      <c r="E12" t="s">
        <v>193</v>
      </c>
      <c r="F12" s="11"/>
      <c r="G12" t="s">
        <v>181</v>
      </c>
      <c r="H12">
        <v>2</v>
      </c>
      <c r="I12" t="s">
        <v>194</v>
      </c>
    </row>
    <row r="13" spans="2:9">
      <c r="B13" s="12" t="s">
        <v>11</v>
      </c>
      <c r="C13">
        <v>2022</v>
      </c>
      <c r="D13" t="s">
        <v>12</v>
      </c>
      <c r="E13" t="s">
        <v>180</v>
      </c>
      <c r="F13" s="19"/>
      <c r="G13" t="s">
        <v>181</v>
      </c>
      <c r="H13">
        <v>1</v>
      </c>
      <c r="I13" t="s">
        <v>195</v>
      </c>
    </row>
    <row r="14" spans="2:9">
      <c r="B14" s="12" t="s">
        <v>11</v>
      </c>
      <c r="C14">
        <v>2022</v>
      </c>
      <c r="D14" t="s">
        <v>12</v>
      </c>
      <c r="E14" t="s">
        <v>180</v>
      </c>
      <c r="F14" s="11"/>
      <c r="G14" t="s">
        <v>181</v>
      </c>
      <c r="H14">
        <v>1</v>
      </c>
      <c r="I14" t="s">
        <v>196</v>
      </c>
    </row>
    <row r="15" spans="2:9">
      <c r="B15" s="12" t="s">
        <v>11</v>
      </c>
      <c r="C15">
        <v>2022</v>
      </c>
      <c r="D15" t="s">
        <v>12</v>
      </c>
      <c r="E15" t="s">
        <v>197</v>
      </c>
      <c r="F15" s="19"/>
      <c r="G15" t="s">
        <v>181</v>
      </c>
      <c r="H15">
        <v>0.75</v>
      </c>
      <c r="I15" t="s">
        <v>198</v>
      </c>
    </row>
    <row r="16" spans="2:9">
      <c r="B16" s="12" t="s">
        <v>11</v>
      </c>
      <c r="C16">
        <v>2022</v>
      </c>
      <c r="D16" t="s">
        <v>12</v>
      </c>
      <c r="E16" t="s">
        <v>199</v>
      </c>
      <c r="F16" s="11"/>
      <c r="G16" t="s">
        <v>181</v>
      </c>
      <c r="H16">
        <v>0.75</v>
      </c>
      <c r="I16" t="s">
        <v>198</v>
      </c>
    </row>
    <row r="17" spans="2:9">
      <c r="B17" s="12" t="s">
        <v>11</v>
      </c>
      <c r="C17">
        <v>2022</v>
      </c>
      <c r="D17" t="s">
        <v>12</v>
      </c>
      <c r="E17" t="s">
        <v>200</v>
      </c>
      <c r="F17" s="19"/>
      <c r="G17" t="s">
        <v>181</v>
      </c>
      <c r="H17">
        <v>1</v>
      </c>
      <c r="I17" t="s">
        <v>201</v>
      </c>
    </row>
    <row r="18" spans="2:9">
      <c r="B18" s="12" t="s">
        <v>11</v>
      </c>
      <c r="C18">
        <v>2022</v>
      </c>
      <c r="D18" t="s">
        <v>12</v>
      </c>
      <c r="E18" t="s">
        <v>197</v>
      </c>
      <c r="F18" s="11"/>
      <c r="G18" t="s">
        <v>181</v>
      </c>
      <c r="H18">
        <v>0.25</v>
      </c>
      <c r="I18" t="s">
        <v>202</v>
      </c>
    </row>
    <row r="19" spans="2:9">
      <c r="B19" s="12" t="s">
        <v>11</v>
      </c>
      <c r="C19">
        <v>2022</v>
      </c>
      <c r="D19" t="s">
        <v>12</v>
      </c>
      <c r="E19" t="s">
        <v>199</v>
      </c>
      <c r="F19" s="19"/>
      <c r="G19" t="s">
        <v>181</v>
      </c>
      <c r="H19">
        <v>0.25</v>
      </c>
      <c r="I19" t="s">
        <v>202</v>
      </c>
    </row>
    <row r="20" spans="2:9">
      <c r="B20" s="12" t="s">
        <v>11</v>
      </c>
      <c r="C20">
        <v>2022</v>
      </c>
      <c r="D20" t="s">
        <v>12</v>
      </c>
      <c r="E20" t="s">
        <v>203</v>
      </c>
      <c r="F20" s="11"/>
      <c r="G20" t="s">
        <v>181</v>
      </c>
      <c r="H20">
        <v>1</v>
      </c>
      <c r="I20" t="s">
        <v>204</v>
      </c>
    </row>
    <row r="21" spans="2:9">
      <c r="B21" s="12" t="s">
        <v>11</v>
      </c>
      <c r="C21">
        <v>2022</v>
      </c>
      <c r="D21" t="s">
        <v>12</v>
      </c>
      <c r="E21" t="s">
        <v>203</v>
      </c>
      <c r="F21" s="19"/>
      <c r="G21" t="s">
        <v>181</v>
      </c>
      <c r="H21">
        <v>0.7</v>
      </c>
      <c r="I21" t="s">
        <v>205</v>
      </c>
    </row>
    <row r="22" spans="2:9">
      <c r="B22" s="12" t="s">
        <v>11</v>
      </c>
      <c r="C22">
        <v>2022</v>
      </c>
      <c r="D22" t="s">
        <v>12</v>
      </c>
      <c r="E22" t="s">
        <v>191</v>
      </c>
      <c r="F22" s="11"/>
      <c r="G22" t="s">
        <v>181</v>
      </c>
      <c r="H22">
        <v>1.5</v>
      </c>
      <c r="I22" t="s">
        <v>206</v>
      </c>
    </row>
    <row r="23" spans="2:9">
      <c r="B23" s="12" t="s">
        <v>11</v>
      </c>
      <c r="C23">
        <v>2022</v>
      </c>
      <c r="D23" t="s">
        <v>12</v>
      </c>
      <c r="E23" t="s">
        <v>191</v>
      </c>
      <c r="F23" s="19"/>
      <c r="G23" t="s">
        <v>181</v>
      </c>
      <c r="H23">
        <v>0.55000000000000004</v>
      </c>
      <c r="I23" t="s">
        <v>207</v>
      </c>
    </row>
    <row r="24" spans="2:9">
      <c r="B24" s="12" t="s">
        <v>11</v>
      </c>
      <c r="C24">
        <v>2022</v>
      </c>
      <c r="D24" t="s">
        <v>12</v>
      </c>
      <c r="E24" t="s">
        <v>191</v>
      </c>
      <c r="F24" s="11"/>
      <c r="G24" t="s">
        <v>208</v>
      </c>
      <c r="H24">
        <v>2</v>
      </c>
      <c r="I24" t="s">
        <v>209</v>
      </c>
    </row>
    <row r="25" spans="2:9">
      <c r="B25" s="12" t="s">
        <v>11</v>
      </c>
      <c r="C25">
        <v>2022</v>
      </c>
      <c r="D25" t="s">
        <v>12</v>
      </c>
      <c r="E25" t="s">
        <v>197</v>
      </c>
      <c r="F25" s="19"/>
      <c r="G25" t="s">
        <v>208</v>
      </c>
      <c r="H25">
        <v>0.5</v>
      </c>
      <c r="I25" t="s">
        <v>210</v>
      </c>
    </row>
    <row r="26" spans="2:9">
      <c r="B26" s="12" t="s">
        <v>11</v>
      </c>
      <c r="C26">
        <v>2022</v>
      </c>
      <c r="D26" t="s">
        <v>12</v>
      </c>
      <c r="E26" t="s">
        <v>180</v>
      </c>
      <c r="F26" s="11"/>
      <c r="G26" t="s">
        <v>208</v>
      </c>
      <c r="H26">
        <v>2</v>
      </c>
      <c r="I26" t="s">
        <v>211</v>
      </c>
    </row>
    <row r="27" spans="2:9">
      <c r="B27" s="12" t="s">
        <v>11</v>
      </c>
      <c r="C27">
        <v>2022</v>
      </c>
      <c r="D27" t="s">
        <v>12</v>
      </c>
      <c r="E27" t="s">
        <v>188</v>
      </c>
      <c r="F27" s="19"/>
      <c r="G27" t="s">
        <v>208</v>
      </c>
      <c r="H27">
        <v>6.05</v>
      </c>
      <c r="I27" t="s">
        <v>212</v>
      </c>
    </row>
    <row r="28" spans="2:9">
      <c r="B28" s="12" t="s">
        <v>11</v>
      </c>
      <c r="C28">
        <v>2022</v>
      </c>
      <c r="D28" t="s">
        <v>12</v>
      </c>
      <c r="E28" t="s">
        <v>191</v>
      </c>
      <c r="F28" s="11"/>
      <c r="G28" t="s">
        <v>208</v>
      </c>
      <c r="H28">
        <v>0.5</v>
      </c>
      <c r="I28" t="s">
        <v>213</v>
      </c>
    </row>
    <row r="29" spans="2:9">
      <c r="B29" s="12" t="s">
        <v>11</v>
      </c>
      <c r="C29">
        <v>2022</v>
      </c>
      <c r="D29" t="s">
        <v>21</v>
      </c>
      <c r="E29" t="s">
        <v>180</v>
      </c>
      <c r="F29" s="19"/>
      <c r="G29" t="s">
        <v>181</v>
      </c>
      <c r="H29">
        <v>4.5</v>
      </c>
      <c r="I29" t="s">
        <v>214</v>
      </c>
    </row>
    <row r="30" spans="2:9">
      <c r="B30" s="12" t="s">
        <v>11</v>
      </c>
      <c r="C30">
        <v>2022</v>
      </c>
      <c r="D30" t="s">
        <v>21</v>
      </c>
      <c r="E30" t="s">
        <v>180</v>
      </c>
      <c r="F30" s="11"/>
      <c r="G30" t="s">
        <v>181</v>
      </c>
      <c r="H30">
        <v>1.5</v>
      </c>
      <c r="I30" t="s">
        <v>215</v>
      </c>
    </row>
    <row r="31" spans="2:9">
      <c r="B31" s="12" t="s">
        <v>11</v>
      </c>
      <c r="C31">
        <v>2022</v>
      </c>
      <c r="D31" t="s">
        <v>21</v>
      </c>
      <c r="E31" t="s">
        <v>184</v>
      </c>
      <c r="F31" s="19"/>
      <c r="G31" t="s">
        <v>181</v>
      </c>
      <c r="H31">
        <v>1.5</v>
      </c>
      <c r="I31" t="s">
        <v>216</v>
      </c>
    </row>
    <row r="32" spans="2:9">
      <c r="B32" s="12" t="s">
        <v>11</v>
      </c>
      <c r="C32">
        <v>2022</v>
      </c>
      <c r="D32" t="s">
        <v>21</v>
      </c>
      <c r="E32" t="s">
        <v>180</v>
      </c>
      <c r="F32" s="11"/>
      <c r="G32" t="s">
        <v>181</v>
      </c>
      <c r="H32">
        <v>0.75</v>
      </c>
      <c r="I32" t="s">
        <v>217</v>
      </c>
    </row>
    <row r="33" spans="2:9">
      <c r="B33" s="12" t="s">
        <v>11</v>
      </c>
      <c r="C33">
        <v>2022</v>
      </c>
      <c r="D33" t="s">
        <v>21</v>
      </c>
      <c r="E33" t="s">
        <v>180</v>
      </c>
      <c r="F33" s="19"/>
      <c r="G33" t="s">
        <v>181</v>
      </c>
      <c r="H33">
        <v>0.75</v>
      </c>
      <c r="I33" t="s">
        <v>218</v>
      </c>
    </row>
    <row r="34" spans="2:9">
      <c r="B34" s="12" t="s">
        <v>11</v>
      </c>
      <c r="C34">
        <v>2022</v>
      </c>
      <c r="D34" t="s">
        <v>21</v>
      </c>
      <c r="E34" t="s">
        <v>188</v>
      </c>
      <c r="F34" s="11"/>
      <c r="G34" t="s">
        <v>181</v>
      </c>
      <c r="H34">
        <v>3</v>
      </c>
      <c r="I34" t="s">
        <v>219</v>
      </c>
    </row>
    <row r="35" spans="2:9">
      <c r="B35" s="12" t="s">
        <v>11</v>
      </c>
      <c r="C35">
        <v>2022</v>
      </c>
      <c r="D35" t="s">
        <v>21</v>
      </c>
      <c r="E35" t="s">
        <v>191</v>
      </c>
      <c r="F35" s="19"/>
      <c r="G35" t="s">
        <v>181</v>
      </c>
      <c r="H35">
        <v>1.5</v>
      </c>
      <c r="I35" t="s">
        <v>220</v>
      </c>
    </row>
    <row r="36" spans="2:9">
      <c r="B36" s="12" t="s">
        <v>11</v>
      </c>
      <c r="C36">
        <v>2022</v>
      </c>
      <c r="D36" t="s">
        <v>21</v>
      </c>
      <c r="E36" t="s">
        <v>180</v>
      </c>
      <c r="F36" s="11"/>
      <c r="G36" t="s">
        <v>181</v>
      </c>
      <c r="H36">
        <v>1.5</v>
      </c>
      <c r="I36" t="s">
        <v>221</v>
      </c>
    </row>
    <row r="37" spans="2:9">
      <c r="B37" s="12" t="s">
        <v>11</v>
      </c>
      <c r="C37">
        <v>2022</v>
      </c>
      <c r="D37" t="s">
        <v>21</v>
      </c>
      <c r="E37" t="s">
        <v>199</v>
      </c>
      <c r="F37" s="19"/>
      <c r="G37" t="s">
        <v>181</v>
      </c>
      <c r="H37">
        <v>0.25</v>
      </c>
      <c r="I37" t="s">
        <v>202</v>
      </c>
    </row>
    <row r="38" spans="2:9">
      <c r="B38" s="12" t="s">
        <v>11</v>
      </c>
      <c r="C38">
        <v>2022</v>
      </c>
      <c r="D38" t="s">
        <v>21</v>
      </c>
      <c r="E38" t="s">
        <v>197</v>
      </c>
      <c r="F38" s="11"/>
      <c r="G38" t="s">
        <v>181</v>
      </c>
      <c r="H38">
        <v>0.25</v>
      </c>
      <c r="I38" t="s">
        <v>202</v>
      </c>
    </row>
    <row r="39" spans="2:9">
      <c r="B39" s="12" t="s">
        <v>11</v>
      </c>
      <c r="C39">
        <v>2022</v>
      </c>
      <c r="D39" t="s">
        <v>21</v>
      </c>
      <c r="E39" t="s">
        <v>200</v>
      </c>
      <c r="F39" s="19"/>
      <c r="G39" t="s">
        <v>181</v>
      </c>
      <c r="H39">
        <v>1</v>
      </c>
      <c r="I39" t="s">
        <v>222</v>
      </c>
    </row>
    <row r="40" spans="2:9">
      <c r="B40" s="12" t="s">
        <v>11</v>
      </c>
      <c r="C40">
        <v>2022</v>
      </c>
      <c r="D40" t="s">
        <v>21</v>
      </c>
      <c r="E40" t="s">
        <v>180</v>
      </c>
      <c r="F40" s="11"/>
      <c r="G40" t="s">
        <v>181</v>
      </c>
      <c r="H40">
        <v>1</v>
      </c>
      <c r="I40" t="s">
        <v>223</v>
      </c>
    </row>
    <row r="41" spans="2:9">
      <c r="B41" s="12" t="s">
        <v>11</v>
      </c>
      <c r="C41">
        <v>2022</v>
      </c>
      <c r="D41" t="s">
        <v>21</v>
      </c>
      <c r="E41" t="s">
        <v>180</v>
      </c>
      <c r="F41" s="19"/>
      <c r="G41" t="s">
        <v>181</v>
      </c>
      <c r="H41">
        <v>1</v>
      </c>
      <c r="I41" t="s">
        <v>224</v>
      </c>
    </row>
    <row r="42" spans="2:9">
      <c r="B42" s="12" t="s">
        <v>11</v>
      </c>
      <c r="C42">
        <v>2022</v>
      </c>
      <c r="D42" t="s">
        <v>21</v>
      </c>
      <c r="E42" t="s">
        <v>180</v>
      </c>
      <c r="F42" s="11"/>
      <c r="G42" t="s">
        <v>181</v>
      </c>
      <c r="H42">
        <v>3</v>
      </c>
      <c r="I42" t="s">
        <v>225</v>
      </c>
    </row>
    <row r="43" spans="2:9">
      <c r="B43" s="12" t="s">
        <v>11</v>
      </c>
      <c r="C43">
        <v>2022</v>
      </c>
      <c r="D43" t="s">
        <v>21</v>
      </c>
      <c r="E43" t="s">
        <v>203</v>
      </c>
      <c r="F43" s="19"/>
      <c r="G43" t="s">
        <v>181</v>
      </c>
      <c r="H43">
        <v>3</v>
      </c>
      <c r="I43" t="s">
        <v>226</v>
      </c>
    </row>
    <row r="44" spans="2:9">
      <c r="B44" s="12" t="s">
        <v>11</v>
      </c>
      <c r="C44">
        <v>2022</v>
      </c>
      <c r="D44" t="s">
        <v>21</v>
      </c>
      <c r="E44" t="s">
        <v>191</v>
      </c>
      <c r="F44" s="11"/>
      <c r="G44" t="s">
        <v>181</v>
      </c>
      <c r="H44">
        <v>4</v>
      </c>
      <c r="I44" t="s">
        <v>227</v>
      </c>
    </row>
    <row r="45" spans="2:9">
      <c r="B45" s="12" t="s">
        <v>11</v>
      </c>
      <c r="C45">
        <v>2022</v>
      </c>
      <c r="D45" t="s">
        <v>21</v>
      </c>
      <c r="E45" t="s">
        <v>199</v>
      </c>
      <c r="F45" s="19"/>
      <c r="G45" t="s">
        <v>181</v>
      </c>
      <c r="H45">
        <v>6</v>
      </c>
      <c r="I45" t="s">
        <v>228</v>
      </c>
    </row>
    <row r="46" spans="2:9">
      <c r="B46" s="12" t="s">
        <v>11</v>
      </c>
      <c r="C46">
        <v>2022</v>
      </c>
      <c r="D46" t="s">
        <v>21</v>
      </c>
      <c r="E46" t="s">
        <v>199</v>
      </c>
      <c r="F46" s="11"/>
      <c r="G46" t="s">
        <v>181</v>
      </c>
      <c r="H46">
        <v>4</v>
      </c>
      <c r="I46" t="s">
        <v>229</v>
      </c>
    </row>
    <row r="47" spans="2:9">
      <c r="B47" s="12" t="s">
        <v>11</v>
      </c>
      <c r="C47">
        <v>2022</v>
      </c>
      <c r="D47" t="s">
        <v>21</v>
      </c>
      <c r="E47" t="s">
        <v>197</v>
      </c>
      <c r="F47" s="19"/>
      <c r="G47" t="s">
        <v>181</v>
      </c>
      <c r="H47">
        <v>4</v>
      </c>
      <c r="I47" t="s">
        <v>229</v>
      </c>
    </row>
    <row r="48" spans="2:9">
      <c r="B48" s="12" t="s">
        <v>11</v>
      </c>
      <c r="C48">
        <v>2022</v>
      </c>
      <c r="D48" t="s">
        <v>21</v>
      </c>
      <c r="E48" t="s">
        <v>180</v>
      </c>
      <c r="F48" s="11"/>
      <c r="G48" t="s">
        <v>181</v>
      </c>
      <c r="H48">
        <v>4</v>
      </c>
      <c r="I48" t="s">
        <v>230</v>
      </c>
    </row>
    <row r="49" spans="2:9">
      <c r="B49" s="12" t="s">
        <v>11</v>
      </c>
      <c r="C49">
        <v>2022</v>
      </c>
      <c r="D49" t="s">
        <v>21</v>
      </c>
      <c r="E49" t="s">
        <v>188</v>
      </c>
      <c r="F49" s="19"/>
      <c r="G49" t="s">
        <v>181</v>
      </c>
      <c r="H49">
        <v>8</v>
      </c>
      <c r="I49" t="s">
        <v>231</v>
      </c>
    </row>
    <row r="50" spans="2:9">
      <c r="B50" s="12" t="s">
        <v>11</v>
      </c>
      <c r="C50">
        <v>2022</v>
      </c>
      <c r="D50" t="s">
        <v>21</v>
      </c>
      <c r="E50" t="s">
        <v>191</v>
      </c>
      <c r="F50" s="11"/>
      <c r="G50" t="s">
        <v>181</v>
      </c>
      <c r="H50">
        <v>2</v>
      </c>
      <c r="I50" t="s">
        <v>231</v>
      </c>
    </row>
    <row r="51" spans="2:9">
      <c r="B51" s="12" t="s">
        <v>11</v>
      </c>
      <c r="C51">
        <v>2022</v>
      </c>
      <c r="D51" t="s">
        <v>27</v>
      </c>
      <c r="E51" t="s">
        <v>180</v>
      </c>
      <c r="F51" s="19"/>
      <c r="G51" t="s">
        <v>181</v>
      </c>
      <c r="H51">
        <v>6</v>
      </c>
      <c r="I51" t="s">
        <v>232</v>
      </c>
    </row>
    <row r="52" spans="2:9">
      <c r="B52" s="12" t="s">
        <v>11</v>
      </c>
      <c r="C52">
        <v>2022</v>
      </c>
      <c r="D52" t="s">
        <v>27</v>
      </c>
      <c r="E52" t="s">
        <v>180</v>
      </c>
      <c r="F52" s="11"/>
      <c r="G52" t="s">
        <v>181</v>
      </c>
      <c r="H52">
        <v>2</v>
      </c>
      <c r="I52" t="s">
        <v>233</v>
      </c>
    </row>
    <row r="53" spans="2:9">
      <c r="B53" s="12" t="s">
        <v>11</v>
      </c>
      <c r="C53">
        <v>2022</v>
      </c>
      <c r="D53" t="s">
        <v>27</v>
      </c>
      <c r="E53" t="s">
        <v>184</v>
      </c>
      <c r="F53" s="19"/>
      <c r="G53" t="s">
        <v>181</v>
      </c>
      <c r="H53">
        <v>2</v>
      </c>
      <c r="I53" t="s">
        <v>234</v>
      </c>
    </row>
    <row r="54" spans="2:9">
      <c r="B54" s="12" t="s">
        <v>11</v>
      </c>
      <c r="C54">
        <v>2022</v>
      </c>
      <c r="D54" t="s">
        <v>27</v>
      </c>
      <c r="E54" t="s">
        <v>180</v>
      </c>
      <c r="F54" s="11"/>
      <c r="G54" t="s">
        <v>181</v>
      </c>
      <c r="H54">
        <v>1</v>
      </c>
      <c r="I54" t="s">
        <v>235</v>
      </c>
    </row>
    <row r="55" spans="2:9">
      <c r="B55" s="12" t="s">
        <v>11</v>
      </c>
      <c r="C55">
        <v>2022</v>
      </c>
      <c r="D55" t="s">
        <v>27</v>
      </c>
      <c r="E55" t="s">
        <v>180</v>
      </c>
      <c r="F55" s="19"/>
      <c r="G55" t="s">
        <v>181</v>
      </c>
      <c r="H55">
        <v>1</v>
      </c>
      <c r="I55" t="s">
        <v>236</v>
      </c>
    </row>
    <row r="56" spans="2:9">
      <c r="B56" s="12" t="s">
        <v>11</v>
      </c>
      <c r="C56">
        <v>2022</v>
      </c>
      <c r="D56" t="s">
        <v>27</v>
      </c>
      <c r="E56" t="s">
        <v>188</v>
      </c>
      <c r="F56" s="11"/>
      <c r="G56" t="s">
        <v>181</v>
      </c>
      <c r="H56">
        <v>4</v>
      </c>
      <c r="I56" t="s">
        <v>237</v>
      </c>
    </row>
    <row r="57" spans="2:9">
      <c r="B57" s="12" t="s">
        <v>11</v>
      </c>
      <c r="C57">
        <v>2022</v>
      </c>
      <c r="D57" t="s">
        <v>27</v>
      </c>
      <c r="E57" t="s">
        <v>180</v>
      </c>
      <c r="F57" s="19"/>
      <c r="G57" t="s">
        <v>181</v>
      </c>
      <c r="H57">
        <v>1</v>
      </c>
      <c r="I57" t="s">
        <v>238</v>
      </c>
    </row>
    <row r="58" spans="2:9">
      <c r="B58" s="12" t="s">
        <v>11</v>
      </c>
      <c r="C58">
        <v>2022</v>
      </c>
      <c r="D58" t="s">
        <v>27</v>
      </c>
      <c r="E58" t="s">
        <v>180</v>
      </c>
      <c r="F58" s="11"/>
      <c r="G58" t="s">
        <v>181</v>
      </c>
      <c r="H58">
        <v>2</v>
      </c>
      <c r="I58" t="s">
        <v>239</v>
      </c>
    </row>
    <row r="59" spans="2:9">
      <c r="B59" s="12" t="s">
        <v>11</v>
      </c>
      <c r="C59">
        <v>2022</v>
      </c>
      <c r="D59" t="s">
        <v>27</v>
      </c>
      <c r="E59" t="s">
        <v>191</v>
      </c>
      <c r="F59" s="19"/>
      <c r="G59" t="s">
        <v>181</v>
      </c>
      <c r="H59">
        <v>2</v>
      </c>
      <c r="I59" t="s">
        <v>240</v>
      </c>
    </row>
    <row r="60" spans="2:9">
      <c r="B60" s="12" t="s">
        <v>11</v>
      </c>
      <c r="C60">
        <v>2022</v>
      </c>
      <c r="D60" t="s">
        <v>27</v>
      </c>
      <c r="E60" t="s">
        <v>200</v>
      </c>
      <c r="F60" s="11"/>
      <c r="G60" t="s">
        <v>181</v>
      </c>
      <c r="H60">
        <v>1</v>
      </c>
      <c r="I60" t="s">
        <v>201</v>
      </c>
    </row>
    <row r="61" spans="2:9">
      <c r="B61" s="12" t="s">
        <v>11</v>
      </c>
      <c r="C61">
        <v>2022</v>
      </c>
      <c r="D61" t="s">
        <v>27</v>
      </c>
      <c r="E61" t="s">
        <v>197</v>
      </c>
      <c r="F61" s="19"/>
      <c r="G61" t="s">
        <v>181</v>
      </c>
      <c r="H61">
        <v>0.25</v>
      </c>
      <c r="I61" t="s">
        <v>202</v>
      </c>
    </row>
    <row r="62" spans="2:9">
      <c r="B62" s="12" t="s">
        <v>11</v>
      </c>
      <c r="C62">
        <v>2022</v>
      </c>
      <c r="D62" t="s">
        <v>27</v>
      </c>
      <c r="E62" t="s">
        <v>199</v>
      </c>
      <c r="F62" s="11"/>
      <c r="G62" t="s">
        <v>181</v>
      </c>
      <c r="H62">
        <v>0.25</v>
      </c>
      <c r="I62" t="s">
        <v>202</v>
      </c>
    </row>
    <row r="63" spans="2:9">
      <c r="B63" s="12" t="s">
        <v>11</v>
      </c>
      <c r="C63">
        <v>2022</v>
      </c>
      <c r="D63" t="s">
        <v>27</v>
      </c>
      <c r="E63" t="s">
        <v>203</v>
      </c>
      <c r="F63" s="19"/>
      <c r="G63" t="s">
        <v>181</v>
      </c>
      <c r="H63">
        <v>1</v>
      </c>
      <c r="I63" t="s">
        <v>241</v>
      </c>
    </row>
    <row r="64" spans="2:9">
      <c r="B64" s="12" t="s">
        <v>11</v>
      </c>
      <c r="C64">
        <v>2022</v>
      </c>
      <c r="D64" t="s">
        <v>27</v>
      </c>
      <c r="E64" t="s">
        <v>199</v>
      </c>
      <c r="F64" s="11"/>
      <c r="G64" t="s">
        <v>181</v>
      </c>
      <c r="H64">
        <v>0.75</v>
      </c>
      <c r="I64" t="s">
        <v>198</v>
      </c>
    </row>
    <row r="65" spans="2:9">
      <c r="B65" s="12" t="s">
        <v>11</v>
      </c>
      <c r="C65">
        <v>2022</v>
      </c>
      <c r="D65" t="s">
        <v>27</v>
      </c>
      <c r="E65" t="s">
        <v>197</v>
      </c>
      <c r="F65" s="19"/>
      <c r="G65" t="s">
        <v>181</v>
      </c>
      <c r="H65">
        <v>0.75</v>
      </c>
      <c r="I65" t="s">
        <v>198</v>
      </c>
    </row>
    <row r="66" spans="2:9">
      <c r="B66" s="12" t="s">
        <v>11</v>
      </c>
      <c r="C66">
        <v>2022</v>
      </c>
      <c r="D66" t="s">
        <v>27</v>
      </c>
      <c r="E66" t="s">
        <v>180</v>
      </c>
      <c r="F66" s="11"/>
      <c r="G66" t="s">
        <v>181</v>
      </c>
      <c r="H66">
        <v>1</v>
      </c>
      <c r="I66" t="s">
        <v>242</v>
      </c>
    </row>
    <row r="67" spans="2:9">
      <c r="B67" s="12" t="s">
        <v>11</v>
      </c>
      <c r="C67">
        <v>2022</v>
      </c>
      <c r="D67" t="s">
        <v>27</v>
      </c>
      <c r="E67" t="s">
        <v>180</v>
      </c>
      <c r="F67" s="19"/>
      <c r="G67" t="s">
        <v>181</v>
      </c>
      <c r="H67">
        <v>1</v>
      </c>
      <c r="I67" t="s">
        <v>243</v>
      </c>
    </row>
    <row r="68" spans="2:9">
      <c r="B68" s="12" t="s">
        <v>11</v>
      </c>
      <c r="C68">
        <v>2022</v>
      </c>
      <c r="D68" t="s">
        <v>27</v>
      </c>
      <c r="E68" t="s">
        <v>191</v>
      </c>
      <c r="F68" s="11"/>
      <c r="G68" t="s">
        <v>181</v>
      </c>
      <c r="H68">
        <v>2</v>
      </c>
      <c r="I68" t="s">
        <v>244</v>
      </c>
    </row>
    <row r="69" spans="2:9">
      <c r="B69" s="12" t="s">
        <v>11</v>
      </c>
      <c r="C69">
        <v>2022</v>
      </c>
      <c r="D69" t="s">
        <v>27</v>
      </c>
      <c r="E69" t="s">
        <v>191</v>
      </c>
      <c r="F69" s="19"/>
      <c r="G69" t="s">
        <v>181</v>
      </c>
      <c r="H69">
        <v>1.5</v>
      </c>
      <c r="I69" t="s">
        <v>245</v>
      </c>
    </row>
    <row r="70" spans="2:9">
      <c r="B70" s="12" t="s">
        <v>11</v>
      </c>
      <c r="C70">
        <v>2022</v>
      </c>
      <c r="D70" t="s">
        <v>27</v>
      </c>
      <c r="E70" t="s">
        <v>188</v>
      </c>
      <c r="F70" s="11"/>
      <c r="G70" t="s">
        <v>181</v>
      </c>
      <c r="H70">
        <v>1.5</v>
      </c>
      <c r="I70" t="s">
        <v>244</v>
      </c>
    </row>
    <row r="71" spans="2:9">
      <c r="B71" s="12" t="s">
        <v>11</v>
      </c>
      <c r="C71">
        <v>2022</v>
      </c>
      <c r="D71" t="s">
        <v>27</v>
      </c>
      <c r="E71" t="s">
        <v>199</v>
      </c>
      <c r="F71" s="19"/>
      <c r="G71" t="s">
        <v>181</v>
      </c>
      <c r="H71">
        <v>0.75</v>
      </c>
      <c r="I71" t="s">
        <v>246</v>
      </c>
    </row>
    <row r="72" spans="2:9">
      <c r="B72" s="12" t="s">
        <v>11</v>
      </c>
      <c r="C72">
        <v>2022</v>
      </c>
      <c r="D72" t="s">
        <v>27</v>
      </c>
      <c r="E72" t="s">
        <v>180</v>
      </c>
      <c r="F72" s="11"/>
      <c r="G72" t="s">
        <v>181</v>
      </c>
      <c r="H72">
        <v>0.25</v>
      </c>
      <c r="I72" t="s">
        <v>247</v>
      </c>
    </row>
    <row r="73" spans="2:9">
      <c r="B73" s="12" t="s">
        <v>11</v>
      </c>
      <c r="C73">
        <v>2022</v>
      </c>
      <c r="D73" t="s">
        <v>27</v>
      </c>
      <c r="E73" t="s">
        <v>199</v>
      </c>
      <c r="F73" s="19"/>
      <c r="G73" t="s">
        <v>181</v>
      </c>
      <c r="H73">
        <v>0.25</v>
      </c>
      <c r="I73" t="s">
        <v>248</v>
      </c>
    </row>
    <row r="74" spans="2:9">
      <c r="B74" s="12" t="s">
        <v>11</v>
      </c>
      <c r="C74">
        <v>2022</v>
      </c>
      <c r="D74" t="s">
        <v>27</v>
      </c>
      <c r="E74" t="s">
        <v>197</v>
      </c>
      <c r="F74" s="11"/>
      <c r="G74" t="s">
        <v>181</v>
      </c>
      <c r="H74">
        <v>0.25</v>
      </c>
      <c r="I74" t="s">
        <v>248</v>
      </c>
    </row>
    <row r="75" spans="2:9">
      <c r="B75" s="12" t="s">
        <v>11</v>
      </c>
      <c r="C75">
        <v>2022</v>
      </c>
      <c r="D75" t="s">
        <v>27</v>
      </c>
      <c r="E75" t="s">
        <v>188</v>
      </c>
      <c r="F75" s="19"/>
      <c r="G75" t="s">
        <v>181</v>
      </c>
      <c r="H75">
        <v>0.5</v>
      </c>
      <c r="I75" t="s">
        <v>249</v>
      </c>
    </row>
    <row r="76" spans="2:9">
      <c r="B76" s="12" t="s">
        <v>11</v>
      </c>
      <c r="C76">
        <v>2022</v>
      </c>
      <c r="D76" t="s">
        <v>27</v>
      </c>
      <c r="E76" t="s">
        <v>180</v>
      </c>
      <c r="F76" s="11"/>
      <c r="G76" t="s">
        <v>181</v>
      </c>
      <c r="H76">
        <v>2</v>
      </c>
      <c r="I76" t="s">
        <v>250</v>
      </c>
    </row>
    <row r="77" spans="2:9">
      <c r="B77" s="12" t="s">
        <v>11</v>
      </c>
      <c r="C77">
        <v>2022</v>
      </c>
      <c r="D77" t="s">
        <v>27</v>
      </c>
      <c r="E77" t="s">
        <v>199</v>
      </c>
      <c r="F77" s="19"/>
      <c r="G77" t="s">
        <v>181</v>
      </c>
      <c r="H77">
        <v>0.5</v>
      </c>
      <c r="I77" t="s">
        <v>251</v>
      </c>
    </row>
    <row r="78" spans="2:9">
      <c r="B78" s="12" t="s">
        <v>11</v>
      </c>
      <c r="C78">
        <v>2022</v>
      </c>
      <c r="D78" t="s">
        <v>27</v>
      </c>
      <c r="E78" t="s">
        <v>197</v>
      </c>
      <c r="F78" s="11"/>
      <c r="G78" t="s">
        <v>181</v>
      </c>
      <c r="H78">
        <v>0.25</v>
      </c>
      <c r="I78" t="s">
        <v>251</v>
      </c>
    </row>
    <row r="79" spans="2:9">
      <c r="B79" s="12" t="s">
        <v>11</v>
      </c>
      <c r="C79">
        <v>2022</v>
      </c>
      <c r="D79" t="s">
        <v>27</v>
      </c>
      <c r="E79" t="s">
        <v>199</v>
      </c>
      <c r="F79" s="19"/>
      <c r="G79" t="s">
        <v>181</v>
      </c>
      <c r="H79">
        <v>0.24</v>
      </c>
      <c r="I79" t="s">
        <v>252</v>
      </c>
    </row>
    <row r="80" spans="2:9">
      <c r="B80" s="12" t="s">
        <v>11</v>
      </c>
      <c r="C80">
        <v>2022</v>
      </c>
      <c r="D80" t="s">
        <v>27</v>
      </c>
      <c r="E80" t="s">
        <v>188</v>
      </c>
      <c r="F80" s="11"/>
      <c r="G80" t="s">
        <v>181</v>
      </c>
      <c r="H80">
        <v>4</v>
      </c>
      <c r="I80" t="s">
        <v>253</v>
      </c>
    </row>
    <row r="81" spans="2:9">
      <c r="B81" s="12" t="s">
        <v>11</v>
      </c>
      <c r="C81">
        <v>2022</v>
      </c>
      <c r="D81" t="s">
        <v>27</v>
      </c>
      <c r="E81" t="s">
        <v>193</v>
      </c>
      <c r="F81" s="19"/>
      <c r="G81" t="s">
        <v>181</v>
      </c>
      <c r="H81">
        <v>6.5</v>
      </c>
      <c r="I81" t="s">
        <v>254</v>
      </c>
    </row>
    <row r="82" spans="2:9">
      <c r="B82" s="12" t="s">
        <v>11</v>
      </c>
      <c r="C82">
        <v>2022</v>
      </c>
      <c r="D82" t="s">
        <v>27</v>
      </c>
      <c r="E82" t="s">
        <v>193</v>
      </c>
      <c r="F82" s="11"/>
      <c r="G82" t="s">
        <v>181</v>
      </c>
      <c r="H82">
        <v>5</v>
      </c>
      <c r="I82" t="s">
        <v>255</v>
      </c>
    </row>
    <row r="83" spans="2:9">
      <c r="B83" s="12" t="s">
        <v>11</v>
      </c>
      <c r="C83">
        <v>2022</v>
      </c>
      <c r="D83" t="s">
        <v>27</v>
      </c>
      <c r="E83" t="s">
        <v>199</v>
      </c>
      <c r="F83" s="19"/>
      <c r="G83" t="s">
        <v>208</v>
      </c>
      <c r="H83">
        <v>0.5</v>
      </c>
      <c r="I83" t="s">
        <v>256</v>
      </c>
    </row>
    <row r="84" spans="2:9">
      <c r="B84" s="12" t="s">
        <v>11</v>
      </c>
      <c r="C84">
        <v>2022</v>
      </c>
      <c r="D84" t="s">
        <v>27</v>
      </c>
      <c r="E84" t="s">
        <v>199</v>
      </c>
      <c r="F84" s="11"/>
      <c r="G84" t="s">
        <v>208</v>
      </c>
      <c r="H84">
        <v>1.5</v>
      </c>
      <c r="I84" t="s">
        <v>257</v>
      </c>
    </row>
    <row r="85" spans="2:9">
      <c r="B85" s="12" t="s">
        <v>11</v>
      </c>
      <c r="C85">
        <v>2022</v>
      </c>
      <c r="D85" t="s">
        <v>27</v>
      </c>
      <c r="E85" t="s">
        <v>188</v>
      </c>
      <c r="F85" s="19"/>
      <c r="G85" t="s">
        <v>208</v>
      </c>
      <c r="H85">
        <v>18.399999999999999</v>
      </c>
      <c r="I85" t="s">
        <v>258</v>
      </c>
    </row>
    <row r="86" spans="2:9">
      <c r="B86" s="12" t="s">
        <v>11</v>
      </c>
      <c r="C86">
        <v>2022</v>
      </c>
      <c r="D86" t="s">
        <v>28</v>
      </c>
      <c r="E86" t="s">
        <v>180</v>
      </c>
      <c r="F86" s="11"/>
      <c r="G86" t="s">
        <v>181</v>
      </c>
      <c r="H86">
        <v>6</v>
      </c>
      <c r="I86" t="s">
        <v>232</v>
      </c>
    </row>
    <row r="87" spans="2:9">
      <c r="B87" s="12" t="s">
        <v>11</v>
      </c>
      <c r="C87">
        <v>2022</v>
      </c>
      <c r="D87" t="s">
        <v>28</v>
      </c>
      <c r="E87" t="s">
        <v>180</v>
      </c>
      <c r="F87" s="19"/>
      <c r="G87" t="s">
        <v>181</v>
      </c>
      <c r="H87">
        <v>2</v>
      </c>
      <c r="I87" t="s">
        <v>233</v>
      </c>
    </row>
    <row r="88" spans="2:9">
      <c r="B88" s="12" t="s">
        <v>11</v>
      </c>
      <c r="C88">
        <v>2022</v>
      </c>
      <c r="D88" t="s">
        <v>28</v>
      </c>
      <c r="E88" t="s">
        <v>180</v>
      </c>
      <c r="F88" s="11"/>
      <c r="G88" t="s">
        <v>181</v>
      </c>
      <c r="H88">
        <v>2</v>
      </c>
      <c r="I88" t="s">
        <v>234</v>
      </c>
    </row>
    <row r="89" spans="2:9">
      <c r="B89" s="12" t="s">
        <v>11</v>
      </c>
      <c r="C89">
        <v>2022</v>
      </c>
      <c r="D89" t="s">
        <v>28</v>
      </c>
      <c r="E89" t="s">
        <v>259</v>
      </c>
      <c r="F89" s="19"/>
      <c r="G89" t="s">
        <v>181</v>
      </c>
      <c r="H89">
        <v>1</v>
      </c>
      <c r="I89" t="s">
        <v>235</v>
      </c>
    </row>
    <row r="90" spans="2:9">
      <c r="B90" s="12" t="s">
        <v>11</v>
      </c>
      <c r="C90">
        <v>2022</v>
      </c>
      <c r="D90" t="s">
        <v>28</v>
      </c>
      <c r="E90" t="s">
        <v>180</v>
      </c>
      <c r="F90" s="11"/>
      <c r="G90" t="s">
        <v>181</v>
      </c>
      <c r="H90">
        <v>1</v>
      </c>
      <c r="I90" t="s">
        <v>236</v>
      </c>
    </row>
    <row r="91" spans="2:9">
      <c r="B91" s="12" t="s">
        <v>11</v>
      </c>
      <c r="C91">
        <v>2022</v>
      </c>
      <c r="D91" t="s">
        <v>28</v>
      </c>
      <c r="E91" t="s">
        <v>188</v>
      </c>
      <c r="F91" s="19"/>
      <c r="G91" t="s">
        <v>181</v>
      </c>
      <c r="H91">
        <v>4</v>
      </c>
      <c r="I91" t="s">
        <v>237</v>
      </c>
    </row>
    <row r="92" spans="2:9">
      <c r="B92" s="12" t="s">
        <v>11</v>
      </c>
      <c r="C92">
        <v>2022</v>
      </c>
      <c r="D92" t="s">
        <v>28</v>
      </c>
      <c r="E92" t="s">
        <v>180</v>
      </c>
      <c r="F92" s="11"/>
      <c r="G92" t="s">
        <v>181</v>
      </c>
      <c r="H92">
        <v>1</v>
      </c>
      <c r="I92" t="s">
        <v>238</v>
      </c>
    </row>
    <row r="93" spans="2:9">
      <c r="B93" s="12" t="s">
        <v>11</v>
      </c>
      <c r="C93">
        <v>2022</v>
      </c>
      <c r="D93" t="s">
        <v>28</v>
      </c>
      <c r="E93" t="s">
        <v>180</v>
      </c>
      <c r="F93" s="19"/>
      <c r="G93" t="s">
        <v>181</v>
      </c>
      <c r="H93">
        <v>2</v>
      </c>
      <c r="I93" t="s">
        <v>239</v>
      </c>
    </row>
    <row r="94" spans="2:9">
      <c r="B94" s="12" t="s">
        <v>11</v>
      </c>
      <c r="C94">
        <v>2022</v>
      </c>
      <c r="D94" t="s">
        <v>28</v>
      </c>
      <c r="E94" t="s">
        <v>191</v>
      </c>
      <c r="F94" s="11"/>
      <c r="G94" t="s">
        <v>181</v>
      </c>
      <c r="H94">
        <v>2</v>
      </c>
      <c r="I94" t="s">
        <v>240</v>
      </c>
    </row>
    <row r="95" spans="2:9">
      <c r="B95" s="12" t="s">
        <v>11</v>
      </c>
      <c r="C95">
        <v>2022</v>
      </c>
      <c r="D95" t="s">
        <v>28</v>
      </c>
      <c r="E95" t="s">
        <v>200</v>
      </c>
      <c r="F95" s="19"/>
      <c r="G95" t="s">
        <v>181</v>
      </c>
      <c r="H95">
        <v>1</v>
      </c>
      <c r="I95" t="s">
        <v>201</v>
      </c>
    </row>
    <row r="96" spans="2:9">
      <c r="B96" s="12" t="s">
        <v>11</v>
      </c>
      <c r="C96">
        <v>2022</v>
      </c>
      <c r="D96" t="s">
        <v>28</v>
      </c>
      <c r="E96" t="s">
        <v>197</v>
      </c>
      <c r="F96" s="11"/>
      <c r="G96" t="s">
        <v>181</v>
      </c>
      <c r="H96">
        <v>0.25</v>
      </c>
      <c r="I96" t="s">
        <v>202</v>
      </c>
    </row>
    <row r="97" spans="2:9">
      <c r="B97" s="12" t="s">
        <v>11</v>
      </c>
      <c r="C97">
        <v>2022</v>
      </c>
      <c r="D97" t="s">
        <v>28</v>
      </c>
      <c r="E97" t="s">
        <v>199</v>
      </c>
      <c r="F97" s="19"/>
      <c r="G97" t="s">
        <v>181</v>
      </c>
      <c r="H97">
        <v>0.25</v>
      </c>
      <c r="I97" t="s">
        <v>202</v>
      </c>
    </row>
    <row r="98" spans="2:9">
      <c r="B98" s="12" t="s">
        <v>11</v>
      </c>
      <c r="C98">
        <v>2022</v>
      </c>
      <c r="D98" t="s">
        <v>28</v>
      </c>
      <c r="E98" t="s">
        <v>203</v>
      </c>
      <c r="F98" s="11"/>
      <c r="G98" t="s">
        <v>181</v>
      </c>
      <c r="H98">
        <v>1</v>
      </c>
      <c r="I98" t="s">
        <v>241</v>
      </c>
    </row>
    <row r="99" spans="2:9">
      <c r="B99" s="12" t="s">
        <v>11</v>
      </c>
      <c r="C99">
        <v>2022</v>
      </c>
      <c r="D99" t="s">
        <v>28</v>
      </c>
      <c r="E99" t="s">
        <v>199</v>
      </c>
      <c r="F99" s="19"/>
      <c r="G99" t="s">
        <v>181</v>
      </c>
      <c r="H99">
        <v>0.75</v>
      </c>
      <c r="I99" t="s">
        <v>198</v>
      </c>
    </row>
    <row r="100" spans="2:9">
      <c r="B100" s="12" t="s">
        <v>11</v>
      </c>
      <c r="C100">
        <v>2022</v>
      </c>
      <c r="D100" t="s">
        <v>28</v>
      </c>
      <c r="E100" t="s">
        <v>197</v>
      </c>
      <c r="F100" s="11"/>
      <c r="G100" t="s">
        <v>181</v>
      </c>
      <c r="H100">
        <v>0.75</v>
      </c>
      <c r="I100" t="s">
        <v>198</v>
      </c>
    </row>
    <row r="101" spans="2:9">
      <c r="B101" s="12" t="s">
        <v>11</v>
      </c>
      <c r="C101">
        <v>2022</v>
      </c>
      <c r="D101" t="s">
        <v>28</v>
      </c>
      <c r="E101" t="s">
        <v>180</v>
      </c>
      <c r="F101" s="19"/>
      <c r="G101" t="s">
        <v>181</v>
      </c>
      <c r="H101">
        <v>1</v>
      </c>
      <c r="I101" t="s">
        <v>242</v>
      </c>
    </row>
    <row r="102" spans="2:9">
      <c r="B102" s="12" t="s">
        <v>11</v>
      </c>
      <c r="C102">
        <v>2022</v>
      </c>
      <c r="D102" t="s">
        <v>28</v>
      </c>
      <c r="E102" t="s">
        <v>180</v>
      </c>
      <c r="F102" s="11"/>
      <c r="G102" t="s">
        <v>181</v>
      </c>
      <c r="H102">
        <v>1</v>
      </c>
      <c r="I102" t="s">
        <v>243</v>
      </c>
    </row>
    <row r="103" spans="2:9">
      <c r="B103" s="12" t="s">
        <v>11</v>
      </c>
      <c r="C103">
        <v>2022</v>
      </c>
      <c r="D103" t="s">
        <v>28</v>
      </c>
      <c r="E103" t="s">
        <v>191</v>
      </c>
      <c r="F103" s="19"/>
      <c r="G103" t="s">
        <v>181</v>
      </c>
      <c r="H103">
        <v>1</v>
      </c>
      <c r="I103" t="s">
        <v>260</v>
      </c>
    </row>
    <row r="104" spans="2:9">
      <c r="B104" s="12" t="s">
        <v>11</v>
      </c>
      <c r="C104">
        <v>2022</v>
      </c>
      <c r="D104" t="s">
        <v>28</v>
      </c>
      <c r="E104" t="s">
        <v>188</v>
      </c>
      <c r="F104" s="11"/>
      <c r="G104" t="s">
        <v>181</v>
      </c>
      <c r="H104">
        <v>0.5</v>
      </c>
      <c r="I104" t="s">
        <v>261</v>
      </c>
    </row>
    <row r="105" spans="2:9">
      <c r="B105" s="12" t="s">
        <v>11</v>
      </c>
      <c r="C105">
        <v>2022</v>
      </c>
      <c r="D105" t="s">
        <v>28</v>
      </c>
      <c r="E105" t="s">
        <v>191</v>
      </c>
      <c r="F105" s="19"/>
      <c r="G105" t="s">
        <v>181</v>
      </c>
      <c r="H105">
        <v>1</v>
      </c>
      <c r="I105" t="s">
        <v>262</v>
      </c>
    </row>
    <row r="106" spans="2:9">
      <c r="B106" s="12" t="s">
        <v>11</v>
      </c>
      <c r="C106">
        <v>2022</v>
      </c>
      <c r="D106" t="s">
        <v>28</v>
      </c>
      <c r="E106" t="s">
        <v>180</v>
      </c>
      <c r="F106" s="11"/>
      <c r="G106" t="s">
        <v>181</v>
      </c>
      <c r="H106">
        <v>1</v>
      </c>
      <c r="I106" t="s">
        <v>263</v>
      </c>
    </row>
    <row r="107" spans="2:9">
      <c r="B107" s="12" t="s">
        <v>11</v>
      </c>
      <c r="C107">
        <v>2022</v>
      </c>
      <c r="D107" t="s">
        <v>28</v>
      </c>
      <c r="E107" t="s">
        <v>199</v>
      </c>
      <c r="F107" s="19"/>
      <c r="G107" t="s">
        <v>181</v>
      </c>
      <c r="H107">
        <v>0.25</v>
      </c>
      <c r="I107" t="s">
        <v>264</v>
      </c>
    </row>
    <row r="108" spans="2:9">
      <c r="B108" s="12" t="s">
        <v>11</v>
      </c>
      <c r="C108">
        <v>2022</v>
      </c>
      <c r="D108" t="s">
        <v>28</v>
      </c>
      <c r="E108" t="s">
        <v>193</v>
      </c>
      <c r="F108" s="11"/>
      <c r="G108" t="s">
        <v>181</v>
      </c>
      <c r="H108">
        <v>0.6</v>
      </c>
      <c r="I108" t="s">
        <v>265</v>
      </c>
    </row>
    <row r="109" spans="2:9">
      <c r="B109" s="12" t="s">
        <v>11</v>
      </c>
      <c r="C109">
        <v>2022</v>
      </c>
      <c r="D109" t="s">
        <v>28</v>
      </c>
      <c r="E109" t="s">
        <v>199</v>
      </c>
      <c r="F109" s="19"/>
      <c r="G109" t="s">
        <v>208</v>
      </c>
      <c r="H109">
        <v>2</v>
      </c>
      <c r="I109" t="s">
        <v>266</v>
      </c>
    </row>
    <row r="110" spans="2:9">
      <c r="B110" s="12" t="s">
        <v>11</v>
      </c>
      <c r="C110">
        <v>2022</v>
      </c>
      <c r="D110" t="s">
        <v>28</v>
      </c>
      <c r="E110" t="s">
        <v>180</v>
      </c>
      <c r="F110" s="11"/>
      <c r="G110" t="s">
        <v>208</v>
      </c>
      <c r="H110">
        <v>2</v>
      </c>
      <c r="I110" t="s">
        <v>267</v>
      </c>
    </row>
    <row r="111" spans="2:9">
      <c r="B111" s="12" t="s">
        <v>11</v>
      </c>
      <c r="C111">
        <v>2022</v>
      </c>
      <c r="D111" t="s">
        <v>28</v>
      </c>
      <c r="E111" t="s">
        <v>199</v>
      </c>
      <c r="F111" s="19"/>
      <c r="G111" t="s">
        <v>208</v>
      </c>
      <c r="H111">
        <v>5</v>
      </c>
      <c r="I111" t="s">
        <v>268</v>
      </c>
    </row>
    <row r="112" spans="2:9">
      <c r="B112" s="12" t="s">
        <v>11</v>
      </c>
      <c r="C112">
        <v>2022</v>
      </c>
      <c r="D112" t="s">
        <v>28</v>
      </c>
      <c r="E112" t="s">
        <v>188</v>
      </c>
      <c r="F112" s="11"/>
      <c r="G112" t="s">
        <v>208</v>
      </c>
      <c r="H112">
        <v>1.5</v>
      </c>
      <c r="I112" t="s">
        <v>269</v>
      </c>
    </row>
    <row r="113" spans="2:9">
      <c r="B113" s="12" t="s">
        <v>11</v>
      </c>
      <c r="C113">
        <v>2022</v>
      </c>
      <c r="D113" t="s">
        <v>28</v>
      </c>
      <c r="E113" t="s">
        <v>199</v>
      </c>
      <c r="F113" s="19"/>
      <c r="G113" t="s">
        <v>208</v>
      </c>
      <c r="H113">
        <v>6</v>
      </c>
      <c r="I113" t="s">
        <v>270</v>
      </c>
    </row>
    <row r="114" spans="2:9">
      <c r="B114" s="12" t="s">
        <v>11</v>
      </c>
      <c r="C114">
        <v>2022</v>
      </c>
      <c r="D114" t="s">
        <v>28</v>
      </c>
      <c r="E114" t="s">
        <v>188</v>
      </c>
      <c r="F114" s="11"/>
      <c r="G114" t="s">
        <v>208</v>
      </c>
      <c r="H114">
        <v>0.5</v>
      </c>
      <c r="I114" t="s">
        <v>271</v>
      </c>
    </row>
    <row r="115" spans="2:9">
      <c r="B115" s="12" t="s">
        <v>11</v>
      </c>
      <c r="C115">
        <v>2022</v>
      </c>
      <c r="D115" t="s">
        <v>28</v>
      </c>
      <c r="E115" t="s">
        <v>188</v>
      </c>
      <c r="F115" s="19"/>
      <c r="G115" t="s">
        <v>208</v>
      </c>
      <c r="H115">
        <v>3</v>
      </c>
      <c r="I115" t="s">
        <v>272</v>
      </c>
    </row>
    <row r="116" spans="2:9">
      <c r="B116" s="12" t="s">
        <v>11</v>
      </c>
      <c r="C116">
        <v>2022</v>
      </c>
      <c r="D116" t="s">
        <v>31</v>
      </c>
      <c r="E116" t="s">
        <v>180</v>
      </c>
      <c r="F116" s="11"/>
      <c r="G116" t="s">
        <v>181</v>
      </c>
      <c r="H116">
        <v>6</v>
      </c>
      <c r="I116" t="s">
        <v>273</v>
      </c>
    </row>
    <row r="117" spans="2:9">
      <c r="B117" s="12" t="s">
        <v>11</v>
      </c>
      <c r="C117">
        <v>2022</v>
      </c>
      <c r="D117" t="s">
        <v>31</v>
      </c>
      <c r="E117" t="s">
        <v>180</v>
      </c>
      <c r="F117" s="19"/>
      <c r="G117" t="s">
        <v>181</v>
      </c>
      <c r="H117">
        <v>2</v>
      </c>
      <c r="I117" t="s">
        <v>233</v>
      </c>
    </row>
    <row r="118" spans="2:9">
      <c r="B118" s="12" t="s">
        <v>11</v>
      </c>
      <c r="C118">
        <v>2022</v>
      </c>
      <c r="D118" t="s">
        <v>31</v>
      </c>
      <c r="E118" t="s">
        <v>184</v>
      </c>
      <c r="F118" s="11"/>
      <c r="G118" t="s">
        <v>181</v>
      </c>
      <c r="H118">
        <v>2</v>
      </c>
      <c r="I118" t="s">
        <v>234</v>
      </c>
    </row>
    <row r="119" spans="2:9">
      <c r="B119" s="12" t="s">
        <v>11</v>
      </c>
      <c r="C119">
        <v>2022</v>
      </c>
      <c r="D119" t="s">
        <v>31</v>
      </c>
      <c r="E119" t="s">
        <v>180</v>
      </c>
      <c r="F119" s="19"/>
      <c r="G119" t="s">
        <v>181</v>
      </c>
      <c r="H119">
        <v>1</v>
      </c>
      <c r="I119" t="s">
        <v>235</v>
      </c>
    </row>
    <row r="120" spans="2:9">
      <c r="B120" s="12" t="s">
        <v>11</v>
      </c>
      <c r="C120">
        <v>2022</v>
      </c>
      <c r="D120" t="s">
        <v>31</v>
      </c>
      <c r="E120" t="s">
        <v>180</v>
      </c>
      <c r="F120" s="11"/>
      <c r="G120" t="s">
        <v>181</v>
      </c>
      <c r="H120">
        <v>1</v>
      </c>
      <c r="I120" t="s">
        <v>236</v>
      </c>
    </row>
    <row r="121" spans="2:9">
      <c r="B121" s="12" t="s">
        <v>11</v>
      </c>
      <c r="C121">
        <v>2022</v>
      </c>
      <c r="D121" t="s">
        <v>31</v>
      </c>
      <c r="E121" t="s">
        <v>188</v>
      </c>
      <c r="F121" s="19"/>
      <c r="G121" t="s">
        <v>181</v>
      </c>
      <c r="H121">
        <v>4</v>
      </c>
      <c r="I121" t="s">
        <v>237</v>
      </c>
    </row>
    <row r="122" spans="2:9">
      <c r="B122" s="12" t="s">
        <v>11</v>
      </c>
      <c r="C122">
        <v>2022</v>
      </c>
      <c r="D122" t="s">
        <v>31</v>
      </c>
      <c r="E122" t="s">
        <v>180</v>
      </c>
      <c r="F122" s="11"/>
      <c r="G122" t="s">
        <v>181</v>
      </c>
      <c r="H122">
        <v>1</v>
      </c>
      <c r="I122" t="s">
        <v>238</v>
      </c>
    </row>
    <row r="123" spans="2:9">
      <c r="B123" s="12" t="s">
        <v>11</v>
      </c>
      <c r="C123">
        <v>2022</v>
      </c>
      <c r="D123" t="s">
        <v>31</v>
      </c>
      <c r="E123" t="s">
        <v>180</v>
      </c>
      <c r="F123" s="19"/>
      <c r="G123" t="s">
        <v>181</v>
      </c>
      <c r="H123">
        <v>2</v>
      </c>
      <c r="I123" t="s">
        <v>239</v>
      </c>
    </row>
    <row r="124" spans="2:9">
      <c r="B124" s="12" t="s">
        <v>11</v>
      </c>
      <c r="C124">
        <v>2022</v>
      </c>
      <c r="D124" t="s">
        <v>31</v>
      </c>
      <c r="E124" t="s">
        <v>191</v>
      </c>
      <c r="F124" s="11"/>
      <c r="G124" t="s">
        <v>181</v>
      </c>
      <c r="H124">
        <v>2</v>
      </c>
      <c r="I124" t="s">
        <v>240</v>
      </c>
    </row>
    <row r="125" spans="2:9">
      <c r="B125" s="12" t="s">
        <v>11</v>
      </c>
      <c r="C125">
        <v>2022</v>
      </c>
      <c r="D125" t="s">
        <v>31</v>
      </c>
      <c r="E125" t="s">
        <v>200</v>
      </c>
      <c r="F125" s="19"/>
      <c r="G125" t="s">
        <v>181</v>
      </c>
      <c r="H125">
        <v>1</v>
      </c>
      <c r="I125" t="s">
        <v>201</v>
      </c>
    </row>
    <row r="126" spans="2:9">
      <c r="B126" s="12" t="s">
        <v>11</v>
      </c>
      <c r="C126">
        <v>2022</v>
      </c>
      <c r="D126" t="s">
        <v>31</v>
      </c>
      <c r="E126" t="s">
        <v>197</v>
      </c>
      <c r="F126" s="11"/>
      <c r="G126" t="s">
        <v>181</v>
      </c>
      <c r="H126">
        <v>0.25</v>
      </c>
      <c r="I126" t="s">
        <v>202</v>
      </c>
    </row>
    <row r="127" spans="2:9">
      <c r="B127" s="12" t="s">
        <v>11</v>
      </c>
      <c r="C127">
        <v>2022</v>
      </c>
      <c r="D127" t="s">
        <v>31</v>
      </c>
      <c r="E127" t="s">
        <v>199</v>
      </c>
      <c r="F127" s="19"/>
      <c r="G127" t="s">
        <v>181</v>
      </c>
      <c r="H127">
        <v>0.25</v>
      </c>
      <c r="I127" t="s">
        <v>202</v>
      </c>
    </row>
    <row r="128" spans="2:9">
      <c r="B128" s="12" t="s">
        <v>11</v>
      </c>
      <c r="C128">
        <v>2022</v>
      </c>
      <c r="D128" t="s">
        <v>31</v>
      </c>
      <c r="E128" t="s">
        <v>203</v>
      </c>
      <c r="F128" s="11"/>
      <c r="G128" t="s">
        <v>181</v>
      </c>
      <c r="H128">
        <v>1</v>
      </c>
      <c r="I128" t="s">
        <v>241</v>
      </c>
    </row>
    <row r="129" spans="2:9">
      <c r="B129" s="12" t="s">
        <v>11</v>
      </c>
      <c r="C129">
        <v>2022</v>
      </c>
      <c r="D129" t="s">
        <v>31</v>
      </c>
      <c r="E129" t="s">
        <v>199</v>
      </c>
      <c r="F129" s="19"/>
      <c r="G129" t="s">
        <v>181</v>
      </c>
      <c r="H129">
        <v>0.75</v>
      </c>
      <c r="I129" t="s">
        <v>198</v>
      </c>
    </row>
    <row r="130" spans="2:9">
      <c r="B130" s="12" t="s">
        <v>11</v>
      </c>
      <c r="C130">
        <v>2022</v>
      </c>
      <c r="D130" t="s">
        <v>31</v>
      </c>
      <c r="E130" t="s">
        <v>197</v>
      </c>
      <c r="F130" s="11"/>
      <c r="G130" t="s">
        <v>181</v>
      </c>
      <c r="H130">
        <v>0.75</v>
      </c>
      <c r="I130" t="s">
        <v>198</v>
      </c>
    </row>
    <row r="131" spans="2:9">
      <c r="B131" s="12" t="s">
        <v>11</v>
      </c>
      <c r="C131">
        <v>2022</v>
      </c>
      <c r="D131" t="s">
        <v>31</v>
      </c>
      <c r="E131" t="s">
        <v>180</v>
      </c>
      <c r="F131" s="19"/>
      <c r="G131" t="s">
        <v>181</v>
      </c>
      <c r="H131">
        <v>1</v>
      </c>
      <c r="I131" t="s">
        <v>242</v>
      </c>
    </row>
    <row r="132" spans="2:9">
      <c r="B132" s="12" t="s">
        <v>11</v>
      </c>
      <c r="C132">
        <v>2022</v>
      </c>
      <c r="D132" t="s">
        <v>31</v>
      </c>
      <c r="E132" t="s">
        <v>180</v>
      </c>
      <c r="F132" s="11"/>
      <c r="G132" t="s">
        <v>181</v>
      </c>
      <c r="H132">
        <v>1</v>
      </c>
      <c r="I132" t="s">
        <v>243</v>
      </c>
    </row>
    <row r="133" spans="2:9">
      <c r="B133" s="12" t="s">
        <v>11</v>
      </c>
      <c r="C133">
        <v>2022</v>
      </c>
      <c r="D133" t="s">
        <v>31</v>
      </c>
      <c r="E133" t="s">
        <v>199</v>
      </c>
      <c r="F133" s="19"/>
      <c r="G133" t="s">
        <v>181</v>
      </c>
      <c r="H133">
        <v>1</v>
      </c>
      <c r="I133" t="s">
        <v>274</v>
      </c>
    </row>
    <row r="134" spans="2:9">
      <c r="B134" s="12" t="s">
        <v>11</v>
      </c>
      <c r="C134">
        <v>2022</v>
      </c>
      <c r="D134" t="s">
        <v>31</v>
      </c>
      <c r="E134" t="s">
        <v>199</v>
      </c>
      <c r="F134" s="11"/>
      <c r="G134" t="s">
        <v>181</v>
      </c>
      <c r="H134">
        <v>10.4</v>
      </c>
      <c r="I134" t="s">
        <v>275</v>
      </c>
    </row>
    <row r="135" spans="2:9">
      <c r="B135" s="12" t="s">
        <v>11</v>
      </c>
      <c r="C135">
        <v>2022</v>
      </c>
      <c r="D135" t="s">
        <v>31</v>
      </c>
      <c r="E135" t="s">
        <v>180</v>
      </c>
      <c r="F135" s="19"/>
      <c r="G135" t="s">
        <v>181</v>
      </c>
      <c r="H135">
        <v>3</v>
      </c>
      <c r="I135" t="s">
        <v>276</v>
      </c>
    </row>
    <row r="136" spans="2:9">
      <c r="B136" s="12" t="s">
        <v>11</v>
      </c>
      <c r="C136">
        <v>2022</v>
      </c>
      <c r="D136" t="s">
        <v>31</v>
      </c>
      <c r="E136" t="s">
        <v>203</v>
      </c>
      <c r="F136" s="11"/>
      <c r="G136" t="s">
        <v>181</v>
      </c>
      <c r="H136">
        <v>1</v>
      </c>
      <c r="I136" t="s">
        <v>277</v>
      </c>
    </row>
    <row r="137" spans="2:9">
      <c r="B137" s="12" t="s">
        <v>11</v>
      </c>
      <c r="C137">
        <v>2022</v>
      </c>
      <c r="D137" t="s">
        <v>31</v>
      </c>
      <c r="E137" t="s">
        <v>180</v>
      </c>
      <c r="F137" s="19"/>
      <c r="G137" t="s">
        <v>181</v>
      </c>
      <c r="H137">
        <v>3</v>
      </c>
      <c r="I137" t="s">
        <v>278</v>
      </c>
    </row>
    <row r="138" spans="2:9">
      <c r="B138" s="12" t="s">
        <v>11</v>
      </c>
      <c r="C138">
        <v>2022</v>
      </c>
      <c r="D138" t="s">
        <v>31</v>
      </c>
      <c r="E138" t="s">
        <v>193</v>
      </c>
      <c r="F138" s="11"/>
      <c r="G138" t="s">
        <v>181</v>
      </c>
      <c r="H138">
        <v>1</v>
      </c>
      <c r="I138" t="s">
        <v>216</v>
      </c>
    </row>
    <row r="139" spans="2:9">
      <c r="B139" s="12" t="s">
        <v>11</v>
      </c>
      <c r="C139">
        <v>2022</v>
      </c>
      <c r="D139" t="s">
        <v>31</v>
      </c>
      <c r="E139" t="s">
        <v>180</v>
      </c>
      <c r="F139" s="19"/>
      <c r="G139" t="s">
        <v>181</v>
      </c>
      <c r="H139">
        <v>6.95</v>
      </c>
      <c r="I139" t="s">
        <v>279</v>
      </c>
    </row>
    <row r="140" spans="2:9">
      <c r="B140" s="12" t="s">
        <v>11</v>
      </c>
      <c r="C140">
        <v>2022</v>
      </c>
      <c r="D140" t="s">
        <v>31</v>
      </c>
      <c r="E140" t="s">
        <v>188</v>
      </c>
      <c r="F140" s="11"/>
      <c r="G140" t="s">
        <v>181</v>
      </c>
      <c r="H140">
        <v>10</v>
      </c>
      <c r="I140" t="s">
        <v>280</v>
      </c>
    </row>
    <row r="141" spans="2:9">
      <c r="B141" s="12" t="s">
        <v>11</v>
      </c>
      <c r="C141">
        <v>2022</v>
      </c>
      <c r="D141" t="s">
        <v>31</v>
      </c>
      <c r="E141" t="s">
        <v>259</v>
      </c>
      <c r="F141" s="19"/>
      <c r="G141" t="s">
        <v>181</v>
      </c>
      <c r="H141">
        <v>4.5999999999999996</v>
      </c>
      <c r="I141" t="s">
        <v>281</v>
      </c>
    </row>
    <row r="142" spans="2:9">
      <c r="B142" s="12" t="s">
        <v>11</v>
      </c>
      <c r="C142">
        <v>2022</v>
      </c>
      <c r="D142" t="s">
        <v>31</v>
      </c>
      <c r="E142" t="s">
        <v>259</v>
      </c>
      <c r="F142" s="11"/>
      <c r="G142" t="s">
        <v>181</v>
      </c>
      <c r="H142">
        <v>2.6</v>
      </c>
      <c r="I142" t="s">
        <v>282</v>
      </c>
    </row>
    <row r="143" spans="2:9">
      <c r="B143" s="12" t="s">
        <v>11</v>
      </c>
      <c r="C143">
        <v>2022</v>
      </c>
      <c r="D143" t="s">
        <v>33</v>
      </c>
      <c r="E143" t="s">
        <v>180</v>
      </c>
      <c r="F143" s="19"/>
      <c r="G143" t="s">
        <v>181</v>
      </c>
      <c r="H143">
        <v>6</v>
      </c>
      <c r="I143" t="s">
        <v>273</v>
      </c>
    </row>
    <row r="144" spans="2:9">
      <c r="B144" s="12" t="s">
        <v>11</v>
      </c>
      <c r="C144">
        <v>2022</v>
      </c>
      <c r="D144" t="s">
        <v>33</v>
      </c>
      <c r="E144" t="s">
        <v>180</v>
      </c>
      <c r="F144" s="11"/>
      <c r="G144" t="s">
        <v>181</v>
      </c>
      <c r="H144">
        <v>2</v>
      </c>
      <c r="I144" t="s">
        <v>233</v>
      </c>
    </row>
    <row r="145" spans="2:9">
      <c r="B145" s="12" t="s">
        <v>11</v>
      </c>
      <c r="C145">
        <v>2022</v>
      </c>
      <c r="D145" t="s">
        <v>33</v>
      </c>
      <c r="E145" t="s">
        <v>184</v>
      </c>
      <c r="F145" s="19"/>
      <c r="G145" t="s">
        <v>181</v>
      </c>
      <c r="H145">
        <v>2</v>
      </c>
      <c r="I145" t="s">
        <v>185</v>
      </c>
    </row>
    <row r="146" spans="2:9">
      <c r="B146" s="12" t="s">
        <v>11</v>
      </c>
      <c r="C146">
        <v>2022</v>
      </c>
      <c r="D146" t="s">
        <v>33</v>
      </c>
      <c r="E146" t="s">
        <v>180</v>
      </c>
      <c r="F146" s="11"/>
      <c r="G146" t="s">
        <v>181</v>
      </c>
      <c r="H146">
        <v>1</v>
      </c>
      <c r="I146" t="s">
        <v>235</v>
      </c>
    </row>
    <row r="147" spans="2:9">
      <c r="B147" s="12" t="s">
        <v>11</v>
      </c>
      <c r="C147">
        <v>2022</v>
      </c>
      <c r="D147" t="s">
        <v>33</v>
      </c>
      <c r="E147" t="s">
        <v>180</v>
      </c>
      <c r="F147" s="19"/>
      <c r="G147" t="s">
        <v>181</v>
      </c>
      <c r="H147">
        <v>1</v>
      </c>
      <c r="I147" t="s">
        <v>236</v>
      </c>
    </row>
    <row r="148" spans="2:9">
      <c r="B148" s="12" t="s">
        <v>11</v>
      </c>
      <c r="C148">
        <v>2022</v>
      </c>
      <c r="D148" t="s">
        <v>33</v>
      </c>
      <c r="E148" t="s">
        <v>188</v>
      </c>
      <c r="F148" s="11"/>
      <c r="G148" t="s">
        <v>181</v>
      </c>
      <c r="H148">
        <v>4</v>
      </c>
      <c r="I148" t="s">
        <v>237</v>
      </c>
    </row>
    <row r="149" spans="2:9">
      <c r="B149" s="12" t="s">
        <v>11</v>
      </c>
      <c r="C149">
        <v>2022</v>
      </c>
      <c r="D149" t="s">
        <v>33</v>
      </c>
      <c r="E149" t="s">
        <v>180</v>
      </c>
      <c r="F149" s="19"/>
      <c r="G149" t="s">
        <v>181</v>
      </c>
      <c r="H149">
        <v>1</v>
      </c>
      <c r="I149" t="s">
        <v>283</v>
      </c>
    </row>
    <row r="150" spans="2:9">
      <c r="B150" s="12" t="s">
        <v>11</v>
      </c>
      <c r="C150">
        <v>2022</v>
      </c>
      <c r="D150" t="s">
        <v>33</v>
      </c>
      <c r="E150" t="s">
        <v>180</v>
      </c>
      <c r="F150" s="11"/>
      <c r="G150" t="s">
        <v>181</v>
      </c>
      <c r="H150">
        <v>2</v>
      </c>
      <c r="I150" t="s">
        <v>284</v>
      </c>
    </row>
    <row r="151" spans="2:9">
      <c r="B151" s="12" t="s">
        <v>11</v>
      </c>
      <c r="C151">
        <v>2022</v>
      </c>
      <c r="D151" t="s">
        <v>33</v>
      </c>
      <c r="E151" t="s">
        <v>191</v>
      </c>
      <c r="F151" s="19"/>
      <c r="G151" t="s">
        <v>181</v>
      </c>
      <c r="H151">
        <v>2</v>
      </c>
      <c r="I151" t="s">
        <v>240</v>
      </c>
    </row>
    <row r="152" spans="2:9">
      <c r="B152" s="12" t="s">
        <v>11</v>
      </c>
      <c r="C152">
        <v>2022</v>
      </c>
      <c r="D152" t="s">
        <v>33</v>
      </c>
      <c r="E152" t="s">
        <v>200</v>
      </c>
      <c r="F152" s="11"/>
      <c r="G152" t="s">
        <v>181</v>
      </c>
      <c r="H152">
        <v>1</v>
      </c>
      <c r="I152" t="s">
        <v>201</v>
      </c>
    </row>
    <row r="153" spans="2:9">
      <c r="B153" s="12" t="s">
        <v>11</v>
      </c>
      <c r="C153">
        <v>2022</v>
      </c>
      <c r="D153" t="s">
        <v>33</v>
      </c>
      <c r="E153" t="s">
        <v>197</v>
      </c>
      <c r="F153" s="19"/>
      <c r="G153" t="s">
        <v>181</v>
      </c>
      <c r="H153">
        <v>0.25</v>
      </c>
      <c r="I153" t="s">
        <v>202</v>
      </c>
    </row>
    <row r="154" spans="2:9">
      <c r="B154" s="12" t="s">
        <v>11</v>
      </c>
      <c r="C154">
        <v>2022</v>
      </c>
      <c r="D154" t="s">
        <v>33</v>
      </c>
      <c r="E154" t="s">
        <v>199</v>
      </c>
      <c r="F154" s="11"/>
      <c r="G154" t="s">
        <v>181</v>
      </c>
      <c r="H154">
        <v>0.25</v>
      </c>
      <c r="I154" t="s">
        <v>202</v>
      </c>
    </row>
    <row r="155" spans="2:9">
      <c r="B155" s="12" t="s">
        <v>11</v>
      </c>
      <c r="C155">
        <v>2022</v>
      </c>
      <c r="D155" t="s">
        <v>33</v>
      </c>
      <c r="E155" t="s">
        <v>203</v>
      </c>
      <c r="F155" s="19"/>
      <c r="G155" t="s">
        <v>181</v>
      </c>
      <c r="H155">
        <v>1</v>
      </c>
      <c r="I155" t="s">
        <v>241</v>
      </c>
    </row>
    <row r="156" spans="2:9">
      <c r="B156" s="12" t="s">
        <v>11</v>
      </c>
      <c r="C156">
        <v>2022</v>
      </c>
      <c r="D156" t="s">
        <v>33</v>
      </c>
      <c r="E156" t="s">
        <v>197</v>
      </c>
      <c r="F156" s="11"/>
      <c r="G156" t="s">
        <v>181</v>
      </c>
      <c r="H156">
        <v>0.75</v>
      </c>
      <c r="I156" t="s">
        <v>198</v>
      </c>
    </row>
    <row r="157" spans="2:9">
      <c r="B157" s="12" t="s">
        <v>11</v>
      </c>
      <c r="C157">
        <v>2022</v>
      </c>
      <c r="D157" t="s">
        <v>33</v>
      </c>
      <c r="E157" t="s">
        <v>199</v>
      </c>
      <c r="F157" s="19"/>
      <c r="G157" t="s">
        <v>181</v>
      </c>
      <c r="H157">
        <v>0.75</v>
      </c>
      <c r="I157" t="s">
        <v>198</v>
      </c>
    </row>
    <row r="158" spans="2:9">
      <c r="B158" s="12" t="s">
        <v>11</v>
      </c>
      <c r="C158">
        <v>2022</v>
      </c>
      <c r="D158" t="s">
        <v>33</v>
      </c>
      <c r="E158" t="s">
        <v>180</v>
      </c>
      <c r="F158" s="11"/>
      <c r="G158" t="s">
        <v>181</v>
      </c>
      <c r="H158">
        <v>1</v>
      </c>
      <c r="I158" t="s">
        <v>242</v>
      </c>
    </row>
    <row r="159" spans="2:9">
      <c r="B159" s="12" t="s">
        <v>11</v>
      </c>
      <c r="C159">
        <v>2022</v>
      </c>
      <c r="D159" t="s">
        <v>33</v>
      </c>
      <c r="E159" t="s">
        <v>180</v>
      </c>
      <c r="F159" s="19"/>
      <c r="G159" t="s">
        <v>181</v>
      </c>
      <c r="H159">
        <v>1</v>
      </c>
      <c r="I159" t="s">
        <v>243</v>
      </c>
    </row>
    <row r="160" spans="2:9">
      <c r="B160" s="12" t="s">
        <v>11</v>
      </c>
      <c r="C160">
        <v>2022</v>
      </c>
      <c r="D160" t="s">
        <v>33</v>
      </c>
      <c r="E160" t="s">
        <v>199</v>
      </c>
      <c r="F160" s="11"/>
      <c r="G160" t="s">
        <v>181</v>
      </c>
      <c r="H160">
        <v>1</v>
      </c>
      <c r="I160" t="s">
        <v>274</v>
      </c>
    </row>
    <row r="161" spans="2:9">
      <c r="B161" s="12" t="s">
        <v>11</v>
      </c>
      <c r="C161">
        <v>2022</v>
      </c>
      <c r="D161" t="s">
        <v>33</v>
      </c>
      <c r="E161" t="s">
        <v>180</v>
      </c>
      <c r="F161" s="19"/>
      <c r="G161" t="s">
        <v>181</v>
      </c>
      <c r="H161">
        <v>4</v>
      </c>
      <c r="I161" t="s">
        <v>285</v>
      </c>
    </row>
    <row r="162" spans="2:9">
      <c r="B162" s="12" t="s">
        <v>11</v>
      </c>
      <c r="C162">
        <v>2022</v>
      </c>
      <c r="D162" t="s">
        <v>33</v>
      </c>
      <c r="E162" t="s">
        <v>193</v>
      </c>
      <c r="F162" s="11"/>
      <c r="G162" t="s">
        <v>181</v>
      </c>
      <c r="H162">
        <v>4</v>
      </c>
      <c r="I162" t="s">
        <v>286</v>
      </c>
    </row>
    <row r="163" spans="2:9">
      <c r="B163" s="12" t="s">
        <v>11</v>
      </c>
      <c r="C163">
        <v>2022</v>
      </c>
      <c r="D163" t="s">
        <v>33</v>
      </c>
      <c r="E163" t="s">
        <v>180</v>
      </c>
      <c r="F163" s="19"/>
      <c r="G163" t="s">
        <v>181</v>
      </c>
      <c r="H163">
        <v>2.5</v>
      </c>
      <c r="I163" t="s">
        <v>287</v>
      </c>
    </row>
    <row r="164" spans="2:9">
      <c r="B164" s="12" t="s">
        <v>11</v>
      </c>
      <c r="C164">
        <v>2022</v>
      </c>
      <c r="D164" t="s">
        <v>33</v>
      </c>
      <c r="E164" t="s">
        <v>191</v>
      </c>
      <c r="F164" s="11"/>
      <c r="G164" t="s">
        <v>181</v>
      </c>
      <c r="H164">
        <v>3.5</v>
      </c>
      <c r="I164" t="s">
        <v>288</v>
      </c>
    </row>
    <row r="165" spans="2:9">
      <c r="B165" s="12" t="s">
        <v>11</v>
      </c>
      <c r="C165">
        <v>2022</v>
      </c>
      <c r="D165" t="s">
        <v>33</v>
      </c>
      <c r="E165" t="s">
        <v>188</v>
      </c>
      <c r="F165" s="19"/>
      <c r="G165" t="s">
        <v>208</v>
      </c>
      <c r="H165">
        <v>8.9499999999999993</v>
      </c>
      <c r="I165" t="s">
        <v>289</v>
      </c>
    </row>
    <row r="166" spans="2:9">
      <c r="B166" s="12" t="s">
        <v>11</v>
      </c>
      <c r="C166">
        <v>2022</v>
      </c>
      <c r="D166" t="s">
        <v>33</v>
      </c>
      <c r="E166" t="s">
        <v>188</v>
      </c>
      <c r="F166" s="11"/>
      <c r="G166" t="s">
        <v>208</v>
      </c>
      <c r="H166">
        <v>0.5</v>
      </c>
      <c r="I166" t="s">
        <v>290</v>
      </c>
    </row>
    <row r="167" spans="2:9">
      <c r="B167" s="12" t="s">
        <v>11</v>
      </c>
      <c r="C167">
        <v>2022</v>
      </c>
      <c r="D167" t="s">
        <v>34</v>
      </c>
      <c r="E167" t="s">
        <v>180</v>
      </c>
      <c r="F167" s="19"/>
      <c r="G167" t="s">
        <v>181</v>
      </c>
      <c r="H167">
        <v>6</v>
      </c>
      <c r="I167" t="s">
        <v>273</v>
      </c>
    </row>
    <row r="168" spans="2:9">
      <c r="B168" s="12" t="s">
        <v>11</v>
      </c>
      <c r="C168">
        <v>2022</v>
      </c>
      <c r="D168" t="s">
        <v>34</v>
      </c>
      <c r="E168" t="s">
        <v>180</v>
      </c>
      <c r="F168" s="11"/>
      <c r="G168" t="s">
        <v>181</v>
      </c>
      <c r="H168">
        <v>2</v>
      </c>
      <c r="I168" t="s">
        <v>233</v>
      </c>
    </row>
    <row r="169" spans="2:9">
      <c r="B169" s="12" t="s">
        <v>11</v>
      </c>
      <c r="C169">
        <v>2022</v>
      </c>
      <c r="D169" t="s">
        <v>34</v>
      </c>
      <c r="E169" t="s">
        <v>184</v>
      </c>
      <c r="F169" s="19"/>
      <c r="G169" t="s">
        <v>181</v>
      </c>
      <c r="H169">
        <v>2</v>
      </c>
      <c r="I169" t="s">
        <v>185</v>
      </c>
    </row>
    <row r="170" spans="2:9">
      <c r="B170" s="12" t="s">
        <v>11</v>
      </c>
      <c r="C170">
        <v>2022</v>
      </c>
      <c r="D170" t="s">
        <v>34</v>
      </c>
      <c r="E170" t="s">
        <v>180</v>
      </c>
      <c r="F170" s="11"/>
      <c r="G170" t="s">
        <v>181</v>
      </c>
      <c r="H170">
        <v>1</v>
      </c>
      <c r="I170" t="s">
        <v>235</v>
      </c>
    </row>
    <row r="171" spans="2:9">
      <c r="B171" s="12" t="s">
        <v>11</v>
      </c>
      <c r="C171">
        <v>2022</v>
      </c>
      <c r="D171" t="s">
        <v>34</v>
      </c>
      <c r="E171" t="s">
        <v>180</v>
      </c>
      <c r="F171" s="19"/>
      <c r="G171" t="s">
        <v>181</v>
      </c>
      <c r="H171">
        <v>1</v>
      </c>
      <c r="I171" t="s">
        <v>236</v>
      </c>
    </row>
    <row r="172" spans="2:9">
      <c r="B172" s="12" t="s">
        <v>11</v>
      </c>
      <c r="C172">
        <v>2022</v>
      </c>
      <c r="D172" t="s">
        <v>34</v>
      </c>
      <c r="E172" t="s">
        <v>188</v>
      </c>
      <c r="F172" s="11"/>
      <c r="G172" t="s">
        <v>181</v>
      </c>
      <c r="H172">
        <v>4</v>
      </c>
      <c r="I172" t="s">
        <v>237</v>
      </c>
    </row>
    <row r="173" spans="2:9">
      <c r="B173" s="12" t="s">
        <v>11</v>
      </c>
      <c r="C173">
        <v>2022</v>
      </c>
      <c r="D173" t="s">
        <v>34</v>
      </c>
      <c r="E173" t="s">
        <v>180</v>
      </c>
      <c r="F173" s="19"/>
      <c r="G173" t="s">
        <v>181</v>
      </c>
      <c r="H173">
        <v>1</v>
      </c>
      <c r="I173" t="s">
        <v>283</v>
      </c>
    </row>
    <row r="174" spans="2:9">
      <c r="B174" s="12" t="s">
        <v>11</v>
      </c>
      <c r="C174">
        <v>2022</v>
      </c>
      <c r="D174" t="s">
        <v>34</v>
      </c>
      <c r="E174" t="s">
        <v>180</v>
      </c>
      <c r="F174" s="11"/>
      <c r="G174" t="s">
        <v>181</v>
      </c>
      <c r="H174">
        <v>2</v>
      </c>
      <c r="I174" t="s">
        <v>284</v>
      </c>
    </row>
    <row r="175" spans="2:9">
      <c r="B175" s="12" t="s">
        <v>11</v>
      </c>
      <c r="C175">
        <v>2022</v>
      </c>
      <c r="D175" t="s">
        <v>34</v>
      </c>
      <c r="E175" t="s">
        <v>191</v>
      </c>
      <c r="F175" s="20"/>
      <c r="G175" t="s">
        <v>181</v>
      </c>
      <c r="H175">
        <v>2</v>
      </c>
      <c r="I175" t="s">
        <v>240</v>
      </c>
    </row>
    <row r="176" spans="2:9">
      <c r="B176" s="12" t="s">
        <v>11</v>
      </c>
      <c r="C176">
        <v>2022</v>
      </c>
      <c r="D176" t="s">
        <v>34</v>
      </c>
      <c r="E176" t="s">
        <v>200</v>
      </c>
      <c r="F176" s="35"/>
      <c r="G176" t="s">
        <v>181</v>
      </c>
      <c r="H176">
        <v>1</v>
      </c>
      <c r="I176" t="s">
        <v>201</v>
      </c>
    </row>
    <row r="177" spans="2:9">
      <c r="B177" s="12" t="s">
        <v>11</v>
      </c>
      <c r="C177">
        <v>2022</v>
      </c>
      <c r="D177" t="s">
        <v>34</v>
      </c>
      <c r="E177" t="s">
        <v>197</v>
      </c>
      <c r="F177" s="9"/>
      <c r="G177" t="s">
        <v>181</v>
      </c>
      <c r="H177">
        <v>0.25</v>
      </c>
      <c r="I177" t="s">
        <v>202</v>
      </c>
    </row>
    <row r="178" spans="2:9">
      <c r="B178" s="12" t="s">
        <v>11</v>
      </c>
      <c r="C178">
        <v>2022</v>
      </c>
      <c r="D178" t="s">
        <v>34</v>
      </c>
      <c r="E178" t="s">
        <v>199</v>
      </c>
      <c r="F178" s="9"/>
      <c r="G178" t="s">
        <v>181</v>
      </c>
      <c r="H178">
        <v>0.25</v>
      </c>
      <c r="I178" t="s">
        <v>202</v>
      </c>
    </row>
    <row r="179" spans="2:9">
      <c r="B179" s="12" t="s">
        <v>11</v>
      </c>
      <c r="C179">
        <v>2022</v>
      </c>
      <c r="D179" t="s">
        <v>34</v>
      </c>
      <c r="E179" t="s">
        <v>203</v>
      </c>
      <c r="F179" s="9"/>
      <c r="G179" t="s">
        <v>181</v>
      </c>
      <c r="H179">
        <v>1</v>
      </c>
      <c r="I179" t="s">
        <v>241</v>
      </c>
    </row>
    <row r="180" spans="2:9">
      <c r="B180" s="12" t="s">
        <v>11</v>
      </c>
      <c r="C180">
        <v>2022</v>
      </c>
      <c r="D180" t="s">
        <v>34</v>
      </c>
      <c r="E180" t="s">
        <v>199</v>
      </c>
      <c r="F180" s="9"/>
      <c r="G180" t="s">
        <v>181</v>
      </c>
      <c r="H180">
        <v>0.75</v>
      </c>
      <c r="I180" t="s">
        <v>198</v>
      </c>
    </row>
    <row r="181" spans="2:9">
      <c r="B181" s="12" t="s">
        <v>11</v>
      </c>
      <c r="C181">
        <v>2022</v>
      </c>
      <c r="D181" t="s">
        <v>34</v>
      </c>
      <c r="E181" t="s">
        <v>197</v>
      </c>
      <c r="F181" s="9"/>
      <c r="G181" t="s">
        <v>181</v>
      </c>
      <c r="H181">
        <v>0.75</v>
      </c>
      <c r="I181" t="s">
        <v>198</v>
      </c>
    </row>
    <row r="182" spans="2:9">
      <c r="B182" s="12" t="s">
        <v>11</v>
      </c>
      <c r="C182">
        <v>2022</v>
      </c>
      <c r="D182" t="s">
        <v>34</v>
      </c>
      <c r="E182" t="s">
        <v>180</v>
      </c>
      <c r="F182" s="9"/>
      <c r="G182" t="s">
        <v>181</v>
      </c>
      <c r="H182">
        <v>1</v>
      </c>
      <c r="I182" t="s">
        <v>242</v>
      </c>
    </row>
    <row r="183" spans="2:9">
      <c r="B183" s="12" t="s">
        <v>11</v>
      </c>
      <c r="C183">
        <v>2022</v>
      </c>
      <c r="D183" t="s">
        <v>34</v>
      </c>
      <c r="E183" t="s">
        <v>180</v>
      </c>
      <c r="F183" s="9"/>
      <c r="G183" t="s">
        <v>181</v>
      </c>
      <c r="H183">
        <v>1</v>
      </c>
      <c r="I183" t="s">
        <v>243</v>
      </c>
    </row>
    <row r="184" spans="2:9">
      <c r="B184" s="12" t="s">
        <v>11</v>
      </c>
      <c r="C184">
        <v>2022</v>
      </c>
      <c r="D184" t="s">
        <v>34</v>
      </c>
      <c r="E184" t="s">
        <v>199</v>
      </c>
      <c r="F184" s="9"/>
      <c r="G184" t="s">
        <v>181</v>
      </c>
      <c r="H184">
        <v>1</v>
      </c>
      <c r="I184" t="s">
        <v>274</v>
      </c>
    </row>
    <row r="185" spans="2:9">
      <c r="B185" s="12" t="s">
        <v>11</v>
      </c>
      <c r="C185">
        <v>2022</v>
      </c>
      <c r="D185" t="s">
        <v>34</v>
      </c>
      <c r="E185" t="s">
        <v>180</v>
      </c>
      <c r="F185" s="9"/>
      <c r="G185" t="s">
        <v>181</v>
      </c>
      <c r="H185">
        <v>4</v>
      </c>
      <c r="I185" t="s">
        <v>285</v>
      </c>
    </row>
    <row r="186" spans="2:9">
      <c r="B186" s="12" t="s">
        <v>11</v>
      </c>
      <c r="C186">
        <v>2022</v>
      </c>
      <c r="D186" t="s">
        <v>34</v>
      </c>
      <c r="E186" t="s">
        <v>180</v>
      </c>
      <c r="F186" s="9"/>
      <c r="G186" t="s">
        <v>181</v>
      </c>
      <c r="H186">
        <v>1</v>
      </c>
      <c r="I186" t="s">
        <v>291</v>
      </c>
    </row>
    <row r="187" spans="2:9">
      <c r="B187" s="12" t="s">
        <v>11</v>
      </c>
      <c r="C187">
        <v>2022</v>
      </c>
      <c r="D187" t="s">
        <v>34</v>
      </c>
      <c r="E187" t="s">
        <v>180</v>
      </c>
      <c r="F187" s="35"/>
      <c r="G187" t="s">
        <v>181</v>
      </c>
      <c r="H187">
        <v>1</v>
      </c>
      <c r="I187" t="s">
        <v>292</v>
      </c>
    </row>
    <row r="188" spans="2:9">
      <c r="B188" s="12" t="s">
        <v>11</v>
      </c>
      <c r="C188">
        <v>2022</v>
      </c>
      <c r="D188" t="s">
        <v>34</v>
      </c>
      <c r="E188" t="s">
        <v>180</v>
      </c>
      <c r="F188" s="35"/>
      <c r="G188" t="s">
        <v>181</v>
      </c>
      <c r="H188">
        <v>1.6</v>
      </c>
      <c r="I188" t="s">
        <v>293</v>
      </c>
    </row>
    <row r="189" spans="2:9">
      <c r="B189" s="12" t="s">
        <v>11</v>
      </c>
      <c r="C189">
        <v>2022</v>
      </c>
      <c r="D189" t="s">
        <v>34</v>
      </c>
      <c r="E189" t="s">
        <v>180</v>
      </c>
      <c r="F189" s="9"/>
      <c r="G189" t="s">
        <v>181</v>
      </c>
      <c r="H189">
        <v>2</v>
      </c>
      <c r="I189" t="s">
        <v>294</v>
      </c>
    </row>
    <row r="190" spans="2:9">
      <c r="B190" s="12" t="s">
        <v>11</v>
      </c>
      <c r="C190">
        <v>2022</v>
      </c>
      <c r="D190" t="s">
        <v>34</v>
      </c>
      <c r="E190" t="s">
        <v>180</v>
      </c>
      <c r="F190" s="9"/>
      <c r="G190" t="s">
        <v>181</v>
      </c>
      <c r="H190">
        <v>1</v>
      </c>
      <c r="I190" t="s">
        <v>295</v>
      </c>
    </row>
    <row r="191" spans="2:9">
      <c r="B191" s="12" t="s">
        <v>11</v>
      </c>
      <c r="C191">
        <v>2022</v>
      </c>
      <c r="D191" t="s">
        <v>34</v>
      </c>
      <c r="E191" t="s">
        <v>180</v>
      </c>
      <c r="F191" s="35"/>
      <c r="G191" t="s">
        <v>181</v>
      </c>
      <c r="H191">
        <v>1</v>
      </c>
      <c r="I191" t="s">
        <v>296</v>
      </c>
    </row>
    <row r="192" spans="2:9">
      <c r="B192" s="12" t="s">
        <v>11</v>
      </c>
      <c r="C192">
        <v>2022</v>
      </c>
      <c r="D192" t="s">
        <v>34</v>
      </c>
      <c r="E192" t="s">
        <v>191</v>
      </c>
      <c r="F192" s="9"/>
      <c r="G192" t="s">
        <v>181</v>
      </c>
      <c r="H192">
        <v>1</v>
      </c>
      <c r="I192" t="s">
        <v>297</v>
      </c>
    </row>
    <row r="193" spans="2:9">
      <c r="B193" s="12" t="s">
        <v>11</v>
      </c>
      <c r="C193">
        <v>2022</v>
      </c>
      <c r="D193" t="s">
        <v>34</v>
      </c>
      <c r="E193" t="s">
        <v>188</v>
      </c>
      <c r="F193" s="35"/>
      <c r="G193" t="s">
        <v>181</v>
      </c>
      <c r="H193">
        <v>1</v>
      </c>
      <c r="I193" t="s">
        <v>298</v>
      </c>
    </row>
    <row r="194" spans="2:9">
      <c r="B194" s="12" t="s">
        <v>11</v>
      </c>
      <c r="C194">
        <v>2022</v>
      </c>
      <c r="D194" t="s">
        <v>34</v>
      </c>
      <c r="E194" t="s">
        <v>193</v>
      </c>
      <c r="F194" s="9"/>
      <c r="G194" t="s">
        <v>181</v>
      </c>
      <c r="H194">
        <v>7.5</v>
      </c>
      <c r="I194" t="s">
        <v>299</v>
      </c>
    </row>
    <row r="195" spans="2:9">
      <c r="B195" s="12" t="s">
        <v>11</v>
      </c>
      <c r="C195">
        <v>2022</v>
      </c>
      <c r="D195" t="s">
        <v>34</v>
      </c>
      <c r="E195" t="s">
        <v>193</v>
      </c>
      <c r="F195" s="9"/>
      <c r="G195" t="s">
        <v>181</v>
      </c>
      <c r="H195">
        <v>7</v>
      </c>
      <c r="I195" t="s">
        <v>300</v>
      </c>
    </row>
    <row r="196" spans="2:9">
      <c r="B196" s="12" t="s">
        <v>11</v>
      </c>
      <c r="C196">
        <v>2022</v>
      </c>
      <c r="D196" t="s">
        <v>34</v>
      </c>
      <c r="E196" t="s">
        <v>197</v>
      </c>
      <c r="F196" s="35"/>
      <c r="G196" t="s">
        <v>208</v>
      </c>
      <c r="H196">
        <v>1.6</v>
      </c>
      <c r="I196" t="s">
        <v>301</v>
      </c>
    </row>
    <row r="197" spans="2:9">
      <c r="B197" s="12" t="s">
        <v>11</v>
      </c>
      <c r="C197">
        <v>2022</v>
      </c>
      <c r="D197" t="s">
        <v>34</v>
      </c>
      <c r="E197" t="s">
        <v>191</v>
      </c>
      <c r="F197" s="35"/>
      <c r="G197" t="s">
        <v>208</v>
      </c>
      <c r="H197">
        <v>0.9</v>
      </c>
      <c r="I197" t="s">
        <v>302</v>
      </c>
    </row>
    <row r="198" spans="2:9">
      <c r="B198" s="12" t="s">
        <v>11</v>
      </c>
      <c r="C198">
        <v>2022</v>
      </c>
      <c r="D198" t="s">
        <v>34</v>
      </c>
      <c r="E198" t="s">
        <v>188</v>
      </c>
      <c r="F198" s="35"/>
      <c r="G198" t="s">
        <v>208</v>
      </c>
      <c r="H198">
        <v>2.35</v>
      </c>
      <c r="I198" t="s">
        <v>303</v>
      </c>
    </row>
    <row r="199" spans="2:9">
      <c r="B199" s="12" t="s">
        <v>11</v>
      </c>
      <c r="C199">
        <v>2022</v>
      </c>
      <c r="D199" t="s">
        <v>34</v>
      </c>
      <c r="E199" t="s">
        <v>188</v>
      </c>
      <c r="F199" s="9"/>
      <c r="G199" t="s">
        <v>208</v>
      </c>
      <c r="H199">
        <v>3.5</v>
      </c>
      <c r="I199" t="s">
        <v>303</v>
      </c>
    </row>
    <row r="200" spans="2:9">
      <c r="B200" s="12" t="s">
        <v>11</v>
      </c>
      <c r="C200">
        <v>2022</v>
      </c>
      <c r="D200" t="s">
        <v>34</v>
      </c>
      <c r="E200" t="s">
        <v>180</v>
      </c>
      <c r="F200" s="9"/>
      <c r="G200" t="s">
        <v>208</v>
      </c>
      <c r="H200">
        <v>0.4</v>
      </c>
      <c r="I200" t="s">
        <v>304</v>
      </c>
    </row>
    <row r="201" spans="2:9">
      <c r="B201" s="12" t="s">
        <v>11</v>
      </c>
      <c r="C201">
        <v>2022</v>
      </c>
      <c r="D201" t="s">
        <v>34</v>
      </c>
      <c r="E201" t="s">
        <v>200</v>
      </c>
      <c r="F201" s="9"/>
      <c r="G201" t="s">
        <v>208</v>
      </c>
      <c r="H201">
        <v>2.25</v>
      </c>
      <c r="I201" t="s">
        <v>305</v>
      </c>
    </row>
    <row r="202" spans="2:9">
      <c r="B202" s="12" t="s">
        <v>11</v>
      </c>
      <c r="C202">
        <v>2022</v>
      </c>
      <c r="D202" t="s">
        <v>38</v>
      </c>
      <c r="E202" t="s">
        <v>180</v>
      </c>
      <c r="F202" s="35"/>
      <c r="G202" t="s">
        <v>181</v>
      </c>
      <c r="H202">
        <v>6</v>
      </c>
      <c r="I202" t="s">
        <v>273</v>
      </c>
    </row>
    <row r="203" spans="2:9">
      <c r="B203" s="12" t="s">
        <v>11</v>
      </c>
      <c r="C203">
        <v>2022</v>
      </c>
      <c r="D203" t="s">
        <v>38</v>
      </c>
      <c r="E203" t="s">
        <v>180</v>
      </c>
      <c r="F203" s="35"/>
      <c r="G203" t="s">
        <v>181</v>
      </c>
      <c r="H203">
        <v>2</v>
      </c>
      <c r="I203" t="s">
        <v>233</v>
      </c>
    </row>
    <row r="204" spans="2:9">
      <c r="B204" s="12" t="s">
        <v>11</v>
      </c>
      <c r="C204">
        <v>2022</v>
      </c>
      <c r="D204" t="s">
        <v>38</v>
      </c>
      <c r="E204" t="s">
        <v>184</v>
      </c>
      <c r="F204" s="9"/>
      <c r="G204" t="s">
        <v>181</v>
      </c>
      <c r="H204">
        <v>2</v>
      </c>
      <c r="I204" t="s">
        <v>185</v>
      </c>
    </row>
    <row r="205" spans="2:9">
      <c r="B205" s="12" t="s">
        <v>11</v>
      </c>
      <c r="C205">
        <v>2022</v>
      </c>
      <c r="D205" t="s">
        <v>38</v>
      </c>
      <c r="E205" t="s">
        <v>180</v>
      </c>
      <c r="F205" s="9"/>
      <c r="G205" t="s">
        <v>181</v>
      </c>
      <c r="H205">
        <v>1</v>
      </c>
      <c r="I205" t="s">
        <v>235</v>
      </c>
    </row>
    <row r="206" spans="2:9">
      <c r="B206" s="12" t="s">
        <v>11</v>
      </c>
      <c r="C206">
        <v>2022</v>
      </c>
      <c r="D206" t="s">
        <v>38</v>
      </c>
      <c r="E206" t="s">
        <v>180</v>
      </c>
      <c r="F206" s="9"/>
      <c r="G206" t="s">
        <v>181</v>
      </c>
      <c r="H206">
        <v>1</v>
      </c>
      <c r="I206" t="s">
        <v>236</v>
      </c>
    </row>
    <row r="207" spans="2:9">
      <c r="B207" s="12" t="s">
        <v>11</v>
      </c>
      <c r="C207">
        <v>2022</v>
      </c>
      <c r="D207" t="s">
        <v>38</v>
      </c>
      <c r="E207" t="s">
        <v>188</v>
      </c>
      <c r="F207" s="9"/>
      <c r="G207" t="s">
        <v>181</v>
      </c>
      <c r="H207">
        <v>4</v>
      </c>
      <c r="I207" t="s">
        <v>237</v>
      </c>
    </row>
    <row r="208" spans="2:9">
      <c r="B208" s="12" t="s">
        <v>11</v>
      </c>
      <c r="C208">
        <v>2022</v>
      </c>
      <c r="D208" t="s">
        <v>38</v>
      </c>
      <c r="E208" t="s">
        <v>180</v>
      </c>
      <c r="F208" s="9"/>
      <c r="G208" t="s">
        <v>181</v>
      </c>
      <c r="H208">
        <v>1</v>
      </c>
      <c r="I208" t="s">
        <v>283</v>
      </c>
    </row>
    <row r="209" spans="2:9">
      <c r="B209" s="12" t="s">
        <v>11</v>
      </c>
      <c r="C209">
        <v>2022</v>
      </c>
      <c r="D209" t="s">
        <v>38</v>
      </c>
      <c r="E209" t="s">
        <v>180</v>
      </c>
      <c r="F209" s="35"/>
      <c r="G209" t="s">
        <v>181</v>
      </c>
      <c r="H209">
        <v>2</v>
      </c>
      <c r="I209" t="s">
        <v>284</v>
      </c>
    </row>
    <row r="210" spans="2:9">
      <c r="B210" s="12" t="s">
        <v>11</v>
      </c>
      <c r="C210">
        <v>2022</v>
      </c>
      <c r="D210" t="s">
        <v>38</v>
      </c>
      <c r="E210" t="s">
        <v>191</v>
      </c>
      <c r="F210" s="9"/>
      <c r="G210" t="s">
        <v>181</v>
      </c>
      <c r="H210">
        <v>2</v>
      </c>
      <c r="I210" t="s">
        <v>240</v>
      </c>
    </row>
    <row r="211" spans="2:9">
      <c r="B211" s="12" t="s">
        <v>11</v>
      </c>
      <c r="C211">
        <v>2022</v>
      </c>
      <c r="D211" t="s">
        <v>38</v>
      </c>
      <c r="E211" t="s">
        <v>200</v>
      </c>
      <c r="F211" s="35"/>
      <c r="G211" t="s">
        <v>181</v>
      </c>
      <c r="H211">
        <v>1</v>
      </c>
      <c r="I211" t="s">
        <v>201</v>
      </c>
    </row>
    <row r="212" spans="2:9">
      <c r="B212" s="12" t="s">
        <v>11</v>
      </c>
      <c r="C212">
        <v>2022</v>
      </c>
      <c r="D212" t="s">
        <v>38</v>
      </c>
      <c r="E212" t="s">
        <v>199</v>
      </c>
      <c r="F212" s="9"/>
      <c r="G212" t="s">
        <v>181</v>
      </c>
      <c r="H212">
        <v>0.25</v>
      </c>
      <c r="I212" t="s">
        <v>202</v>
      </c>
    </row>
    <row r="213" spans="2:9">
      <c r="B213" s="12" t="s">
        <v>11</v>
      </c>
      <c r="C213">
        <v>2022</v>
      </c>
      <c r="D213" t="s">
        <v>38</v>
      </c>
      <c r="E213" t="s">
        <v>197</v>
      </c>
      <c r="F213" s="9"/>
      <c r="G213" t="s">
        <v>181</v>
      </c>
      <c r="H213">
        <v>0.25</v>
      </c>
      <c r="I213" t="s">
        <v>202</v>
      </c>
    </row>
    <row r="214" spans="2:9">
      <c r="B214" s="12" t="s">
        <v>11</v>
      </c>
      <c r="C214">
        <v>2022</v>
      </c>
      <c r="D214" t="s">
        <v>38</v>
      </c>
      <c r="E214" t="s">
        <v>203</v>
      </c>
      <c r="F214" s="9"/>
      <c r="G214" t="s">
        <v>181</v>
      </c>
      <c r="H214">
        <v>1</v>
      </c>
      <c r="I214" t="s">
        <v>241</v>
      </c>
    </row>
    <row r="215" spans="2:9">
      <c r="B215" s="12" t="s">
        <v>11</v>
      </c>
      <c r="C215">
        <v>2022</v>
      </c>
      <c r="D215" t="s">
        <v>38</v>
      </c>
      <c r="E215" t="s">
        <v>199</v>
      </c>
      <c r="F215" s="35"/>
      <c r="G215" t="s">
        <v>181</v>
      </c>
      <c r="H215">
        <v>0.75</v>
      </c>
      <c r="I215" t="s">
        <v>198</v>
      </c>
    </row>
    <row r="216" spans="2:9">
      <c r="B216" s="12" t="s">
        <v>11</v>
      </c>
      <c r="C216">
        <v>2022</v>
      </c>
      <c r="D216" t="s">
        <v>38</v>
      </c>
      <c r="E216" t="s">
        <v>197</v>
      </c>
      <c r="F216" s="9"/>
      <c r="G216" t="s">
        <v>181</v>
      </c>
      <c r="H216">
        <v>0.75</v>
      </c>
      <c r="I216" t="s">
        <v>198</v>
      </c>
    </row>
    <row r="217" spans="2:9">
      <c r="B217" s="12" t="s">
        <v>11</v>
      </c>
      <c r="C217">
        <v>2022</v>
      </c>
      <c r="D217" t="s">
        <v>38</v>
      </c>
      <c r="E217" t="s">
        <v>180</v>
      </c>
      <c r="F217" s="35"/>
      <c r="G217" t="s">
        <v>181</v>
      </c>
      <c r="H217">
        <v>1</v>
      </c>
      <c r="I217" t="s">
        <v>242</v>
      </c>
    </row>
    <row r="218" spans="2:9">
      <c r="B218" s="12" t="s">
        <v>11</v>
      </c>
      <c r="C218">
        <v>2022</v>
      </c>
      <c r="D218" t="s">
        <v>38</v>
      </c>
      <c r="E218" t="s">
        <v>180</v>
      </c>
      <c r="F218" s="9"/>
      <c r="G218" t="s">
        <v>181</v>
      </c>
      <c r="H218">
        <v>1</v>
      </c>
      <c r="I218" t="s">
        <v>243</v>
      </c>
    </row>
    <row r="219" spans="2:9">
      <c r="B219" s="12" t="s">
        <v>11</v>
      </c>
      <c r="C219">
        <v>2022</v>
      </c>
      <c r="D219" t="s">
        <v>38</v>
      </c>
      <c r="E219" t="s">
        <v>199</v>
      </c>
      <c r="F219" s="9"/>
      <c r="G219" t="s">
        <v>181</v>
      </c>
      <c r="H219">
        <v>1</v>
      </c>
      <c r="I219" t="s">
        <v>274</v>
      </c>
    </row>
    <row r="220" spans="2:9">
      <c r="B220" s="12" t="s">
        <v>11</v>
      </c>
      <c r="C220">
        <v>2022</v>
      </c>
      <c r="D220" t="s">
        <v>38</v>
      </c>
      <c r="E220" t="s">
        <v>180</v>
      </c>
      <c r="F220" s="9"/>
      <c r="G220" t="s">
        <v>181</v>
      </c>
      <c r="H220">
        <v>4</v>
      </c>
      <c r="I220" t="s">
        <v>285</v>
      </c>
    </row>
    <row r="221" spans="2:9">
      <c r="B221" s="12" t="s">
        <v>11</v>
      </c>
      <c r="C221">
        <v>2022</v>
      </c>
      <c r="D221" t="s">
        <v>38</v>
      </c>
      <c r="E221" t="s">
        <v>180</v>
      </c>
      <c r="F221" s="9"/>
      <c r="G221" t="s">
        <v>181</v>
      </c>
      <c r="H221">
        <v>1</v>
      </c>
      <c r="I221" t="s">
        <v>291</v>
      </c>
    </row>
    <row r="222" spans="2:9">
      <c r="B222" s="12" t="s">
        <v>11</v>
      </c>
      <c r="C222">
        <v>2022</v>
      </c>
      <c r="D222" t="s">
        <v>38</v>
      </c>
      <c r="E222" t="s">
        <v>180</v>
      </c>
      <c r="F222" s="35"/>
      <c r="G222" t="s">
        <v>181</v>
      </c>
      <c r="H222">
        <v>1</v>
      </c>
      <c r="I222" t="s">
        <v>292</v>
      </c>
    </row>
    <row r="223" spans="2:9">
      <c r="B223" s="12" t="s">
        <v>11</v>
      </c>
      <c r="C223">
        <v>2022</v>
      </c>
      <c r="D223" t="s">
        <v>38</v>
      </c>
      <c r="E223" t="s">
        <v>180</v>
      </c>
      <c r="F223" s="9"/>
      <c r="G223" t="s">
        <v>181</v>
      </c>
      <c r="H223">
        <v>1.6</v>
      </c>
      <c r="I223" t="s">
        <v>293</v>
      </c>
    </row>
    <row r="224" spans="2:9">
      <c r="B224" s="12" t="s">
        <v>11</v>
      </c>
      <c r="C224">
        <v>2022</v>
      </c>
      <c r="D224" t="s">
        <v>38</v>
      </c>
      <c r="E224" t="s">
        <v>180</v>
      </c>
      <c r="F224" s="35"/>
      <c r="G224" t="s">
        <v>181</v>
      </c>
      <c r="H224">
        <v>2</v>
      </c>
      <c r="I224" t="s">
        <v>294</v>
      </c>
    </row>
    <row r="225" spans="2:9">
      <c r="B225" s="12" t="s">
        <v>11</v>
      </c>
      <c r="C225">
        <v>2022</v>
      </c>
      <c r="D225" t="s">
        <v>38</v>
      </c>
      <c r="E225" t="s">
        <v>180</v>
      </c>
      <c r="F225" s="9"/>
      <c r="G225" t="s">
        <v>181</v>
      </c>
      <c r="H225">
        <v>1</v>
      </c>
      <c r="I225" t="s">
        <v>295</v>
      </c>
    </row>
    <row r="226" spans="2:9">
      <c r="B226" s="12" t="s">
        <v>11</v>
      </c>
      <c r="C226">
        <v>2022</v>
      </c>
      <c r="D226" t="s">
        <v>38</v>
      </c>
      <c r="E226" t="s">
        <v>180</v>
      </c>
      <c r="F226" s="9"/>
      <c r="G226" t="s">
        <v>181</v>
      </c>
      <c r="H226">
        <v>1</v>
      </c>
      <c r="I226" t="s">
        <v>296</v>
      </c>
    </row>
    <row r="227" spans="2:9">
      <c r="B227" s="12" t="s">
        <v>11</v>
      </c>
      <c r="C227">
        <v>2022</v>
      </c>
      <c r="D227" t="s">
        <v>38</v>
      </c>
      <c r="E227" t="s">
        <v>188</v>
      </c>
      <c r="F227" s="9"/>
      <c r="G227" t="s">
        <v>181</v>
      </c>
      <c r="H227">
        <v>1</v>
      </c>
      <c r="I227" t="s">
        <v>298</v>
      </c>
    </row>
    <row r="228" spans="2:9">
      <c r="B228" s="12" t="s">
        <v>11</v>
      </c>
      <c r="C228">
        <v>2022</v>
      </c>
      <c r="D228" t="s">
        <v>38</v>
      </c>
      <c r="E228" t="s">
        <v>180</v>
      </c>
      <c r="F228" s="9"/>
      <c r="G228" t="s">
        <v>181</v>
      </c>
      <c r="H228">
        <v>4</v>
      </c>
      <c r="I228" t="s">
        <v>306</v>
      </c>
    </row>
    <row r="229" spans="2:9">
      <c r="B229" s="12" t="s">
        <v>11</v>
      </c>
      <c r="C229">
        <v>2022</v>
      </c>
      <c r="D229" t="s">
        <v>38</v>
      </c>
      <c r="E229" t="s">
        <v>180</v>
      </c>
      <c r="F229" s="9"/>
      <c r="G229" t="s">
        <v>181</v>
      </c>
      <c r="H229">
        <v>6</v>
      </c>
      <c r="I229" t="s">
        <v>307</v>
      </c>
    </row>
    <row r="230" spans="2:9">
      <c r="B230" s="12" t="s">
        <v>11</v>
      </c>
      <c r="C230">
        <v>2022</v>
      </c>
      <c r="D230" t="s">
        <v>38</v>
      </c>
      <c r="E230" t="s">
        <v>191</v>
      </c>
      <c r="F230" s="9"/>
      <c r="G230" t="s">
        <v>181</v>
      </c>
      <c r="H230">
        <v>4</v>
      </c>
      <c r="I230" t="s">
        <v>308</v>
      </c>
    </row>
    <row r="231" spans="2:9">
      <c r="B231" s="12" t="s">
        <v>11</v>
      </c>
      <c r="C231">
        <v>2022</v>
      </c>
      <c r="D231" t="s">
        <v>38</v>
      </c>
      <c r="E231" t="s">
        <v>203</v>
      </c>
      <c r="F231" s="9"/>
      <c r="G231" t="s">
        <v>181</v>
      </c>
      <c r="H231">
        <v>2</v>
      </c>
      <c r="I231" t="s">
        <v>309</v>
      </c>
    </row>
    <row r="232" spans="2:9">
      <c r="B232" s="12" t="s">
        <v>11</v>
      </c>
      <c r="C232">
        <v>2022</v>
      </c>
      <c r="D232" t="s">
        <v>38</v>
      </c>
      <c r="E232" t="s">
        <v>188</v>
      </c>
      <c r="F232" s="9"/>
      <c r="G232" t="s">
        <v>208</v>
      </c>
      <c r="H232">
        <v>7.4</v>
      </c>
      <c r="I232" t="s">
        <v>310</v>
      </c>
    </row>
    <row r="233" spans="2:9">
      <c r="B233" s="12" t="s">
        <v>11</v>
      </c>
      <c r="C233">
        <v>2022</v>
      </c>
      <c r="D233" t="s">
        <v>38</v>
      </c>
      <c r="E233" t="s">
        <v>188</v>
      </c>
      <c r="F233" s="35"/>
      <c r="G233" t="s">
        <v>208</v>
      </c>
      <c r="H233">
        <v>6.1</v>
      </c>
      <c r="I233" t="s">
        <v>311</v>
      </c>
    </row>
    <row r="234" spans="2:9">
      <c r="B234" s="12" t="s">
        <v>11</v>
      </c>
      <c r="C234">
        <v>2022</v>
      </c>
      <c r="D234" t="s">
        <v>38</v>
      </c>
      <c r="E234" t="s">
        <v>191</v>
      </c>
      <c r="F234" s="9"/>
      <c r="G234" t="s">
        <v>208</v>
      </c>
      <c r="H234">
        <v>2</v>
      </c>
      <c r="I234" t="s">
        <v>312</v>
      </c>
    </row>
    <row r="235" spans="2:9">
      <c r="B235" s="12" t="s">
        <v>11</v>
      </c>
      <c r="C235">
        <v>2022</v>
      </c>
      <c r="D235" t="s">
        <v>38</v>
      </c>
      <c r="E235" t="s">
        <v>203</v>
      </c>
      <c r="F235" s="9"/>
      <c r="G235" t="s">
        <v>208</v>
      </c>
      <c r="H235">
        <v>2.2999999999999998</v>
      </c>
      <c r="I235" t="s">
        <v>313</v>
      </c>
    </row>
    <row r="236" spans="2:9">
      <c r="B236" s="12" t="s">
        <v>11</v>
      </c>
      <c r="C236">
        <v>2022</v>
      </c>
      <c r="D236" t="s">
        <v>38</v>
      </c>
      <c r="E236" t="s">
        <v>197</v>
      </c>
      <c r="F236" s="9"/>
      <c r="G236" t="s">
        <v>208</v>
      </c>
      <c r="H236">
        <v>5</v>
      </c>
      <c r="I236" t="s">
        <v>314</v>
      </c>
    </row>
    <row r="237" spans="2:9">
      <c r="B237" s="12" t="s">
        <v>11</v>
      </c>
      <c r="C237">
        <v>2022</v>
      </c>
      <c r="D237" t="s">
        <v>38</v>
      </c>
      <c r="E237" t="s">
        <v>191</v>
      </c>
      <c r="F237" s="9"/>
      <c r="G237" t="s">
        <v>208</v>
      </c>
      <c r="H237">
        <v>3.75</v>
      </c>
      <c r="I237" t="s">
        <v>315</v>
      </c>
    </row>
    <row r="238" spans="2:9">
      <c r="B238" s="12" t="s">
        <v>11</v>
      </c>
      <c r="C238">
        <v>2022</v>
      </c>
      <c r="D238" t="s">
        <v>38</v>
      </c>
      <c r="E238" t="s">
        <v>180</v>
      </c>
      <c r="F238" s="9"/>
      <c r="G238" t="s">
        <v>208</v>
      </c>
      <c r="H238">
        <v>1</v>
      </c>
      <c r="I238" t="s">
        <v>316</v>
      </c>
    </row>
    <row r="239" spans="2:9">
      <c r="B239" s="12" t="s">
        <v>11</v>
      </c>
      <c r="C239">
        <v>2022</v>
      </c>
      <c r="D239" t="s">
        <v>43</v>
      </c>
      <c r="E239" t="s">
        <v>180</v>
      </c>
      <c r="F239" s="9"/>
      <c r="G239" t="s">
        <v>181</v>
      </c>
      <c r="H239">
        <v>6</v>
      </c>
      <c r="I239" t="s">
        <v>273</v>
      </c>
    </row>
    <row r="240" spans="2:9">
      <c r="B240" s="12" t="s">
        <v>11</v>
      </c>
      <c r="C240">
        <v>2022</v>
      </c>
      <c r="D240" t="s">
        <v>43</v>
      </c>
      <c r="E240" t="s">
        <v>180</v>
      </c>
      <c r="F240" s="9"/>
      <c r="G240" t="s">
        <v>181</v>
      </c>
      <c r="H240">
        <v>2</v>
      </c>
      <c r="I240" t="s">
        <v>233</v>
      </c>
    </row>
    <row r="241" spans="2:9">
      <c r="B241" s="12" t="s">
        <v>11</v>
      </c>
      <c r="C241">
        <v>2022</v>
      </c>
      <c r="D241" t="s">
        <v>43</v>
      </c>
      <c r="E241" t="s">
        <v>184</v>
      </c>
      <c r="F241" s="9"/>
      <c r="G241" t="s">
        <v>181</v>
      </c>
      <c r="H241">
        <v>2</v>
      </c>
      <c r="I241" t="s">
        <v>185</v>
      </c>
    </row>
    <row r="242" spans="2:9">
      <c r="B242" s="12" t="s">
        <v>11</v>
      </c>
      <c r="C242">
        <v>2022</v>
      </c>
      <c r="D242" t="s">
        <v>43</v>
      </c>
      <c r="E242" t="s">
        <v>180</v>
      </c>
      <c r="F242" s="35"/>
      <c r="G242" t="s">
        <v>181</v>
      </c>
      <c r="H242">
        <v>1</v>
      </c>
      <c r="I242" t="s">
        <v>235</v>
      </c>
    </row>
    <row r="243" spans="2:9">
      <c r="B243" s="12" t="s">
        <v>11</v>
      </c>
      <c r="C243">
        <v>2022</v>
      </c>
      <c r="D243" t="s">
        <v>43</v>
      </c>
      <c r="E243" t="s">
        <v>180</v>
      </c>
      <c r="F243" s="9"/>
      <c r="G243" t="s">
        <v>181</v>
      </c>
      <c r="H243">
        <v>1</v>
      </c>
      <c r="I243" t="s">
        <v>236</v>
      </c>
    </row>
    <row r="244" spans="2:9">
      <c r="B244" s="12" t="s">
        <v>11</v>
      </c>
      <c r="C244">
        <v>2022</v>
      </c>
      <c r="D244" t="s">
        <v>43</v>
      </c>
      <c r="E244" t="s">
        <v>188</v>
      </c>
      <c r="F244" s="9"/>
      <c r="G244" t="s">
        <v>181</v>
      </c>
      <c r="H244">
        <v>4</v>
      </c>
      <c r="I244" t="s">
        <v>237</v>
      </c>
    </row>
    <row r="245" spans="2:9">
      <c r="B245" s="12" t="s">
        <v>11</v>
      </c>
      <c r="C245">
        <v>2022</v>
      </c>
      <c r="D245" t="s">
        <v>43</v>
      </c>
      <c r="E245" t="s">
        <v>180</v>
      </c>
      <c r="F245" s="9"/>
      <c r="G245" t="s">
        <v>181</v>
      </c>
      <c r="H245">
        <v>1</v>
      </c>
      <c r="I245" t="s">
        <v>283</v>
      </c>
    </row>
    <row r="246" spans="2:9">
      <c r="B246" s="12" t="s">
        <v>11</v>
      </c>
      <c r="C246">
        <v>2022</v>
      </c>
      <c r="D246" t="s">
        <v>43</v>
      </c>
      <c r="E246" t="s">
        <v>180</v>
      </c>
      <c r="F246" s="9"/>
      <c r="G246" t="s">
        <v>181</v>
      </c>
      <c r="H246">
        <v>2</v>
      </c>
      <c r="I246" t="s">
        <v>284</v>
      </c>
    </row>
    <row r="247" spans="2:9">
      <c r="B247" s="12" t="s">
        <v>11</v>
      </c>
      <c r="C247">
        <v>2022</v>
      </c>
      <c r="D247" t="s">
        <v>43</v>
      </c>
      <c r="E247" t="s">
        <v>191</v>
      </c>
      <c r="F247" s="35"/>
      <c r="G247" t="s">
        <v>181</v>
      </c>
      <c r="H247">
        <v>2</v>
      </c>
      <c r="I247" t="s">
        <v>240</v>
      </c>
    </row>
    <row r="248" spans="2:9">
      <c r="B248" s="12" t="s">
        <v>11</v>
      </c>
      <c r="C248">
        <v>2022</v>
      </c>
      <c r="D248" t="s">
        <v>43</v>
      </c>
      <c r="E248" t="s">
        <v>200</v>
      </c>
      <c r="F248" s="9"/>
      <c r="G248" t="s">
        <v>181</v>
      </c>
      <c r="H248">
        <v>1</v>
      </c>
      <c r="I248" t="s">
        <v>201</v>
      </c>
    </row>
    <row r="249" spans="2:9">
      <c r="B249" s="12" t="s">
        <v>11</v>
      </c>
      <c r="C249">
        <v>2022</v>
      </c>
      <c r="D249" t="s">
        <v>43</v>
      </c>
      <c r="E249" t="s">
        <v>197</v>
      </c>
      <c r="F249" s="9"/>
      <c r="G249" t="s">
        <v>181</v>
      </c>
      <c r="H249">
        <v>0.25</v>
      </c>
      <c r="I249" t="s">
        <v>202</v>
      </c>
    </row>
    <row r="250" spans="2:9">
      <c r="B250" s="12" t="s">
        <v>11</v>
      </c>
      <c r="C250">
        <v>2022</v>
      </c>
      <c r="D250" t="s">
        <v>43</v>
      </c>
      <c r="E250" t="s">
        <v>317</v>
      </c>
      <c r="F250" s="9"/>
      <c r="G250" t="s">
        <v>181</v>
      </c>
      <c r="H250">
        <v>0.25</v>
      </c>
      <c r="I250" t="s">
        <v>202</v>
      </c>
    </row>
    <row r="251" spans="2:9">
      <c r="B251" s="12" t="s">
        <v>11</v>
      </c>
      <c r="C251">
        <v>2022</v>
      </c>
      <c r="D251" t="s">
        <v>43</v>
      </c>
      <c r="E251" t="s">
        <v>203</v>
      </c>
      <c r="F251" s="9"/>
      <c r="G251" t="s">
        <v>181</v>
      </c>
      <c r="H251">
        <v>1</v>
      </c>
      <c r="I251" t="s">
        <v>241</v>
      </c>
    </row>
    <row r="252" spans="2:9">
      <c r="B252" s="12" t="s">
        <v>11</v>
      </c>
      <c r="C252">
        <v>2022</v>
      </c>
      <c r="D252" t="s">
        <v>43</v>
      </c>
      <c r="E252" t="s">
        <v>197</v>
      </c>
      <c r="F252" s="35"/>
      <c r="G252" t="s">
        <v>181</v>
      </c>
      <c r="H252">
        <v>0.75</v>
      </c>
      <c r="I252" t="s">
        <v>198</v>
      </c>
    </row>
    <row r="253" spans="2:9">
      <c r="B253" s="12" t="s">
        <v>11</v>
      </c>
      <c r="C253">
        <v>2022</v>
      </c>
      <c r="D253" t="s">
        <v>43</v>
      </c>
      <c r="E253" t="s">
        <v>199</v>
      </c>
      <c r="F253" s="9"/>
      <c r="G253" t="s">
        <v>181</v>
      </c>
      <c r="H253">
        <v>0.75</v>
      </c>
      <c r="I253" t="s">
        <v>198</v>
      </c>
    </row>
    <row r="254" spans="2:9">
      <c r="B254" s="12" t="s">
        <v>11</v>
      </c>
      <c r="C254">
        <v>2022</v>
      </c>
      <c r="D254" t="s">
        <v>43</v>
      </c>
      <c r="E254" t="s">
        <v>259</v>
      </c>
      <c r="F254" s="9"/>
      <c r="G254" t="s">
        <v>181</v>
      </c>
      <c r="H254">
        <v>1</v>
      </c>
      <c r="I254" t="s">
        <v>242</v>
      </c>
    </row>
    <row r="255" spans="2:9">
      <c r="B255" s="12" t="s">
        <v>11</v>
      </c>
      <c r="C255">
        <v>2022</v>
      </c>
      <c r="D255" t="s">
        <v>43</v>
      </c>
      <c r="E255" t="s">
        <v>180</v>
      </c>
      <c r="F255" s="9"/>
      <c r="G255" t="s">
        <v>181</v>
      </c>
      <c r="H255">
        <v>1</v>
      </c>
      <c r="I255" t="s">
        <v>243</v>
      </c>
    </row>
    <row r="256" spans="2:9">
      <c r="B256" s="12" t="s">
        <v>11</v>
      </c>
      <c r="C256">
        <v>2022</v>
      </c>
      <c r="D256" t="s">
        <v>43</v>
      </c>
      <c r="E256" t="s">
        <v>259</v>
      </c>
      <c r="F256" s="9"/>
      <c r="G256" t="s">
        <v>181</v>
      </c>
      <c r="H256">
        <v>1</v>
      </c>
      <c r="I256" t="s">
        <v>274</v>
      </c>
    </row>
    <row r="257" spans="2:9">
      <c r="B257" s="12" t="s">
        <v>11</v>
      </c>
      <c r="C257">
        <v>2022</v>
      </c>
      <c r="D257" t="s">
        <v>43</v>
      </c>
      <c r="E257" t="s">
        <v>259</v>
      </c>
      <c r="F257" s="35"/>
      <c r="G257" t="s">
        <v>181</v>
      </c>
      <c r="H257">
        <v>4</v>
      </c>
      <c r="I257" t="s">
        <v>285</v>
      </c>
    </row>
    <row r="258" spans="2:9">
      <c r="B258" s="12" t="s">
        <v>11</v>
      </c>
      <c r="C258">
        <v>2022</v>
      </c>
      <c r="D258" t="s">
        <v>43</v>
      </c>
      <c r="E258" t="s">
        <v>259</v>
      </c>
      <c r="F258" s="35"/>
      <c r="G258" t="s">
        <v>181</v>
      </c>
      <c r="H258">
        <v>1</v>
      </c>
      <c r="I258" t="s">
        <v>291</v>
      </c>
    </row>
    <row r="259" spans="2:9">
      <c r="B259" s="12" t="s">
        <v>11</v>
      </c>
      <c r="C259">
        <v>2022</v>
      </c>
      <c r="D259" t="s">
        <v>43</v>
      </c>
      <c r="E259" t="s">
        <v>259</v>
      </c>
      <c r="F259" s="9"/>
      <c r="G259" t="s">
        <v>181</v>
      </c>
      <c r="H259">
        <v>1</v>
      </c>
      <c r="I259" t="s">
        <v>292</v>
      </c>
    </row>
    <row r="260" spans="2:9">
      <c r="B260" s="12" t="s">
        <v>11</v>
      </c>
      <c r="C260">
        <v>2022</v>
      </c>
      <c r="D260" t="s">
        <v>43</v>
      </c>
      <c r="E260" t="s">
        <v>259</v>
      </c>
      <c r="F260" s="35"/>
      <c r="G260" t="s">
        <v>181</v>
      </c>
      <c r="H260">
        <v>1.6</v>
      </c>
      <c r="I260" t="s">
        <v>293</v>
      </c>
    </row>
    <row r="261" spans="2:9">
      <c r="B261" s="12" t="s">
        <v>11</v>
      </c>
      <c r="C261">
        <v>2022</v>
      </c>
      <c r="D261" t="s">
        <v>43</v>
      </c>
      <c r="E261" t="s">
        <v>259</v>
      </c>
      <c r="F261" s="9"/>
      <c r="G261" t="s">
        <v>181</v>
      </c>
      <c r="H261">
        <v>2</v>
      </c>
      <c r="I261" t="s">
        <v>294</v>
      </c>
    </row>
    <row r="262" spans="2:9">
      <c r="B262" s="12" t="s">
        <v>11</v>
      </c>
      <c r="C262">
        <v>2022</v>
      </c>
      <c r="D262" t="s">
        <v>43</v>
      </c>
      <c r="E262" t="s">
        <v>259</v>
      </c>
      <c r="F262" s="9"/>
      <c r="G262" t="s">
        <v>181</v>
      </c>
      <c r="H262">
        <v>1</v>
      </c>
      <c r="I262" t="s">
        <v>295</v>
      </c>
    </row>
    <row r="263" spans="2:9">
      <c r="B263" s="12" t="s">
        <v>11</v>
      </c>
      <c r="C263">
        <v>2022</v>
      </c>
      <c r="D263" t="s">
        <v>43</v>
      </c>
      <c r="E263" t="s">
        <v>180</v>
      </c>
      <c r="F263" s="9"/>
      <c r="G263" t="s">
        <v>181</v>
      </c>
      <c r="H263">
        <v>1</v>
      </c>
      <c r="I263" t="s">
        <v>296</v>
      </c>
    </row>
    <row r="264" spans="2:9">
      <c r="B264" s="12" t="s">
        <v>11</v>
      </c>
      <c r="C264">
        <v>2022</v>
      </c>
      <c r="D264" t="s">
        <v>43</v>
      </c>
      <c r="E264" t="s">
        <v>188</v>
      </c>
      <c r="F264" s="9"/>
      <c r="G264" t="s">
        <v>181</v>
      </c>
      <c r="H264">
        <v>1</v>
      </c>
      <c r="I264" t="s">
        <v>318</v>
      </c>
    </row>
    <row r="265" spans="2:9">
      <c r="B265" s="12" t="s">
        <v>11</v>
      </c>
      <c r="C265">
        <v>2022</v>
      </c>
      <c r="D265" t="s">
        <v>43</v>
      </c>
      <c r="E265" t="s">
        <v>180</v>
      </c>
      <c r="F265" s="9"/>
      <c r="G265" t="s">
        <v>181</v>
      </c>
      <c r="H265">
        <v>0.5</v>
      </c>
      <c r="I265" t="s">
        <v>319</v>
      </c>
    </row>
    <row r="266" spans="2:9">
      <c r="B266" s="12" t="s">
        <v>11</v>
      </c>
      <c r="C266" s="9">
        <v>2022</v>
      </c>
      <c r="D266" s="9" t="s">
        <v>43</v>
      </c>
      <c r="E266" t="s">
        <v>317</v>
      </c>
      <c r="F266" s="9"/>
      <c r="G266" t="s">
        <v>208</v>
      </c>
      <c r="H266">
        <v>1.5</v>
      </c>
      <c r="I266" t="s">
        <v>320</v>
      </c>
    </row>
    <row r="267" spans="2:9">
      <c r="B267" s="12" t="s">
        <v>11</v>
      </c>
      <c r="C267" s="9">
        <v>2022</v>
      </c>
      <c r="D267" s="9" t="s">
        <v>43</v>
      </c>
      <c r="E267" t="s">
        <v>193</v>
      </c>
      <c r="F267" s="9"/>
      <c r="G267" t="s">
        <v>208</v>
      </c>
      <c r="H267">
        <v>0.5</v>
      </c>
      <c r="I267" t="s">
        <v>321</v>
      </c>
    </row>
    <row r="268" spans="2:9">
      <c r="B268" s="12" t="s">
        <v>11</v>
      </c>
      <c r="C268" s="9">
        <v>2022</v>
      </c>
      <c r="D268" s="9" t="s">
        <v>43</v>
      </c>
      <c r="E268" t="s">
        <v>259</v>
      </c>
      <c r="F268" s="9"/>
      <c r="G268" t="s">
        <v>208</v>
      </c>
      <c r="H268">
        <v>6.6</v>
      </c>
      <c r="I268" t="s">
        <v>322</v>
      </c>
    </row>
    <row r="269" spans="2:9">
      <c r="B269" s="12" t="s">
        <v>11</v>
      </c>
      <c r="C269" s="35">
        <v>2022</v>
      </c>
      <c r="D269" s="35" t="s">
        <v>43</v>
      </c>
      <c r="E269" t="s">
        <v>259</v>
      </c>
      <c r="F269" s="35"/>
      <c r="G269" t="s">
        <v>208</v>
      </c>
      <c r="H269">
        <v>1.2</v>
      </c>
      <c r="I269" t="s">
        <v>323</v>
      </c>
    </row>
    <row r="270" spans="2:9">
      <c r="B270" s="12" t="s">
        <v>11</v>
      </c>
      <c r="C270" s="9">
        <v>2022</v>
      </c>
      <c r="D270" s="9" t="s">
        <v>45</v>
      </c>
      <c r="E270" t="s">
        <v>180</v>
      </c>
      <c r="F270" s="9"/>
      <c r="G270" t="s">
        <v>181</v>
      </c>
      <c r="H270">
        <v>4.5</v>
      </c>
      <c r="I270" t="s">
        <v>273</v>
      </c>
    </row>
    <row r="271" spans="2:9">
      <c r="B271" s="12" t="s">
        <v>11</v>
      </c>
      <c r="C271" s="9">
        <v>2022</v>
      </c>
      <c r="D271" s="9" t="s">
        <v>45</v>
      </c>
      <c r="E271" t="s">
        <v>180</v>
      </c>
      <c r="F271" s="9"/>
      <c r="G271" t="s">
        <v>181</v>
      </c>
      <c r="H271">
        <v>1.5</v>
      </c>
      <c r="I271" t="s">
        <v>233</v>
      </c>
    </row>
    <row r="272" spans="2:9">
      <c r="B272" s="12" t="s">
        <v>11</v>
      </c>
      <c r="C272" s="9">
        <v>2022</v>
      </c>
      <c r="D272" s="9" t="s">
        <v>45</v>
      </c>
      <c r="E272" t="s">
        <v>184</v>
      </c>
      <c r="F272" s="9"/>
      <c r="G272" t="s">
        <v>181</v>
      </c>
      <c r="H272">
        <v>1.5</v>
      </c>
      <c r="I272" t="s">
        <v>185</v>
      </c>
    </row>
    <row r="273" spans="2:9">
      <c r="B273" s="12" t="s">
        <v>11</v>
      </c>
      <c r="C273" s="9">
        <v>2022</v>
      </c>
      <c r="D273" s="9" t="s">
        <v>45</v>
      </c>
      <c r="E273" t="s">
        <v>180</v>
      </c>
      <c r="F273" s="9"/>
      <c r="G273" t="s">
        <v>181</v>
      </c>
      <c r="H273">
        <v>1.75</v>
      </c>
      <c r="I273" t="s">
        <v>235</v>
      </c>
    </row>
    <row r="274" spans="2:9">
      <c r="B274" s="12" t="s">
        <v>11</v>
      </c>
      <c r="C274" s="9">
        <v>2022</v>
      </c>
      <c r="D274" s="9" t="s">
        <v>45</v>
      </c>
      <c r="E274" t="s">
        <v>180</v>
      </c>
      <c r="F274" s="9"/>
      <c r="G274" t="s">
        <v>181</v>
      </c>
      <c r="H274">
        <v>1.75</v>
      </c>
      <c r="I274" t="s">
        <v>236</v>
      </c>
    </row>
    <row r="275" spans="2:9">
      <c r="B275" s="12" t="s">
        <v>11</v>
      </c>
      <c r="C275" s="9">
        <v>2022</v>
      </c>
      <c r="D275" s="9" t="s">
        <v>45</v>
      </c>
      <c r="E275" t="s">
        <v>188</v>
      </c>
      <c r="F275" s="9"/>
      <c r="G275" t="s">
        <v>181</v>
      </c>
      <c r="H275">
        <v>3.5</v>
      </c>
      <c r="I275" t="s">
        <v>237</v>
      </c>
    </row>
    <row r="276" spans="2:9">
      <c r="B276" s="12" t="s">
        <v>11</v>
      </c>
      <c r="C276" s="9">
        <v>2022</v>
      </c>
      <c r="D276" s="9" t="s">
        <v>45</v>
      </c>
      <c r="E276" t="s">
        <v>180</v>
      </c>
      <c r="F276" s="9"/>
      <c r="G276" t="s">
        <v>181</v>
      </c>
      <c r="H276">
        <v>0.75</v>
      </c>
      <c r="I276" t="s">
        <v>283</v>
      </c>
    </row>
    <row r="277" spans="2:9">
      <c r="B277" s="12" t="s">
        <v>11</v>
      </c>
      <c r="C277" s="9">
        <v>2022</v>
      </c>
      <c r="D277" s="9" t="s">
        <v>45</v>
      </c>
      <c r="E277" t="s">
        <v>180</v>
      </c>
      <c r="F277" s="9"/>
      <c r="G277" t="s">
        <v>181</v>
      </c>
      <c r="H277">
        <v>1.5</v>
      </c>
      <c r="I277" t="s">
        <v>284</v>
      </c>
    </row>
    <row r="278" spans="2:9">
      <c r="B278" s="12" t="s">
        <v>11</v>
      </c>
      <c r="C278" s="9">
        <v>2022</v>
      </c>
      <c r="D278" s="9" t="s">
        <v>45</v>
      </c>
      <c r="E278" t="s">
        <v>191</v>
      </c>
      <c r="F278" s="9"/>
      <c r="G278" t="s">
        <v>181</v>
      </c>
      <c r="H278">
        <v>1.5</v>
      </c>
      <c r="I278" t="s">
        <v>240</v>
      </c>
    </row>
    <row r="279" spans="2:9">
      <c r="B279" s="12" t="s">
        <v>11</v>
      </c>
      <c r="C279" s="9">
        <v>2022</v>
      </c>
      <c r="D279" s="9" t="s">
        <v>45</v>
      </c>
      <c r="E279" t="s">
        <v>200</v>
      </c>
      <c r="F279" s="9"/>
      <c r="G279" t="s">
        <v>181</v>
      </c>
      <c r="H279">
        <v>1</v>
      </c>
      <c r="I279" t="s">
        <v>201</v>
      </c>
    </row>
    <row r="280" spans="2:9">
      <c r="B280" s="12" t="s">
        <v>11</v>
      </c>
      <c r="C280" s="9">
        <v>2022</v>
      </c>
      <c r="D280" s="9" t="s">
        <v>45</v>
      </c>
      <c r="E280" t="s">
        <v>197</v>
      </c>
      <c r="F280" s="9"/>
      <c r="G280" t="s">
        <v>181</v>
      </c>
      <c r="H280">
        <v>0.25</v>
      </c>
      <c r="I280" t="s">
        <v>202</v>
      </c>
    </row>
    <row r="281" spans="2:9">
      <c r="B281" s="12" t="s">
        <v>11</v>
      </c>
      <c r="C281" s="9">
        <v>2022</v>
      </c>
      <c r="D281" s="9" t="s">
        <v>45</v>
      </c>
      <c r="E281" t="s">
        <v>199</v>
      </c>
      <c r="F281" s="9"/>
      <c r="G281" t="s">
        <v>181</v>
      </c>
      <c r="H281">
        <v>0.25</v>
      </c>
      <c r="I281" t="s">
        <v>202</v>
      </c>
    </row>
    <row r="282" spans="2:9">
      <c r="B282" s="12" t="s">
        <v>11</v>
      </c>
      <c r="C282" s="9">
        <v>2022</v>
      </c>
      <c r="D282" s="9" t="s">
        <v>45</v>
      </c>
      <c r="E282" t="s">
        <v>203</v>
      </c>
      <c r="F282" s="9"/>
      <c r="G282" t="s">
        <v>181</v>
      </c>
      <c r="H282">
        <v>1</v>
      </c>
      <c r="I282" t="s">
        <v>241</v>
      </c>
    </row>
    <row r="283" spans="2:9">
      <c r="B283" s="12" t="s">
        <v>11</v>
      </c>
      <c r="C283" s="9">
        <v>2022</v>
      </c>
      <c r="D283" s="9" t="s">
        <v>45</v>
      </c>
      <c r="E283" t="s">
        <v>199</v>
      </c>
      <c r="F283" s="9"/>
      <c r="G283" t="s">
        <v>181</v>
      </c>
      <c r="H283">
        <v>0.75</v>
      </c>
      <c r="I283" t="s">
        <v>198</v>
      </c>
    </row>
    <row r="284" spans="2:9">
      <c r="B284" s="12" t="s">
        <v>11</v>
      </c>
      <c r="C284" s="9">
        <v>2022</v>
      </c>
      <c r="D284" s="9" t="s">
        <v>45</v>
      </c>
      <c r="E284" t="s">
        <v>197</v>
      </c>
      <c r="F284" s="9"/>
      <c r="G284" t="s">
        <v>181</v>
      </c>
      <c r="H284">
        <v>0.75</v>
      </c>
      <c r="I284" t="s">
        <v>198</v>
      </c>
    </row>
    <row r="285" spans="2:9">
      <c r="B285" s="12" t="s">
        <v>11</v>
      </c>
      <c r="C285" s="9">
        <v>2022</v>
      </c>
      <c r="D285" s="9" t="s">
        <v>45</v>
      </c>
      <c r="E285" t="s">
        <v>180</v>
      </c>
      <c r="F285" s="9"/>
      <c r="G285" t="s">
        <v>181</v>
      </c>
      <c r="H285">
        <v>1</v>
      </c>
      <c r="I285" t="s">
        <v>242</v>
      </c>
    </row>
    <row r="286" spans="2:9">
      <c r="B286" s="12" t="s">
        <v>11</v>
      </c>
      <c r="C286" s="9">
        <v>2022</v>
      </c>
      <c r="D286" s="9" t="s">
        <v>45</v>
      </c>
      <c r="E286" t="s">
        <v>180</v>
      </c>
      <c r="F286" s="9"/>
      <c r="G286" t="s">
        <v>181</v>
      </c>
      <c r="H286">
        <v>1</v>
      </c>
      <c r="I286" t="s">
        <v>243</v>
      </c>
    </row>
    <row r="287" spans="2:9">
      <c r="B287" s="12" t="s">
        <v>11</v>
      </c>
      <c r="C287" s="9">
        <v>2022</v>
      </c>
      <c r="D287" s="9" t="s">
        <v>45</v>
      </c>
      <c r="E287" t="s">
        <v>180</v>
      </c>
      <c r="F287" s="9"/>
      <c r="G287" t="s">
        <v>181</v>
      </c>
      <c r="H287">
        <v>1</v>
      </c>
      <c r="I287" t="s">
        <v>274</v>
      </c>
    </row>
    <row r="288" spans="2:9">
      <c r="B288" s="12" t="s">
        <v>11</v>
      </c>
      <c r="C288" s="9">
        <v>2022</v>
      </c>
      <c r="D288" s="9" t="s">
        <v>45</v>
      </c>
      <c r="E288" t="s">
        <v>180</v>
      </c>
      <c r="F288" s="9"/>
      <c r="G288" t="s">
        <v>181</v>
      </c>
      <c r="H288">
        <v>4</v>
      </c>
      <c r="I288" t="s">
        <v>285</v>
      </c>
    </row>
    <row r="289" spans="2:9">
      <c r="B289" s="12" t="s">
        <v>11</v>
      </c>
      <c r="C289" s="9">
        <v>2022</v>
      </c>
      <c r="D289" s="9" t="s">
        <v>45</v>
      </c>
      <c r="E289" t="s">
        <v>180</v>
      </c>
      <c r="F289" s="9"/>
      <c r="G289" t="s">
        <v>181</v>
      </c>
      <c r="H289">
        <v>1</v>
      </c>
      <c r="I289" t="s">
        <v>291</v>
      </c>
    </row>
    <row r="290" spans="2:9">
      <c r="B290" s="12" t="s">
        <v>11</v>
      </c>
      <c r="C290" s="9">
        <v>2022</v>
      </c>
      <c r="D290" s="9" t="s">
        <v>45</v>
      </c>
      <c r="E290" t="s">
        <v>324</v>
      </c>
      <c r="F290" s="9"/>
      <c r="G290" t="s">
        <v>181</v>
      </c>
      <c r="H290">
        <v>1</v>
      </c>
      <c r="I290" t="s">
        <v>292</v>
      </c>
    </row>
    <row r="291" spans="2:9">
      <c r="B291" s="12" t="s">
        <v>11</v>
      </c>
      <c r="C291" s="9">
        <v>2022</v>
      </c>
      <c r="D291" s="9" t="s">
        <v>45</v>
      </c>
      <c r="E291" t="s">
        <v>180</v>
      </c>
      <c r="F291" s="9"/>
      <c r="G291" t="s">
        <v>181</v>
      </c>
      <c r="H291">
        <v>1.6</v>
      </c>
      <c r="I291" t="s">
        <v>293</v>
      </c>
    </row>
    <row r="292" spans="2:9">
      <c r="B292" s="12" t="s">
        <v>11</v>
      </c>
      <c r="C292" s="9">
        <v>2022</v>
      </c>
      <c r="D292" s="9" t="s">
        <v>45</v>
      </c>
      <c r="E292" t="s">
        <v>180</v>
      </c>
      <c r="F292" s="9"/>
      <c r="G292" t="s">
        <v>181</v>
      </c>
      <c r="H292">
        <v>2</v>
      </c>
      <c r="I292" t="s">
        <v>294</v>
      </c>
    </row>
    <row r="293" spans="2:9">
      <c r="B293" s="12" t="s">
        <v>11</v>
      </c>
      <c r="C293" s="9">
        <v>2022</v>
      </c>
      <c r="D293" s="9" t="s">
        <v>45</v>
      </c>
      <c r="E293" t="s">
        <v>180</v>
      </c>
      <c r="F293" s="9"/>
      <c r="G293" t="s">
        <v>181</v>
      </c>
      <c r="H293">
        <v>1</v>
      </c>
      <c r="I293" t="s">
        <v>295</v>
      </c>
    </row>
    <row r="294" spans="2:9">
      <c r="B294" s="12" t="s">
        <v>11</v>
      </c>
      <c r="C294" s="9">
        <v>2022</v>
      </c>
      <c r="D294" s="9" t="s">
        <v>45</v>
      </c>
      <c r="E294" t="s">
        <v>180</v>
      </c>
      <c r="F294" s="9"/>
      <c r="G294" t="s">
        <v>181</v>
      </c>
      <c r="H294">
        <v>1</v>
      </c>
      <c r="I294" t="s">
        <v>296</v>
      </c>
    </row>
    <row r="295" spans="2:9">
      <c r="B295" s="12" t="s">
        <v>11</v>
      </c>
      <c r="C295" s="9">
        <v>2022</v>
      </c>
      <c r="D295" s="9" t="s">
        <v>45</v>
      </c>
      <c r="E295" t="s">
        <v>180</v>
      </c>
      <c r="F295" s="9"/>
      <c r="G295" t="s">
        <v>181</v>
      </c>
      <c r="H295">
        <v>1</v>
      </c>
      <c r="I295" t="s">
        <v>318</v>
      </c>
    </row>
    <row r="296" spans="2:9">
      <c r="B296" s="12" t="s">
        <v>11</v>
      </c>
      <c r="C296" s="35">
        <v>2022</v>
      </c>
      <c r="D296" s="35" t="s">
        <v>45</v>
      </c>
      <c r="E296" t="s">
        <v>180</v>
      </c>
      <c r="F296" s="35"/>
      <c r="G296" t="s">
        <v>181</v>
      </c>
      <c r="H296">
        <v>66.5</v>
      </c>
      <c r="I296" t="s">
        <v>325</v>
      </c>
    </row>
    <row r="297" spans="2:9">
      <c r="B297" s="12" t="s">
        <v>11</v>
      </c>
      <c r="C297" s="9">
        <v>2022</v>
      </c>
      <c r="D297" s="9" t="s">
        <v>45</v>
      </c>
      <c r="E297" t="s">
        <v>188</v>
      </c>
      <c r="F297" s="9"/>
      <c r="G297" t="s">
        <v>208</v>
      </c>
      <c r="H297">
        <v>1</v>
      </c>
      <c r="I297" t="s">
        <v>326</v>
      </c>
    </row>
    <row r="298" spans="2:9">
      <c r="B298" s="12" t="s">
        <v>11</v>
      </c>
      <c r="C298" s="9">
        <v>2022</v>
      </c>
      <c r="D298" s="9" t="s">
        <v>45</v>
      </c>
      <c r="E298" t="s">
        <v>188</v>
      </c>
      <c r="F298" s="9"/>
      <c r="G298" t="s">
        <v>208</v>
      </c>
      <c r="H298">
        <v>0.95</v>
      </c>
      <c r="I298" t="s">
        <v>327</v>
      </c>
    </row>
    <row r="299" spans="2:9">
      <c r="B299" s="12" t="s">
        <v>11</v>
      </c>
      <c r="C299" s="35">
        <v>2022</v>
      </c>
      <c r="D299" s="35" t="s">
        <v>45</v>
      </c>
      <c r="E299" t="s">
        <v>203</v>
      </c>
      <c r="F299" s="35"/>
      <c r="G299" t="s">
        <v>208</v>
      </c>
      <c r="H299">
        <v>0.6</v>
      </c>
      <c r="I299" t="s">
        <v>328</v>
      </c>
    </row>
    <row r="300" spans="2:9">
      <c r="B300" s="12" t="s">
        <v>11</v>
      </c>
      <c r="C300" s="9">
        <v>2022</v>
      </c>
      <c r="D300" s="9" t="s">
        <v>47</v>
      </c>
      <c r="E300" t="s">
        <v>180</v>
      </c>
      <c r="F300" s="9"/>
      <c r="G300" t="s">
        <v>181</v>
      </c>
      <c r="H300">
        <v>126</v>
      </c>
      <c r="I300" t="s">
        <v>329</v>
      </c>
    </row>
    <row r="301" spans="2:9">
      <c r="B301" s="12" t="s">
        <v>11</v>
      </c>
      <c r="C301" s="9">
        <v>2022</v>
      </c>
      <c r="D301" s="9" t="s">
        <v>47</v>
      </c>
      <c r="E301" t="s">
        <v>180</v>
      </c>
      <c r="F301" s="9"/>
      <c r="G301" t="s">
        <v>181</v>
      </c>
      <c r="H301">
        <v>2.5</v>
      </c>
      <c r="I301" t="s">
        <v>330</v>
      </c>
    </row>
    <row r="302" spans="2:9">
      <c r="B302" s="12" t="s">
        <v>11</v>
      </c>
      <c r="C302" s="9">
        <v>2022</v>
      </c>
      <c r="D302" s="9" t="s">
        <v>47</v>
      </c>
      <c r="E302" t="s">
        <v>184</v>
      </c>
      <c r="F302" s="9"/>
      <c r="G302" t="s">
        <v>181</v>
      </c>
      <c r="H302">
        <v>0.6</v>
      </c>
      <c r="I302" t="s">
        <v>331</v>
      </c>
    </row>
    <row r="303" spans="2:9">
      <c r="B303" s="12" t="s">
        <v>11</v>
      </c>
      <c r="C303" s="9">
        <v>2022</v>
      </c>
      <c r="D303" s="9" t="s">
        <v>47</v>
      </c>
      <c r="E303" t="s">
        <v>180</v>
      </c>
      <c r="F303" s="9"/>
      <c r="G303" t="s">
        <v>181</v>
      </c>
      <c r="H303">
        <v>0.5</v>
      </c>
      <c r="I303" t="s">
        <v>332</v>
      </c>
    </row>
    <row r="304" spans="2:9">
      <c r="B304" s="12" t="s">
        <v>11</v>
      </c>
      <c r="C304" s="9">
        <v>2022</v>
      </c>
      <c r="D304" s="9" t="s">
        <v>47</v>
      </c>
      <c r="E304" t="s">
        <v>259</v>
      </c>
      <c r="F304" s="9"/>
      <c r="G304" t="s">
        <v>181</v>
      </c>
      <c r="H304">
        <v>1</v>
      </c>
      <c r="I304" t="s">
        <v>333</v>
      </c>
    </row>
    <row r="305" spans="2:9">
      <c r="B305" s="12" t="s">
        <v>11</v>
      </c>
      <c r="C305" s="9">
        <v>2022</v>
      </c>
      <c r="D305" s="9" t="s">
        <v>47</v>
      </c>
      <c r="E305" t="s">
        <v>180</v>
      </c>
      <c r="F305" s="9"/>
      <c r="G305" t="s">
        <v>181</v>
      </c>
      <c r="H305">
        <v>1</v>
      </c>
      <c r="I305" t="s">
        <v>233</v>
      </c>
    </row>
    <row r="306" spans="2:9">
      <c r="B306" s="12" t="s">
        <v>11</v>
      </c>
      <c r="C306" s="9">
        <v>2022</v>
      </c>
      <c r="D306" s="9" t="s">
        <v>47</v>
      </c>
      <c r="E306" t="s">
        <v>188</v>
      </c>
      <c r="F306" s="9"/>
      <c r="G306" t="s">
        <v>181</v>
      </c>
      <c r="H306">
        <v>3</v>
      </c>
      <c r="I306" t="s">
        <v>334</v>
      </c>
    </row>
    <row r="307" spans="2:9">
      <c r="B307" s="12" t="s">
        <v>11</v>
      </c>
      <c r="C307" s="9">
        <v>2022</v>
      </c>
      <c r="D307" s="9" t="s">
        <v>47</v>
      </c>
      <c r="E307" t="s">
        <v>191</v>
      </c>
      <c r="F307" s="9"/>
      <c r="G307" t="s">
        <v>181</v>
      </c>
      <c r="H307">
        <v>1.5</v>
      </c>
      <c r="I307" t="s">
        <v>334</v>
      </c>
    </row>
    <row r="308" spans="2:9">
      <c r="B308" s="12" t="s">
        <v>11</v>
      </c>
      <c r="C308" s="9">
        <v>2022</v>
      </c>
      <c r="D308" s="9" t="s">
        <v>47</v>
      </c>
      <c r="E308" t="s">
        <v>180</v>
      </c>
      <c r="F308" s="9"/>
      <c r="G308" t="s">
        <v>181</v>
      </c>
      <c r="H308">
        <v>1.5</v>
      </c>
      <c r="I308" t="s">
        <v>284</v>
      </c>
    </row>
    <row r="309" spans="2:9">
      <c r="B309" s="12" t="s">
        <v>11</v>
      </c>
      <c r="C309" s="9">
        <v>2022</v>
      </c>
      <c r="D309" s="9" t="s">
        <v>47</v>
      </c>
      <c r="E309" t="s">
        <v>200</v>
      </c>
      <c r="F309" s="9"/>
      <c r="G309" t="s">
        <v>181</v>
      </c>
      <c r="H309">
        <v>1</v>
      </c>
      <c r="I309" t="s">
        <v>201</v>
      </c>
    </row>
    <row r="310" spans="2:9">
      <c r="B310" s="12" t="s">
        <v>11</v>
      </c>
      <c r="C310" s="9">
        <v>2022</v>
      </c>
      <c r="D310" s="9" t="s">
        <v>47</v>
      </c>
      <c r="E310" t="s">
        <v>199</v>
      </c>
      <c r="F310" s="9"/>
      <c r="G310" t="s">
        <v>181</v>
      </c>
      <c r="H310">
        <v>0.25</v>
      </c>
      <c r="I310" t="s">
        <v>202</v>
      </c>
    </row>
    <row r="311" spans="2:9">
      <c r="B311" s="12" t="s">
        <v>11</v>
      </c>
      <c r="C311" s="9">
        <v>2022</v>
      </c>
      <c r="D311" s="9" t="s">
        <v>47</v>
      </c>
      <c r="E311" t="s">
        <v>197</v>
      </c>
      <c r="F311" s="9"/>
      <c r="G311" t="s">
        <v>181</v>
      </c>
      <c r="H311">
        <v>0.25</v>
      </c>
      <c r="I311" t="s">
        <v>202</v>
      </c>
    </row>
    <row r="312" spans="2:9">
      <c r="B312" s="12" t="s">
        <v>11</v>
      </c>
      <c r="C312" s="9">
        <v>2022</v>
      </c>
      <c r="D312" s="9" t="s">
        <v>47</v>
      </c>
      <c r="E312" t="s">
        <v>259</v>
      </c>
      <c r="F312" s="9"/>
      <c r="G312" t="s">
        <v>181</v>
      </c>
      <c r="H312">
        <v>1</v>
      </c>
      <c r="I312" t="s">
        <v>242</v>
      </c>
    </row>
    <row r="313" spans="2:9">
      <c r="B313" s="12" t="s">
        <v>11</v>
      </c>
      <c r="C313" s="9">
        <v>2022</v>
      </c>
      <c r="D313" s="9" t="s">
        <v>47</v>
      </c>
      <c r="E313" t="s">
        <v>180</v>
      </c>
      <c r="F313" s="9"/>
      <c r="G313" t="s">
        <v>181</v>
      </c>
      <c r="H313">
        <v>1</v>
      </c>
      <c r="I313" t="s">
        <v>243</v>
      </c>
    </row>
    <row r="314" spans="2:9">
      <c r="B314" s="12" t="s">
        <v>11</v>
      </c>
      <c r="C314" s="9">
        <v>2022</v>
      </c>
      <c r="D314" s="9" t="s">
        <v>47</v>
      </c>
      <c r="E314" t="s">
        <v>180</v>
      </c>
      <c r="F314" s="9"/>
      <c r="G314" t="s">
        <v>181</v>
      </c>
      <c r="H314">
        <v>0.5</v>
      </c>
      <c r="I314" t="s">
        <v>274</v>
      </c>
    </row>
    <row r="315" spans="2:9">
      <c r="B315" s="12" t="s">
        <v>11</v>
      </c>
      <c r="C315" s="9">
        <v>2022</v>
      </c>
      <c r="D315" s="9" t="s">
        <v>47</v>
      </c>
      <c r="E315" t="s">
        <v>259</v>
      </c>
      <c r="F315" s="9"/>
      <c r="G315" t="s">
        <v>181</v>
      </c>
      <c r="H315">
        <v>1</v>
      </c>
      <c r="I315" t="s">
        <v>291</v>
      </c>
    </row>
    <row r="316" spans="2:9">
      <c r="B316" s="12" t="s">
        <v>11</v>
      </c>
      <c r="C316" s="9">
        <v>2022</v>
      </c>
      <c r="D316" s="9" t="s">
        <v>47</v>
      </c>
      <c r="E316" t="s">
        <v>259</v>
      </c>
      <c r="F316" s="9"/>
      <c r="G316" t="s">
        <v>181</v>
      </c>
      <c r="H316">
        <v>1</v>
      </c>
      <c r="I316" t="s">
        <v>292</v>
      </c>
    </row>
    <row r="317" spans="2:9">
      <c r="B317" s="12" t="s">
        <v>11</v>
      </c>
      <c r="C317" s="9">
        <v>2022</v>
      </c>
      <c r="D317" s="9" t="s">
        <v>47</v>
      </c>
      <c r="E317" t="s">
        <v>259</v>
      </c>
      <c r="F317" s="9"/>
      <c r="G317" t="s">
        <v>181</v>
      </c>
      <c r="H317">
        <v>1.6</v>
      </c>
      <c r="I317" t="s">
        <v>293</v>
      </c>
    </row>
    <row r="318" spans="2:9">
      <c r="B318" s="12" t="s">
        <v>11</v>
      </c>
      <c r="C318" s="9">
        <v>2022</v>
      </c>
      <c r="D318" s="9" t="s">
        <v>47</v>
      </c>
      <c r="E318" t="s">
        <v>259</v>
      </c>
      <c r="F318" s="9"/>
      <c r="G318" t="s">
        <v>181</v>
      </c>
      <c r="H318">
        <v>2</v>
      </c>
      <c r="I318" t="s">
        <v>294</v>
      </c>
    </row>
    <row r="319" spans="2:9">
      <c r="B319" s="12" t="s">
        <v>11</v>
      </c>
      <c r="C319" s="9">
        <v>2022</v>
      </c>
      <c r="D319" s="9" t="s">
        <v>47</v>
      </c>
      <c r="E319" t="s">
        <v>259</v>
      </c>
      <c r="F319" s="9"/>
      <c r="G319" t="s">
        <v>181</v>
      </c>
      <c r="H319">
        <v>1</v>
      </c>
      <c r="I319" t="s">
        <v>295</v>
      </c>
    </row>
    <row r="320" spans="2:9">
      <c r="B320" s="12" t="s">
        <v>11</v>
      </c>
      <c r="C320" s="35">
        <v>2022</v>
      </c>
      <c r="D320" s="35" t="s">
        <v>47</v>
      </c>
      <c r="E320" t="s">
        <v>259</v>
      </c>
      <c r="F320" s="35"/>
      <c r="G320" t="s">
        <v>181</v>
      </c>
      <c r="H320">
        <v>1</v>
      </c>
      <c r="I320" t="s">
        <v>296</v>
      </c>
    </row>
    <row r="321" spans="2:9">
      <c r="B321" s="12" t="s">
        <v>11</v>
      </c>
      <c r="C321" s="9">
        <v>2022</v>
      </c>
      <c r="D321" s="9" t="s">
        <v>47</v>
      </c>
      <c r="E321" t="s">
        <v>180</v>
      </c>
      <c r="F321" s="9"/>
      <c r="G321" t="s">
        <v>208</v>
      </c>
      <c r="H321">
        <v>2</v>
      </c>
      <c r="I321" t="s">
        <v>335</v>
      </c>
    </row>
    <row r="322" spans="2:9">
      <c r="B322" s="12" t="s">
        <v>11</v>
      </c>
      <c r="C322" s="9">
        <v>2022</v>
      </c>
      <c r="D322" s="9" t="s">
        <v>47</v>
      </c>
      <c r="E322" t="s">
        <v>203</v>
      </c>
      <c r="F322" s="9"/>
      <c r="G322" t="s">
        <v>208</v>
      </c>
      <c r="H322">
        <v>3</v>
      </c>
      <c r="I322" t="s">
        <v>336</v>
      </c>
    </row>
    <row r="323" spans="2:9">
      <c r="B323" s="12" t="s">
        <v>11</v>
      </c>
      <c r="C323" s="9">
        <v>2022</v>
      </c>
      <c r="D323" s="9" t="s">
        <v>47</v>
      </c>
      <c r="E323" t="s">
        <v>203</v>
      </c>
      <c r="F323" s="9"/>
      <c r="G323" t="s">
        <v>208</v>
      </c>
      <c r="H323">
        <v>0.6</v>
      </c>
      <c r="I323" t="s">
        <v>337</v>
      </c>
    </row>
    <row r="324" spans="2:9">
      <c r="B324" s="12" t="s">
        <v>11</v>
      </c>
      <c r="C324" s="9">
        <v>2022</v>
      </c>
      <c r="D324" s="9" t="s">
        <v>47</v>
      </c>
      <c r="E324" t="s">
        <v>188</v>
      </c>
      <c r="F324" s="9"/>
      <c r="G324" t="s">
        <v>208</v>
      </c>
      <c r="H324">
        <v>0.9</v>
      </c>
      <c r="I324" t="s">
        <v>338</v>
      </c>
    </row>
    <row r="325" spans="2:9">
      <c r="B325" s="12" t="s">
        <v>11</v>
      </c>
      <c r="C325" s="9">
        <v>2022</v>
      </c>
      <c r="D325" s="9" t="s">
        <v>47</v>
      </c>
      <c r="E325" t="s">
        <v>188</v>
      </c>
      <c r="F325" s="9"/>
      <c r="G325" t="s">
        <v>208</v>
      </c>
      <c r="H325">
        <v>2.85</v>
      </c>
      <c r="I325" t="s">
        <v>338</v>
      </c>
    </row>
    <row r="326" spans="2:9">
      <c r="B326" s="12" t="s">
        <v>11</v>
      </c>
      <c r="C326" s="35">
        <v>2022</v>
      </c>
      <c r="D326" s="35" t="s">
        <v>47</v>
      </c>
      <c r="E326" t="s">
        <v>188</v>
      </c>
      <c r="F326" s="35"/>
      <c r="G326" t="s">
        <v>208</v>
      </c>
      <c r="H326">
        <v>3.35</v>
      </c>
      <c r="I326" t="s">
        <v>338</v>
      </c>
    </row>
    <row r="327" spans="2:9">
      <c r="B327" s="12" t="s">
        <v>11</v>
      </c>
      <c r="C327" s="9">
        <v>2021</v>
      </c>
      <c r="D327" s="9" t="s">
        <v>12</v>
      </c>
      <c r="E327" t="s">
        <v>180</v>
      </c>
      <c r="F327" s="9"/>
      <c r="G327" t="s">
        <v>181</v>
      </c>
      <c r="H327">
        <v>4.5</v>
      </c>
      <c r="I327" t="s">
        <v>273</v>
      </c>
    </row>
    <row r="328" spans="2:9">
      <c r="B328" s="12" t="s">
        <v>11</v>
      </c>
      <c r="C328" s="9">
        <v>2021</v>
      </c>
      <c r="D328" s="9" t="s">
        <v>12</v>
      </c>
      <c r="E328" t="s">
        <v>180</v>
      </c>
      <c r="F328" s="9"/>
      <c r="G328" t="s">
        <v>181</v>
      </c>
      <c r="H328">
        <v>1.5</v>
      </c>
      <c r="I328" t="s">
        <v>339</v>
      </c>
    </row>
    <row r="329" spans="2:9">
      <c r="B329" s="12" t="s">
        <v>11</v>
      </c>
      <c r="C329" s="9">
        <v>2021</v>
      </c>
      <c r="D329" s="9" t="s">
        <v>12</v>
      </c>
      <c r="E329" t="s">
        <v>180</v>
      </c>
      <c r="F329" s="9"/>
      <c r="G329" t="s">
        <v>181</v>
      </c>
      <c r="H329">
        <v>0.7</v>
      </c>
      <c r="I329" t="s">
        <v>216</v>
      </c>
    </row>
    <row r="330" spans="2:9">
      <c r="B330" s="12" t="s">
        <v>11</v>
      </c>
      <c r="C330" s="9">
        <v>2021</v>
      </c>
      <c r="D330" s="9" t="s">
        <v>12</v>
      </c>
      <c r="E330" t="s">
        <v>199</v>
      </c>
      <c r="F330" s="9"/>
      <c r="G330" t="s">
        <v>181</v>
      </c>
      <c r="H330">
        <v>3.5</v>
      </c>
      <c r="I330" t="s">
        <v>340</v>
      </c>
    </row>
    <row r="331" spans="2:9">
      <c r="B331" s="12" t="s">
        <v>11</v>
      </c>
      <c r="C331" s="9">
        <v>2021</v>
      </c>
      <c r="D331" s="9" t="s">
        <v>12</v>
      </c>
      <c r="E331" t="s">
        <v>188</v>
      </c>
      <c r="F331" s="9"/>
      <c r="G331" t="s">
        <v>181</v>
      </c>
      <c r="H331">
        <v>3</v>
      </c>
      <c r="I331" t="s">
        <v>341</v>
      </c>
    </row>
    <row r="332" spans="2:9">
      <c r="B332" s="12" t="s">
        <v>11</v>
      </c>
      <c r="C332" s="9">
        <v>2021</v>
      </c>
      <c r="D332" s="9" t="s">
        <v>12</v>
      </c>
      <c r="E332" t="s">
        <v>180</v>
      </c>
      <c r="F332" s="9"/>
      <c r="G332" t="s">
        <v>181</v>
      </c>
      <c r="H332">
        <v>0.25</v>
      </c>
      <c r="I332" t="s">
        <v>342</v>
      </c>
    </row>
    <row r="333" spans="2:9">
      <c r="B333" s="12" t="s">
        <v>11</v>
      </c>
      <c r="C333" s="35">
        <v>2021</v>
      </c>
      <c r="D333" s="35" t="s">
        <v>12</v>
      </c>
      <c r="E333" t="s">
        <v>197</v>
      </c>
      <c r="F333" s="35"/>
      <c r="G333" t="s">
        <v>181</v>
      </c>
      <c r="H333">
        <v>1</v>
      </c>
      <c r="I333" t="s">
        <v>343</v>
      </c>
    </row>
    <row r="334" spans="2:9">
      <c r="B334" s="12" t="s">
        <v>11</v>
      </c>
      <c r="C334" s="35">
        <v>2021</v>
      </c>
      <c r="D334" s="35" t="s">
        <v>12</v>
      </c>
      <c r="E334" t="s">
        <v>199</v>
      </c>
      <c r="F334" s="35"/>
      <c r="G334" t="s">
        <v>181</v>
      </c>
      <c r="H334">
        <v>1</v>
      </c>
      <c r="I334" t="s">
        <v>343</v>
      </c>
    </row>
    <row r="335" spans="2:9">
      <c r="B335" s="12" t="s">
        <v>11</v>
      </c>
      <c r="C335" s="9">
        <v>2021</v>
      </c>
      <c r="D335" s="9" t="s">
        <v>12</v>
      </c>
      <c r="E335" t="s">
        <v>180</v>
      </c>
      <c r="F335" s="9"/>
      <c r="G335" t="s">
        <v>181</v>
      </c>
      <c r="H335">
        <v>0</v>
      </c>
    </row>
    <row r="336" spans="2:9">
      <c r="B336" s="12" t="s">
        <v>11</v>
      </c>
      <c r="C336" s="9">
        <v>2021</v>
      </c>
      <c r="D336" s="9" t="s">
        <v>12</v>
      </c>
      <c r="E336" t="s">
        <v>197</v>
      </c>
      <c r="F336" s="9"/>
      <c r="G336" t="s">
        <v>181</v>
      </c>
      <c r="H336">
        <v>3</v>
      </c>
      <c r="I336" t="s">
        <v>344</v>
      </c>
    </row>
    <row r="337" spans="2:9">
      <c r="B337" s="12" t="s">
        <v>11</v>
      </c>
      <c r="C337" s="9">
        <v>2021</v>
      </c>
      <c r="D337" s="9" t="s">
        <v>12</v>
      </c>
      <c r="E337" t="s">
        <v>180</v>
      </c>
      <c r="F337" s="9"/>
      <c r="G337" t="s">
        <v>181</v>
      </c>
      <c r="H337">
        <v>0.7</v>
      </c>
      <c r="I337" t="s">
        <v>345</v>
      </c>
    </row>
    <row r="338" spans="2:9">
      <c r="B338" s="12" t="s">
        <v>11</v>
      </c>
      <c r="C338" s="9">
        <v>2021</v>
      </c>
      <c r="D338" s="9" t="s">
        <v>12</v>
      </c>
      <c r="E338" t="s">
        <v>203</v>
      </c>
      <c r="F338" s="9"/>
      <c r="G338" t="s">
        <v>181</v>
      </c>
      <c r="H338">
        <v>6.5</v>
      </c>
      <c r="I338" t="s">
        <v>346</v>
      </c>
    </row>
    <row r="339" spans="2:9">
      <c r="B339" s="12" t="s">
        <v>11</v>
      </c>
      <c r="C339" s="9">
        <v>2021</v>
      </c>
      <c r="D339" s="9" t="s">
        <v>12</v>
      </c>
      <c r="E339" t="s">
        <v>184</v>
      </c>
      <c r="F339" s="9"/>
      <c r="G339" t="s">
        <v>181</v>
      </c>
      <c r="H339">
        <v>1.5</v>
      </c>
      <c r="I339" t="s">
        <v>347</v>
      </c>
    </row>
    <row r="340" spans="2:9">
      <c r="B340" s="12" t="s">
        <v>11</v>
      </c>
      <c r="C340" s="35">
        <v>2021</v>
      </c>
      <c r="D340" s="35" t="s">
        <v>12</v>
      </c>
      <c r="E340" t="s">
        <v>200</v>
      </c>
      <c r="F340" s="35"/>
      <c r="G340" t="s">
        <v>181</v>
      </c>
      <c r="H340">
        <v>1.5</v>
      </c>
      <c r="I340" t="s">
        <v>348</v>
      </c>
    </row>
    <row r="341" spans="2:9">
      <c r="B341" s="12" t="s">
        <v>11</v>
      </c>
      <c r="C341" s="9">
        <v>2021</v>
      </c>
      <c r="D341" s="9" t="s">
        <v>12</v>
      </c>
      <c r="E341" t="s">
        <v>191</v>
      </c>
      <c r="F341" s="9"/>
      <c r="G341" t="s">
        <v>208</v>
      </c>
      <c r="H341">
        <v>3.3</v>
      </c>
      <c r="I341" t="s">
        <v>349</v>
      </c>
    </row>
    <row r="342" spans="2:9">
      <c r="B342" s="12" t="s">
        <v>11</v>
      </c>
      <c r="C342" s="9">
        <v>2021</v>
      </c>
      <c r="D342" s="9" t="s">
        <v>12</v>
      </c>
      <c r="E342" t="s">
        <v>199</v>
      </c>
      <c r="F342" s="9"/>
      <c r="G342" t="s">
        <v>208</v>
      </c>
      <c r="H342">
        <v>3.9</v>
      </c>
      <c r="I342" t="s">
        <v>350</v>
      </c>
    </row>
    <row r="343" spans="2:9">
      <c r="B343" s="12" t="s">
        <v>11</v>
      </c>
      <c r="C343" s="35">
        <v>2021</v>
      </c>
      <c r="D343" s="35" t="s">
        <v>12</v>
      </c>
      <c r="E343" t="s">
        <v>188</v>
      </c>
      <c r="F343" s="35"/>
      <c r="G343" t="s">
        <v>208</v>
      </c>
      <c r="H343">
        <v>1.25</v>
      </c>
      <c r="I343" t="s">
        <v>351</v>
      </c>
    </row>
    <row r="344" spans="2:9">
      <c r="B344" s="12" t="s">
        <v>11</v>
      </c>
      <c r="C344" s="9">
        <v>2021</v>
      </c>
      <c r="D344" s="9" t="s">
        <v>21</v>
      </c>
      <c r="E344" t="s">
        <v>259</v>
      </c>
      <c r="F344" s="9"/>
      <c r="G344" t="s">
        <v>181</v>
      </c>
      <c r="H344">
        <v>1.5</v>
      </c>
      <c r="I344" t="s">
        <v>352</v>
      </c>
    </row>
    <row r="345" spans="2:9">
      <c r="B345" s="12" t="s">
        <v>11</v>
      </c>
      <c r="C345" s="9">
        <v>2021</v>
      </c>
      <c r="D345" s="9" t="s">
        <v>21</v>
      </c>
      <c r="E345" t="s">
        <v>180</v>
      </c>
      <c r="F345" s="9"/>
      <c r="G345" t="s">
        <v>181</v>
      </c>
      <c r="H345">
        <v>1</v>
      </c>
      <c r="I345" t="s">
        <v>216</v>
      </c>
    </row>
    <row r="346" spans="2:9">
      <c r="B346" s="12" t="s">
        <v>11</v>
      </c>
      <c r="C346" s="9">
        <v>2021</v>
      </c>
      <c r="D346" s="9" t="s">
        <v>21</v>
      </c>
      <c r="E346" t="s">
        <v>203</v>
      </c>
      <c r="F346" s="9"/>
      <c r="G346" t="s">
        <v>181</v>
      </c>
      <c r="H346">
        <v>0.75</v>
      </c>
      <c r="I346" t="s">
        <v>353</v>
      </c>
    </row>
    <row r="347" spans="2:9">
      <c r="B347" s="12" t="s">
        <v>11</v>
      </c>
      <c r="C347" s="9">
        <v>2021</v>
      </c>
      <c r="D347" s="9" t="s">
        <v>21</v>
      </c>
      <c r="E347" t="s">
        <v>184</v>
      </c>
      <c r="F347" s="9"/>
      <c r="G347" t="s">
        <v>181</v>
      </c>
      <c r="H347">
        <v>2</v>
      </c>
      <c r="I347" t="s">
        <v>216</v>
      </c>
    </row>
    <row r="348" spans="2:9">
      <c r="B348" s="12" t="s">
        <v>11</v>
      </c>
      <c r="C348" s="9">
        <v>2021</v>
      </c>
      <c r="D348" s="9" t="s">
        <v>21</v>
      </c>
      <c r="E348" t="s">
        <v>200</v>
      </c>
      <c r="F348" s="9"/>
      <c r="G348" t="s">
        <v>181</v>
      </c>
      <c r="H348">
        <v>1</v>
      </c>
      <c r="I348" t="s">
        <v>354</v>
      </c>
    </row>
    <row r="349" spans="2:9">
      <c r="B349" s="12" t="s">
        <v>11</v>
      </c>
      <c r="C349" s="9">
        <v>2021</v>
      </c>
      <c r="D349" s="9" t="s">
        <v>21</v>
      </c>
      <c r="E349" t="s">
        <v>180</v>
      </c>
      <c r="F349" s="9"/>
      <c r="G349" t="s">
        <v>181</v>
      </c>
      <c r="H349">
        <v>6</v>
      </c>
      <c r="I349" t="s">
        <v>355</v>
      </c>
    </row>
    <row r="350" spans="2:9">
      <c r="B350" s="12" t="s">
        <v>11</v>
      </c>
      <c r="C350" s="9">
        <v>2021</v>
      </c>
      <c r="D350" s="9" t="s">
        <v>21</v>
      </c>
      <c r="E350" t="s">
        <v>191</v>
      </c>
      <c r="F350" s="9"/>
      <c r="G350" t="s">
        <v>181</v>
      </c>
      <c r="H350">
        <v>2</v>
      </c>
      <c r="I350" t="s">
        <v>356</v>
      </c>
    </row>
    <row r="351" spans="2:9">
      <c r="B351" s="12" t="s">
        <v>11</v>
      </c>
      <c r="C351" s="9">
        <v>2021</v>
      </c>
      <c r="D351" s="9" t="s">
        <v>21</v>
      </c>
      <c r="E351" t="s">
        <v>180</v>
      </c>
      <c r="F351" s="9"/>
      <c r="G351" t="s">
        <v>181</v>
      </c>
      <c r="H351">
        <v>2</v>
      </c>
      <c r="I351" t="s">
        <v>357</v>
      </c>
    </row>
    <row r="352" spans="2:9">
      <c r="B352" s="12" t="s">
        <v>11</v>
      </c>
      <c r="C352" s="9">
        <v>2021</v>
      </c>
      <c r="D352" s="9" t="s">
        <v>21</v>
      </c>
      <c r="E352" t="s">
        <v>180</v>
      </c>
      <c r="F352" s="9"/>
      <c r="G352" t="s">
        <v>181</v>
      </c>
      <c r="H352">
        <v>2</v>
      </c>
      <c r="I352" t="s">
        <v>358</v>
      </c>
    </row>
    <row r="353" spans="2:9">
      <c r="B353" s="12" t="s">
        <v>11</v>
      </c>
      <c r="C353" s="9">
        <v>2021</v>
      </c>
      <c r="D353" s="9" t="s">
        <v>21</v>
      </c>
      <c r="E353" t="s">
        <v>188</v>
      </c>
      <c r="F353" s="9"/>
      <c r="G353" t="s">
        <v>181</v>
      </c>
      <c r="H353">
        <v>4</v>
      </c>
      <c r="I353" t="s">
        <v>359</v>
      </c>
    </row>
    <row r="354" spans="2:9">
      <c r="B354" s="12" t="s">
        <v>11</v>
      </c>
      <c r="C354" s="9">
        <v>2021</v>
      </c>
      <c r="D354" s="9" t="s">
        <v>21</v>
      </c>
      <c r="E354" t="s">
        <v>180</v>
      </c>
      <c r="F354" s="9"/>
      <c r="G354" t="s">
        <v>181</v>
      </c>
      <c r="H354">
        <v>1.5</v>
      </c>
      <c r="I354" t="s">
        <v>360</v>
      </c>
    </row>
    <row r="355" spans="2:9">
      <c r="B355" s="12" t="s">
        <v>11</v>
      </c>
      <c r="C355" s="9">
        <v>2021</v>
      </c>
      <c r="D355" s="9" t="s">
        <v>21</v>
      </c>
      <c r="E355" t="s">
        <v>193</v>
      </c>
      <c r="F355" s="9"/>
      <c r="G355" t="s">
        <v>181</v>
      </c>
      <c r="H355">
        <v>5</v>
      </c>
      <c r="I355" t="s">
        <v>361</v>
      </c>
    </row>
    <row r="356" spans="2:9">
      <c r="B356" s="12" t="s">
        <v>11</v>
      </c>
      <c r="C356" s="9">
        <v>2021</v>
      </c>
      <c r="D356" s="9" t="s">
        <v>21</v>
      </c>
      <c r="E356" t="s">
        <v>180</v>
      </c>
      <c r="F356" s="9"/>
      <c r="G356" t="s">
        <v>181</v>
      </c>
      <c r="H356">
        <v>2.5</v>
      </c>
      <c r="I356" t="s">
        <v>362</v>
      </c>
    </row>
    <row r="357" spans="2:9">
      <c r="B357" s="12" t="s">
        <v>11</v>
      </c>
      <c r="C357" s="9">
        <v>2021</v>
      </c>
      <c r="D357" s="9" t="s">
        <v>21</v>
      </c>
      <c r="E357" t="s">
        <v>199</v>
      </c>
      <c r="F357" s="9"/>
      <c r="G357" t="s">
        <v>181</v>
      </c>
      <c r="H357">
        <v>0.5</v>
      </c>
      <c r="I357" t="s">
        <v>363</v>
      </c>
    </row>
    <row r="358" spans="2:9">
      <c r="B358" s="12" t="s">
        <v>11</v>
      </c>
      <c r="C358" s="9">
        <v>2021</v>
      </c>
      <c r="D358" s="9" t="s">
        <v>21</v>
      </c>
      <c r="E358" t="s">
        <v>180</v>
      </c>
      <c r="F358" s="9"/>
      <c r="G358" t="s">
        <v>181</v>
      </c>
      <c r="H358">
        <v>1</v>
      </c>
      <c r="I358" t="s">
        <v>364</v>
      </c>
    </row>
    <row r="359" spans="2:9">
      <c r="B359" s="12" t="s">
        <v>11</v>
      </c>
      <c r="C359" s="9">
        <v>2021</v>
      </c>
      <c r="D359" s="9" t="s">
        <v>21</v>
      </c>
      <c r="E359" t="s">
        <v>180</v>
      </c>
      <c r="F359" s="9"/>
      <c r="G359" t="s">
        <v>181</v>
      </c>
      <c r="H359">
        <v>2.5</v>
      </c>
      <c r="I359" t="s">
        <v>365</v>
      </c>
    </row>
    <row r="360" spans="2:9">
      <c r="B360" s="12" t="s">
        <v>11</v>
      </c>
      <c r="C360" s="9">
        <v>2021</v>
      </c>
      <c r="D360" s="9" t="s">
        <v>21</v>
      </c>
      <c r="E360" t="s">
        <v>180</v>
      </c>
      <c r="F360" s="9"/>
      <c r="G360" t="s">
        <v>181</v>
      </c>
      <c r="H360">
        <v>1</v>
      </c>
      <c r="I360" t="s">
        <v>366</v>
      </c>
    </row>
    <row r="361" spans="2:9">
      <c r="B361" s="12" t="s">
        <v>11</v>
      </c>
      <c r="C361" s="35">
        <v>2021</v>
      </c>
      <c r="D361" s="35" t="s">
        <v>21</v>
      </c>
      <c r="E361" t="s">
        <v>197</v>
      </c>
      <c r="F361" s="35"/>
      <c r="G361" t="s">
        <v>181</v>
      </c>
      <c r="H361">
        <v>1.4</v>
      </c>
      <c r="I361" t="s">
        <v>367</v>
      </c>
    </row>
    <row r="362" spans="2:9">
      <c r="B362" s="12" t="s">
        <v>11</v>
      </c>
      <c r="C362" s="9">
        <v>2021</v>
      </c>
      <c r="D362" s="9" t="s">
        <v>21</v>
      </c>
      <c r="E362" t="s">
        <v>191</v>
      </c>
      <c r="F362" s="9"/>
      <c r="G362" t="s">
        <v>208</v>
      </c>
      <c r="H362">
        <v>1</v>
      </c>
      <c r="I362" t="s">
        <v>368</v>
      </c>
    </row>
    <row r="363" spans="2:9">
      <c r="B363" s="12" t="s">
        <v>11</v>
      </c>
      <c r="C363" s="9">
        <v>2021</v>
      </c>
      <c r="D363" s="9" t="s">
        <v>21</v>
      </c>
      <c r="E363" t="s">
        <v>188</v>
      </c>
      <c r="F363" s="9"/>
      <c r="G363" t="s">
        <v>208</v>
      </c>
      <c r="H363">
        <v>6.75</v>
      </c>
      <c r="I363" t="s">
        <v>369</v>
      </c>
    </row>
    <row r="364" spans="2:9">
      <c r="B364" s="12" t="s">
        <v>11</v>
      </c>
      <c r="C364" s="9">
        <v>2021</v>
      </c>
      <c r="D364" s="9" t="s">
        <v>21</v>
      </c>
      <c r="E364" t="s">
        <v>188</v>
      </c>
      <c r="F364" s="9"/>
      <c r="G364" t="s">
        <v>208</v>
      </c>
      <c r="H364">
        <v>9</v>
      </c>
      <c r="I364" t="s">
        <v>370</v>
      </c>
    </row>
    <row r="365" spans="2:9">
      <c r="B365" s="12" t="s">
        <v>11</v>
      </c>
      <c r="C365" s="9">
        <v>2021</v>
      </c>
      <c r="D365" s="9" t="s">
        <v>21</v>
      </c>
      <c r="E365" t="s">
        <v>193</v>
      </c>
      <c r="F365" s="9"/>
      <c r="G365" t="s">
        <v>208</v>
      </c>
      <c r="H365">
        <v>0.9</v>
      </c>
      <c r="I365" t="s">
        <v>371</v>
      </c>
    </row>
    <row r="366" spans="2:9">
      <c r="B366" s="12" t="s">
        <v>11</v>
      </c>
      <c r="C366" s="35">
        <v>2021</v>
      </c>
      <c r="D366" s="35" t="s">
        <v>21</v>
      </c>
      <c r="E366" t="s">
        <v>180</v>
      </c>
      <c r="F366" s="35"/>
      <c r="G366" t="s">
        <v>208</v>
      </c>
      <c r="H366">
        <v>5.95</v>
      </c>
      <c r="I366" t="s">
        <v>372</v>
      </c>
    </row>
    <row r="367" spans="2:9">
      <c r="B367" s="12" t="s">
        <v>11</v>
      </c>
      <c r="C367" s="35">
        <v>2021</v>
      </c>
      <c r="D367" s="35" t="s">
        <v>27</v>
      </c>
      <c r="E367" t="s">
        <v>180</v>
      </c>
      <c r="F367" s="35"/>
      <c r="G367" t="s">
        <v>181</v>
      </c>
      <c r="H367">
        <v>6</v>
      </c>
      <c r="I367" t="s">
        <v>273</v>
      </c>
    </row>
    <row r="368" spans="2:9">
      <c r="B368" s="12" t="s">
        <v>11</v>
      </c>
      <c r="C368" s="9">
        <v>2021</v>
      </c>
      <c r="D368" s="9" t="s">
        <v>27</v>
      </c>
      <c r="E368" t="s">
        <v>184</v>
      </c>
      <c r="F368" s="9"/>
      <c r="G368" t="s">
        <v>181</v>
      </c>
      <c r="H368">
        <v>2</v>
      </c>
      <c r="I368" t="s">
        <v>185</v>
      </c>
    </row>
    <row r="369" spans="2:9">
      <c r="B369" s="12" t="s">
        <v>11</v>
      </c>
      <c r="C369" s="9">
        <v>2021</v>
      </c>
      <c r="D369" s="9" t="s">
        <v>27</v>
      </c>
      <c r="E369" t="s">
        <v>180</v>
      </c>
      <c r="F369" s="9"/>
      <c r="G369" t="s">
        <v>181</v>
      </c>
      <c r="H369">
        <v>2</v>
      </c>
      <c r="I369" t="s">
        <v>183</v>
      </c>
    </row>
    <row r="370" spans="2:9">
      <c r="B370" s="12" t="s">
        <v>11</v>
      </c>
      <c r="C370" s="9">
        <v>2021</v>
      </c>
      <c r="D370" s="9" t="s">
        <v>27</v>
      </c>
      <c r="E370" t="s">
        <v>180</v>
      </c>
      <c r="F370" s="9"/>
      <c r="G370" t="s">
        <v>181</v>
      </c>
      <c r="H370">
        <v>1</v>
      </c>
      <c r="I370" t="s">
        <v>373</v>
      </c>
    </row>
    <row r="371" spans="2:9">
      <c r="B371" s="12" t="s">
        <v>11</v>
      </c>
      <c r="C371" s="9">
        <v>2021</v>
      </c>
      <c r="D371" s="9" t="s">
        <v>27</v>
      </c>
      <c r="E371" t="s">
        <v>180</v>
      </c>
      <c r="F371" s="9"/>
      <c r="G371" t="s">
        <v>181</v>
      </c>
      <c r="H371">
        <v>1</v>
      </c>
      <c r="I371" t="s">
        <v>374</v>
      </c>
    </row>
    <row r="372" spans="2:9">
      <c r="B372" s="12" t="s">
        <v>11</v>
      </c>
      <c r="C372" s="9">
        <v>2021</v>
      </c>
      <c r="D372" s="9" t="s">
        <v>27</v>
      </c>
      <c r="E372" t="s">
        <v>180</v>
      </c>
      <c r="F372" s="9"/>
      <c r="G372" t="s">
        <v>181</v>
      </c>
      <c r="H372">
        <v>1</v>
      </c>
      <c r="I372" t="s">
        <v>375</v>
      </c>
    </row>
    <row r="373" spans="2:9">
      <c r="B373" s="12" t="s">
        <v>11</v>
      </c>
      <c r="C373" s="9">
        <v>2021</v>
      </c>
      <c r="D373" s="9" t="s">
        <v>27</v>
      </c>
      <c r="E373" t="s">
        <v>188</v>
      </c>
      <c r="F373" s="9"/>
      <c r="G373" t="s">
        <v>181</v>
      </c>
      <c r="H373">
        <v>2</v>
      </c>
      <c r="I373" t="s">
        <v>376</v>
      </c>
    </row>
    <row r="374" spans="2:9">
      <c r="B374" s="12" t="s">
        <v>11</v>
      </c>
      <c r="C374" s="9">
        <v>2021</v>
      </c>
      <c r="D374" s="9" t="s">
        <v>27</v>
      </c>
      <c r="E374" t="s">
        <v>180</v>
      </c>
      <c r="F374" s="9"/>
      <c r="G374" t="s">
        <v>181</v>
      </c>
      <c r="H374">
        <v>2</v>
      </c>
      <c r="I374" t="s">
        <v>377</v>
      </c>
    </row>
    <row r="375" spans="2:9">
      <c r="B375" s="12" t="s">
        <v>11</v>
      </c>
      <c r="C375" s="9">
        <v>2021</v>
      </c>
      <c r="D375" s="9" t="s">
        <v>27</v>
      </c>
      <c r="E375" t="s">
        <v>200</v>
      </c>
      <c r="F375" s="9"/>
      <c r="G375" t="s">
        <v>181</v>
      </c>
      <c r="H375">
        <v>1</v>
      </c>
      <c r="I375" t="s">
        <v>378</v>
      </c>
    </row>
    <row r="376" spans="2:9">
      <c r="B376" s="12" t="s">
        <v>11</v>
      </c>
      <c r="C376" s="9">
        <v>2021</v>
      </c>
      <c r="D376" s="9" t="s">
        <v>27</v>
      </c>
      <c r="E376" t="s">
        <v>180</v>
      </c>
      <c r="F376" s="9"/>
      <c r="G376" t="s">
        <v>181</v>
      </c>
      <c r="H376">
        <v>1</v>
      </c>
      <c r="I376" t="s">
        <v>379</v>
      </c>
    </row>
    <row r="377" spans="2:9">
      <c r="B377" s="12" t="s">
        <v>11</v>
      </c>
      <c r="C377" s="9">
        <v>2021</v>
      </c>
      <c r="D377" s="9" t="s">
        <v>27</v>
      </c>
      <c r="E377" t="s">
        <v>180</v>
      </c>
      <c r="F377" s="9"/>
      <c r="G377" t="s">
        <v>181</v>
      </c>
      <c r="H377">
        <v>1</v>
      </c>
      <c r="I377" t="s">
        <v>380</v>
      </c>
    </row>
    <row r="378" spans="2:9">
      <c r="B378" s="12" t="s">
        <v>11</v>
      </c>
      <c r="C378" s="9">
        <v>2021</v>
      </c>
      <c r="D378" s="9" t="s">
        <v>27</v>
      </c>
      <c r="E378" t="s">
        <v>203</v>
      </c>
      <c r="F378" s="9"/>
      <c r="G378" t="s">
        <v>181</v>
      </c>
      <c r="H378">
        <v>1</v>
      </c>
      <c r="I378" t="s">
        <v>381</v>
      </c>
    </row>
    <row r="379" spans="2:9">
      <c r="B379" s="12" t="s">
        <v>11</v>
      </c>
      <c r="C379" s="9">
        <v>2021</v>
      </c>
      <c r="D379" s="9" t="s">
        <v>27</v>
      </c>
      <c r="E379" t="s">
        <v>197</v>
      </c>
      <c r="F379" s="9"/>
      <c r="G379" t="s">
        <v>181</v>
      </c>
      <c r="H379">
        <v>0.25</v>
      </c>
      <c r="I379" t="s">
        <v>382</v>
      </c>
    </row>
    <row r="380" spans="2:9">
      <c r="B380" s="12" t="s">
        <v>11</v>
      </c>
      <c r="C380" s="9">
        <v>2021</v>
      </c>
      <c r="D380" s="9" t="s">
        <v>27</v>
      </c>
      <c r="E380" t="s">
        <v>199</v>
      </c>
      <c r="F380" s="9"/>
      <c r="G380" t="s">
        <v>181</v>
      </c>
      <c r="H380">
        <v>0.25</v>
      </c>
      <c r="I380" t="s">
        <v>382</v>
      </c>
    </row>
    <row r="381" spans="2:9">
      <c r="B381" s="12" t="s">
        <v>11</v>
      </c>
      <c r="C381" s="9">
        <v>2021</v>
      </c>
      <c r="D381" s="9" t="s">
        <v>27</v>
      </c>
      <c r="E381" t="s">
        <v>203</v>
      </c>
      <c r="F381" s="9"/>
      <c r="G381" t="s">
        <v>181</v>
      </c>
      <c r="H381">
        <v>3</v>
      </c>
      <c r="I381" t="s">
        <v>383</v>
      </c>
    </row>
    <row r="382" spans="2:9">
      <c r="B382" s="12" t="s">
        <v>11</v>
      </c>
      <c r="C382" s="9">
        <v>2021</v>
      </c>
      <c r="D382" s="9" t="s">
        <v>27</v>
      </c>
      <c r="E382" t="s">
        <v>199</v>
      </c>
      <c r="F382" s="9"/>
      <c r="G382" t="s">
        <v>181</v>
      </c>
      <c r="H382">
        <v>0.75</v>
      </c>
      <c r="I382" t="s">
        <v>367</v>
      </c>
    </row>
    <row r="383" spans="2:9">
      <c r="B383" s="12" t="s">
        <v>11</v>
      </c>
      <c r="C383" s="9">
        <v>2021</v>
      </c>
      <c r="D383" s="9" t="s">
        <v>27</v>
      </c>
      <c r="E383" t="s">
        <v>197</v>
      </c>
      <c r="F383" s="9"/>
      <c r="G383" t="s">
        <v>181</v>
      </c>
      <c r="H383">
        <v>0.75</v>
      </c>
      <c r="I383" t="s">
        <v>367</v>
      </c>
    </row>
    <row r="384" spans="2:9">
      <c r="B384" s="12" t="s">
        <v>11</v>
      </c>
      <c r="C384" s="35">
        <v>2021</v>
      </c>
      <c r="D384" s="35" t="s">
        <v>27</v>
      </c>
      <c r="E384" t="s">
        <v>180</v>
      </c>
      <c r="F384" s="35"/>
      <c r="G384" t="s">
        <v>181</v>
      </c>
      <c r="H384">
        <v>72</v>
      </c>
      <c r="I384" t="s">
        <v>384</v>
      </c>
    </row>
    <row r="385" spans="2:9">
      <c r="B385" s="12" t="s">
        <v>11</v>
      </c>
      <c r="C385" s="9">
        <v>2021</v>
      </c>
      <c r="D385" s="9" t="s">
        <v>27</v>
      </c>
      <c r="E385" t="s">
        <v>197</v>
      </c>
      <c r="F385" s="9"/>
      <c r="G385" t="s">
        <v>208</v>
      </c>
      <c r="H385">
        <v>0.5</v>
      </c>
      <c r="I385" t="s">
        <v>385</v>
      </c>
    </row>
    <row r="386" spans="2:9">
      <c r="B386" s="12" t="s">
        <v>11</v>
      </c>
      <c r="C386" s="9">
        <v>2021</v>
      </c>
      <c r="D386" s="9" t="s">
        <v>27</v>
      </c>
      <c r="E386" t="s">
        <v>188</v>
      </c>
      <c r="F386" s="9"/>
      <c r="G386" t="s">
        <v>208</v>
      </c>
      <c r="H386">
        <v>1.4</v>
      </c>
      <c r="I386" t="s">
        <v>386</v>
      </c>
    </row>
    <row r="387" spans="2:9">
      <c r="B387" s="12" t="s">
        <v>11</v>
      </c>
      <c r="C387" s="9">
        <v>2021</v>
      </c>
      <c r="D387" s="9" t="s">
        <v>27</v>
      </c>
      <c r="E387" t="s">
        <v>188</v>
      </c>
      <c r="F387" s="9"/>
      <c r="G387" t="s">
        <v>208</v>
      </c>
      <c r="H387">
        <v>0.4</v>
      </c>
      <c r="I387" t="s">
        <v>387</v>
      </c>
    </row>
    <row r="388" spans="2:9">
      <c r="B388" s="12" t="s">
        <v>11</v>
      </c>
      <c r="C388" s="9">
        <v>2021</v>
      </c>
      <c r="D388" s="9" t="s">
        <v>27</v>
      </c>
      <c r="E388" t="s">
        <v>197</v>
      </c>
      <c r="F388" s="9"/>
      <c r="G388" t="s">
        <v>208</v>
      </c>
      <c r="H388">
        <v>1.25</v>
      </c>
      <c r="I388" t="s">
        <v>388</v>
      </c>
    </row>
    <row r="389" spans="2:9">
      <c r="B389" s="12" t="s">
        <v>11</v>
      </c>
      <c r="C389" s="35">
        <v>2021</v>
      </c>
      <c r="D389" s="35" t="s">
        <v>27</v>
      </c>
      <c r="E389" t="s">
        <v>188</v>
      </c>
      <c r="F389" s="35"/>
      <c r="G389" t="s">
        <v>208</v>
      </c>
      <c r="H389">
        <v>1</v>
      </c>
      <c r="I389" t="s">
        <v>389</v>
      </c>
    </row>
    <row r="390" spans="2:9">
      <c r="B390" s="12" t="s">
        <v>11</v>
      </c>
      <c r="C390" s="9">
        <v>2021</v>
      </c>
      <c r="D390" s="9" t="s">
        <v>28</v>
      </c>
      <c r="E390" t="s">
        <v>184</v>
      </c>
      <c r="F390" s="9"/>
      <c r="G390" t="s">
        <v>181</v>
      </c>
      <c r="H390">
        <v>6</v>
      </c>
      <c r="I390" t="s">
        <v>390</v>
      </c>
    </row>
    <row r="391" spans="2:9">
      <c r="B391" s="12" t="s">
        <v>11</v>
      </c>
      <c r="C391" s="9">
        <v>2021</v>
      </c>
      <c r="D391" s="9" t="s">
        <v>28</v>
      </c>
      <c r="E391" t="s">
        <v>324</v>
      </c>
      <c r="F391" s="9"/>
      <c r="G391" t="s">
        <v>181</v>
      </c>
      <c r="H391">
        <v>2</v>
      </c>
      <c r="I391" t="s">
        <v>390</v>
      </c>
    </row>
    <row r="392" spans="2:9">
      <c r="B392" s="12" t="s">
        <v>11</v>
      </c>
      <c r="C392" s="9">
        <v>2021</v>
      </c>
      <c r="D392" s="9" t="s">
        <v>28</v>
      </c>
      <c r="E392" t="s">
        <v>180</v>
      </c>
      <c r="F392" s="9"/>
      <c r="G392" t="s">
        <v>181</v>
      </c>
      <c r="H392">
        <v>3</v>
      </c>
      <c r="I392" t="s">
        <v>391</v>
      </c>
    </row>
    <row r="393" spans="2:9">
      <c r="B393" s="12" t="s">
        <v>11</v>
      </c>
      <c r="C393" s="9">
        <v>2021</v>
      </c>
      <c r="D393" s="9" t="s">
        <v>28</v>
      </c>
      <c r="E393" t="s">
        <v>180</v>
      </c>
      <c r="F393" s="9"/>
      <c r="G393" t="s">
        <v>181</v>
      </c>
      <c r="H393">
        <v>4</v>
      </c>
      <c r="I393" t="s">
        <v>392</v>
      </c>
    </row>
    <row r="394" spans="2:9">
      <c r="B394" s="12" t="s">
        <v>11</v>
      </c>
      <c r="C394" s="9">
        <v>2021</v>
      </c>
      <c r="D394" s="9" t="s">
        <v>28</v>
      </c>
      <c r="E394" t="s">
        <v>199</v>
      </c>
      <c r="F394" s="9"/>
      <c r="G394" t="s">
        <v>181</v>
      </c>
      <c r="H394">
        <v>8</v>
      </c>
      <c r="I394" t="s">
        <v>393</v>
      </c>
    </row>
    <row r="395" spans="2:9">
      <c r="B395" s="12" t="s">
        <v>11</v>
      </c>
      <c r="C395" s="9">
        <v>2021</v>
      </c>
      <c r="D395" s="9" t="s">
        <v>28</v>
      </c>
      <c r="E395" t="s">
        <v>394</v>
      </c>
      <c r="F395" s="9"/>
      <c r="G395" t="s">
        <v>181</v>
      </c>
      <c r="H395">
        <v>1</v>
      </c>
      <c r="I395" t="s">
        <v>390</v>
      </c>
    </row>
    <row r="396" spans="2:9">
      <c r="B396" s="12" t="s">
        <v>11</v>
      </c>
      <c r="C396" s="9">
        <v>2021</v>
      </c>
      <c r="D396" s="9" t="s">
        <v>28</v>
      </c>
      <c r="E396" t="s">
        <v>203</v>
      </c>
      <c r="F396" s="9"/>
      <c r="G396" t="s">
        <v>181</v>
      </c>
      <c r="H396">
        <v>2</v>
      </c>
      <c r="I396" t="s">
        <v>395</v>
      </c>
    </row>
    <row r="397" spans="2:9">
      <c r="B397" s="12" t="s">
        <v>11</v>
      </c>
      <c r="C397" s="9">
        <v>2021</v>
      </c>
      <c r="D397" s="9" t="s">
        <v>28</v>
      </c>
      <c r="E397" t="s">
        <v>203</v>
      </c>
      <c r="F397" s="9"/>
      <c r="G397" t="s">
        <v>181</v>
      </c>
      <c r="H397">
        <v>2</v>
      </c>
      <c r="I397" t="s">
        <v>396</v>
      </c>
    </row>
    <row r="398" spans="2:9">
      <c r="B398" s="12" t="s">
        <v>11</v>
      </c>
      <c r="C398" s="9">
        <v>2021</v>
      </c>
      <c r="D398" s="9" t="s">
        <v>28</v>
      </c>
      <c r="E398" t="s">
        <v>199</v>
      </c>
      <c r="F398" s="9"/>
      <c r="G398" t="s">
        <v>181</v>
      </c>
      <c r="H398">
        <v>12</v>
      </c>
    </row>
    <row r="399" spans="2:9">
      <c r="B399" s="12" t="s">
        <v>11</v>
      </c>
      <c r="C399" s="9">
        <v>2021</v>
      </c>
      <c r="D399" s="9" t="s">
        <v>28</v>
      </c>
      <c r="E399" t="s">
        <v>199</v>
      </c>
      <c r="F399" s="9"/>
      <c r="G399" t="s">
        <v>181</v>
      </c>
      <c r="H399">
        <v>6</v>
      </c>
      <c r="I399" t="s">
        <v>397</v>
      </c>
    </row>
    <row r="400" spans="2:9">
      <c r="B400" s="12" t="s">
        <v>11</v>
      </c>
      <c r="C400" s="9">
        <v>2021</v>
      </c>
      <c r="D400" s="9" t="s">
        <v>28</v>
      </c>
      <c r="E400" t="s">
        <v>199</v>
      </c>
      <c r="F400" s="9"/>
      <c r="G400" t="s">
        <v>181</v>
      </c>
      <c r="H400">
        <v>10</v>
      </c>
      <c r="I400" t="s">
        <v>398</v>
      </c>
    </row>
    <row r="401" spans="2:9">
      <c r="B401" s="12" t="s">
        <v>11</v>
      </c>
      <c r="C401" s="9">
        <v>2021</v>
      </c>
      <c r="D401" s="9" t="s">
        <v>28</v>
      </c>
      <c r="E401" t="s">
        <v>199</v>
      </c>
      <c r="F401" s="9"/>
      <c r="G401" t="s">
        <v>181</v>
      </c>
      <c r="H401">
        <v>2</v>
      </c>
      <c r="I401" t="s">
        <v>399</v>
      </c>
    </row>
    <row r="402" spans="2:9">
      <c r="B402" s="12" t="s">
        <v>11</v>
      </c>
      <c r="C402" s="9">
        <v>2021</v>
      </c>
      <c r="D402" s="9" t="s">
        <v>28</v>
      </c>
      <c r="E402" t="s">
        <v>199</v>
      </c>
      <c r="F402" s="9"/>
      <c r="G402" t="s">
        <v>181</v>
      </c>
      <c r="H402">
        <v>8</v>
      </c>
      <c r="I402" t="s">
        <v>400</v>
      </c>
    </row>
    <row r="403" spans="2:9">
      <c r="B403" s="12" t="s">
        <v>11</v>
      </c>
      <c r="C403" s="9">
        <v>2021</v>
      </c>
      <c r="D403" s="9" t="s">
        <v>28</v>
      </c>
      <c r="E403" t="s">
        <v>199</v>
      </c>
      <c r="F403" s="9"/>
      <c r="G403" t="s">
        <v>181</v>
      </c>
      <c r="H403">
        <v>2</v>
      </c>
      <c r="I403" t="s">
        <v>401</v>
      </c>
    </row>
    <row r="404" spans="2:9">
      <c r="B404" s="12" t="s">
        <v>11</v>
      </c>
      <c r="C404" s="9">
        <v>2021</v>
      </c>
      <c r="D404" s="9" t="s">
        <v>28</v>
      </c>
      <c r="E404" t="s">
        <v>180</v>
      </c>
      <c r="F404" s="9"/>
      <c r="G404" t="s">
        <v>181</v>
      </c>
      <c r="H404">
        <v>4</v>
      </c>
      <c r="I404" t="s">
        <v>402</v>
      </c>
    </row>
    <row r="405" spans="2:9">
      <c r="B405" s="12" t="s">
        <v>11</v>
      </c>
      <c r="C405" s="9">
        <v>2021</v>
      </c>
      <c r="D405" s="9" t="s">
        <v>28</v>
      </c>
      <c r="E405" t="s">
        <v>180</v>
      </c>
      <c r="F405" s="9"/>
      <c r="G405" t="s">
        <v>181</v>
      </c>
      <c r="H405">
        <v>7</v>
      </c>
      <c r="I405" t="s">
        <v>403</v>
      </c>
    </row>
    <row r="406" spans="2:9">
      <c r="B406" s="12" t="s">
        <v>11</v>
      </c>
      <c r="C406" s="9">
        <v>2021</v>
      </c>
      <c r="D406" s="9" t="s">
        <v>28</v>
      </c>
      <c r="E406" t="s">
        <v>203</v>
      </c>
      <c r="F406" s="9"/>
      <c r="G406" t="s">
        <v>181</v>
      </c>
      <c r="H406">
        <v>3.25</v>
      </c>
      <c r="I406" t="s">
        <v>396</v>
      </c>
    </row>
    <row r="407" spans="2:9">
      <c r="B407" s="12" t="s">
        <v>11</v>
      </c>
      <c r="C407" s="9">
        <v>2021</v>
      </c>
      <c r="D407" s="9" t="s">
        <v>28</v>
      </c>
      <c r="E407" t="s">
        <v>197</v>
      </c>
      <c r="F407" s="9"/>
      <c r="G407" t="s">
        <v>181</v>
      </c>
      <c r="H407">
        <v>4.5</v>
      </c>
      <c r="I407" t="s">
        <v>390</v>
      </c>
    </row>
    <row r="408" spans="2:9">
      <c r="B408" s="12" t="s">
        <v>11</v>
      </c>
      <c r="C408" s="9">
        <v>2021</v>
      </c>
      <c r="D408" s="9" t="s">
        <v>28</v>
      </c>
      <c r="E408" t="s">
        <v>191</v>
      </c>
      <c r="F408" s="9"/>
      <c r="G408" t="s">
        <v>181</v>
      </c>
      <c r="H408">
        <v>6</v>
      </c>
      <c r="I408" t="s">
        <v>404</v>
      </c>
    </row>
    <row r="409" spans="2:9">
      <c r="B409" s="12" t="s">
        <v>11</v>
      </c>
      <c r="C409" s="9">
        <v>2021</v>
      </c>
      <c r="D409" s="9" t="s">
        <v>28</v>
      </c>
      <c r="E409" t="s">
        <v>317</v>
      </c>
      <c r="F409" s="9"/>
      <c r="G409" t="s">
        <v>181</v>
      </c>
      <c r="H409">
        <v>8</v>
      </c>
      <c r="I409" t="s">
        <v>390</v>
      </c>
    </row>
    <row r="410" spans="2:9">
      <c r="B410" s="12" t="s">
        <v>11</v>
      </c>
      <c r="C410" s="9">
        <v>2021</v>
      </c>
      <c r="D410" s="9" t="s">
        <v>28</v>
      </c>
      <c r="E410" t="s">
        <v>199</v>
      </c>
      <c r="F410" s="9"/>
      <c r="G410" t="s">
        <v>181</v>
      </c>
      <c r="H410">
        <v>7</v>
      </c>
      <c r="I410" t="s">
        <v>405</v>
      </c>
    </row>
    <row r="411" spans="2:9">
      <c r="B411" s="12" t="s">
        <v>11</v>
      </c>
      <c r="C411" s="9">
        <v>2021</v>
      </c>
      <c r="D411" s="9" t="s">
        <v>28</v>
      </c>
      <c r="E411" t="s">
        <v>191</v>
      </c>
      <c r="F411" s="9"/>
      <c r="G411" t="s">
        <v>181</v>
      </c>
      <c r="H411">
        <v>8</v>
      </c>
      <c r="I411" t="s">
        <v>406</v>
      </c>
    </row>
    <row r="412" spans="2:9">
      <c r="B412" s="12" t="s">
        <v>11</v>
      </c>
      <c r="C412" s="9">
        <v>2021</v>
      </c>
      <c r="D412" s="9" t="s">
        <v>28</v>
      </c>
      <c r="E412" t="s">
        <v>188</v>
      </c>
      <c r="F412" s="9"/>
      <c r="G412" t="s">
        <v>181</v>
      </c>
      <c r="H412">
        <v>16</v>
      </c>
      <c r="I412" t="s">
        <v>407</v>
      </c>
    </row>
    <row r="413" spans="2:9">
      <c r="B413" s="12" t="s">
        <v>11</v>
      </c>
      <c r="C413" s="9">
        <v>2021</v>
      </c>
      <c r="D413" s="9" t="s">
        <v>28</v>
      </c>
      <c r="E413" t="s">
        <v>188</v>
      </c>
      <c r="F413" s="9"/>
      <c r="G413" t="s">
        <v>181</v>
      </c>
      <c r="H413">
        <v>16</v>
      </c>
      <c r="I413" t="s">
        <v>408</v>
      </c>
    </row>
    <row r="414" spans="2:9">
      <c r="B414" s="12" t="s">
        <v>11</v>
      </c>
      <c r="C414" s="9">
        <v>2021</v>
      </c>
      <c r="D414" s="9" t="s">
        <v>28</v>
      </c>
      <c r="E414" t="s">
        <v>200</v>
      </c>
      <c r="F414" s="9"/>
      <c r="G414" t="s">
        <v>181</v>
      </c>
      <c r="H414">
        <v>11</v>
      </c>
      <c r="I414" t="s">
        <v>409</v>
      </c>
    </row>
    <row r="415" spans="2:9">
      <c r="B415" s="12" t="s">
        <v>11</v>
      </c>
      <c r="C415" s="9">
        <v>2021</v>
      </c>
      <c r="D415" s="9" t="s">
        <v>28</v>
      </c>
      <c r="E415" t="s">
        <v>193</v>
      </c>
      <c r="F415" s="9"/>
      <c r="G415" t="s">
        <v>181</v>
      </c>
      <c r="H415">
        <v>16</v>
      </c>
      <c r="I415" t="s">
        <v>410</v>
      </c>
    </row>
    <row r="416" spans="2:9">
      <c r="B416" s="12" t="s">
        <v>11</v>
      </c>
      <c r="C416" s="9">
        <v>2021</v>
      </c>
      <c r="D416" s="9" t="s">
        <v>28</v>
      </c>
      <c r="E416" t="s">
        <v>180</v>
      </c>
      <c r="F416" s="9"/>
      <c r="G416" t="s">
        <v>181</v>
      </c>
      <c r="H416">
        <v>10</v>
      </c>
      <c r="I416" t="s">
        <v>411</v>
      </c>
    </row>
    <row r="417" spans="2:9">
      <c r="B417" s="12" t="s">
        <v>11</v>
      </c>
      <c r="C417" s="9">
        <v>2021</v>
      </c>
      <c r="D417" s="9" t="s">
        <v>28</v>
      </c>
      <c r="E417" t="s">
        <v>193</v>
      </c>
      <c r="F417" s="9"/>
      <c r="G417" t="s">
        <v>181</v>
      </c>
      <c r="H417">
        <v>6</v>
      </c>
      <c r="I417" t="s">
        <v>412</v>
      </c>
    </row>
    <row r="418" spans="2:9">
      <c r="B418" s="12" t="s">
        <v>11</v>
      </c>
      <c r="C418" s="9">
        <v>2021</v>
      </c>
      <c r="D418" s="9" t="s">
        <v>28</v>
      </c>
      <c r="E418" t="s">
        <v>413</v>
      </c>
      <c r="F418" s="9"/>
      <c r="G418" t="s">
        <v>181</v>
      </c>
      <c r="H418">
        <v>2</v>
      </c>
      <c r="I418" t="s">
        <v>414</v>
      </c>
    </row>
    <row r="419" spans="2:9">
      <c r="B419" s="12" t="s">
        <v>11</v>
      </c>
      <c r="C419" s="9">
        <v>2021</v>
      </c>
      <c r="D419" s="9" t="s">
        <v>28</v>
      </c>
      <c r="E419" t="s">
        <v>193</v>
      </c>
      <c r="F419" s="9"/>
      <c r="G419" t="s">
        <v>181</v>
      </c>
      <c r="H419">
        <v>6</v>
      </c>
      <c r="I419" t="s">
        <v>415</v>
      </c>
    </row>
    <row r="420" spans="2:9">
      <c r="B420" s="12" t="s">
        <v>11</v>
      </c>
      <c r="C420" s="9">
        <v>2021</v>
      </c>
      <c r="D420" s="9" t="s">
        <v>28</v>
      </c>
      <c r="E420" t="s">
        <v>180</v>
      </c>
      <c r="F420" s="9"/>
      <c r="G420" t="s">
        <v>181</v>
      </c>
      <c r="H420">
        <v>8</v>
      </c>
    </row>
    <row r="421" spans="2:9">
      <c r="B421" s="12" t="s">
        <v>11</v>
      </c>
      <c r="C421" s="35">
        <v>2021</v>
      </c>
      <c r="D421" s="35" t="s">
        <v>28</v>
      </c>
      <c r="E421" t="s">
        <v>180</v>
      </c>
      <c r="F421" s="35"/>
      <c r="G421" t="s">
        <v>181</v>
      </c>
      <c r="H421">
        <v>8</v>
      </c>
      <c r="I421" t="s">
        <v>416</v>
      </c>
    </row>
    <row r="422" spans="2:9">
      <c r="B422" s="12" t="s">
        <v>11</v>
      </c>
      <c r="C422" s="9">
        <v>2021</v>
      </c>
      <c r="D422" s="9" t="s">
        <v>31</v>
      </c>
      <c r="E422" t="s">
        <v>180</v>
      </c>
      <c r="F422" s="9"/>
      <c r="G422" t="s">
        <v>181</v>
      </c>
      <c r="H422">
        <v>7.5</v>
      </c>
      <c r="I422" t="s">
        <v>214</v>
      </c>
    </row>
    <row r="423" spans="2:9">
      <c r="B423" s="12" t="s">
        <v>11</v>
      </c>
      <c r="C423" s="9">
        <v>2021</v>
      </c>
      <c r="D423" s="9" t="s">
        <v>31</v>
      </c>
      <c r="E423" t="s">
        <v>184</v>
      </c>
      <c r="F423" s="9"/>
      <c r="G423" t="s">
        <v>181</v>
      </c>
      <c r="H423">
        <v>2.5</v>
      </c>
      <c r="I423" t="s">
        <v>185</v>
      </c>
    </row>
    <row r="424" spans="2:9">
      <c r="B424" s="12" t="s">
        <v>11</v>
      </c>
      <c r="C424" s="9">
        <v>2021</v>
      </c>
      <c r="D424" s="9" t="s">
        <v>31</v>
      </c>
      <c r="E424" t="s">
        <v>180</v>
      </c>
      <c r="F424" s="9"/>
      <c r="G424" t="s">
        <v>181</v>
      </c>
      <c r="H424">
        <v>2.5</v>
      </c>
      <c r="I424" t="s">
        <v>358</v>
      </c>
    </row>
    <row r="425" spans="2:9">
      <c r="B425" s="12" t="s">
        <v>11</v>
      </c>
      <c r="C425" s="9">
        <v>2021</v>
      </c>
      <c r="D425" s="9" t="s">
        <v>31</v>
      </c>
      <c r="E425" t="s">
        <v>180</v>
      </c>
      <c r="F425" s="9"/>
      <c r="G425" t="s">
        <v>181</v>
      </c>
      <c r="H425">
        <v>1.25</v>
      </c>
      <c r="I425" t="s">
        <v>417</v>
      </c>
    </row>
    <row r="426" spans="2:9">
      <c r="B426" s="12" t="s">
        <v>11</v>
      </c>
      <c r="C426" s="9">
        <v>2021</v>
      </c>
      <c r="D426" s="9" t="s">
        <v>31</v>
      </c>
      <c r="E426" t="s">
        <v>180</v>
      </c>
      <c r="F426" s="9"/>
      <c r="G426" t="s">
        <v>181</v>
      </c>
      <c r="H426">
        <v>1.25</v>
      </c>
      <c r="I426" t="s">
        <v>418</v>
      </c>
    </row>
    <row r="427" spans="2:9">
      <c r="B427" s="12" t="s">
        <v>11</v>
      </c>
      <c r="C427" s="9">
        <v>2021</v>
      </c>
      <c r="D427" s="9" t="s">
        <v>31</v>
      </c>
      <c r="E427" t="s">
        <v>188</v>
      </c>
      <c r="F427" s="9"/>
      <c r="G427" t="s">
        <v>181</v>
      </c>
      <c r="H427">
        <v>5</v>
      </c>
      <c r="I427" t="s">
        <v>240</v>
      </c>
    </row>
    <row r="428" spans="2:9">
      <c r="B428" s="12" t="s">
        <v>11</v>
      </c>
      <c r="C428" s="9">
        <v>2021</v>
      </c>
      <c r="D428" s="9" t="s">
        <v>31</v>
      </c>
      <c r="E428" t="s">
        <v>180</v>
      </c>
      <c r="F428" s="9"/>
      <c r="G428" t="s">
        <v>181</v>
      </c>
      <c r="H428">
        <v>2.5</v>
      </c>
      <c r="I428" t="s">
        <v>419</v>
      </c>
    </row>
    <row r="429" spans="2:9">
      <c r="B429" s="12" t="s">
        <v>11</v>
      </c>
      <c r="C429" s="9">
        <v>2021</v>
      </c>
      <c r="D429" s="9" t="s">
        <v>31</v>
      </c>
      <c r="E429" t="s">
        <v>197</v>
      </c>
      <c r="F429" s="9"/>
      <c r="G429" t="s">
        <v>181</v>
      </c>
      <c r="H429">
        <v>1</v>
      </c>
      <c r="I429" t="s">
        <v>367</v>
      </c>
    </row>
    <row r="430" spans="2:9">
      <c r="B430" s="12" t="s">
        <v>11</v>
      </c>
      <c r="C430" s="9">
        <v>2021</v>
      </c>
      <c r="D430" s="9" t="s">
        <v>31</v>
      </c>
      <c r="E430" t="s">
        <v>199</v>
      </c>
      <c r="F430" s="9"/>
      <c r="G430" t="s">
        <v>181</v>
      </c>
      <c r="H430">
        <v>1</v>
      </c>
      <c r="I430" t="s">
        <v>367</v>
      </c>
    </row>
    <row r="431" spans="2:9">
      <c r="B431" s="12" t="s">
        <v>11</v>
      </c>
      <c r="C431" s="9">
        <v>2021</v>
      </c>
      <c r="D431" s="9" t="s">
        <v>31</v>
      </c>
      <c r="E431" t="s">
        <v>180</v>
      </c>
      <c r="F431" s="9"/>
      <c r="G431" t="s">
        <v>181</v>
      </c>
      <c r="H431">
        <v>1.25</v>
      </c>
    </row>
    <row r="432" spans="2:9">
      <c r="B432" s="12" t="s">
        <v>11</v>
      </c>
      <c r="C432" s="9">
        <v>2021</v>
      </c>
      <c r="D432" s="9" t="s">
        <v>31</v>
      </c>
      <c r="E432" t="s">
        <v>199</v>
      </c>
      <c r="F432" s="9"/>
      <c r="G432" t="s">
        <v>181</v>
      </c>
      <c r="H432">
        <v>0.25</v>
      </c>
      <c r="I432" t="s">
        <v>420</v>
      </c>
    </row>
    <row r="433" spans="2:9">
      <c r="B433" s="12" t="s">
        <v>11</v>
      </c>
      <c r="C433" s="9">
        <v>2021</v>
      </c>
      <c r="D433" s="9" t="s">
        <v>31</v>
      </c>
      <c r="E433" t="s">
        <v>197</v>
      </c>
      <c r="F433" s="9"/>
      <c r="G433" t="s">
        <v>181</v>
      </c>
      <c r="H433">
        <v>0.25</v>
      </c>
      <c r="I433" t="s">
        <v>420</v>
      </c>
    </row>
    <row r="434" spans="2:9">
      <c r="B434" s="12" t="s">
        <v>11</v>
      </c>
      <c r="C434" s="9">
        <v>2021</v>
      </c>
      <c r="D434" s="9" t="s">
        <v>31</v>
      </c>
      <c r="E434" t="s">
        <v>203</v>
      </c>
      <c r="F434" s="9"/>
      <c r="G434" t="s">
        <v>181</v>
      </c>
      <c r="H434">
        <v>1</v>
      </c>
      <c r="I434" t="s">
        <v>421</v>
      </c>
    </row>
    <row r="435" spans="2:9">
      <c r="B435" s="12" t="s">
        <v>11</v>
      </c>
      <c r="C435" s="9">
        <v>2021</v>
      </c>
      <c r="D435" s="9" t="s">
        <v>31</v>
      </c>
      <c r="E435" t="s">
        <v>180</v>
      </c>
      <c r="F435" s="9"/>
      <c r="G435" t="s">
        <v>181</v>
      </c>
      <c r="H435">
        <v>1</v>
      </c>
      <c r="I435" t="s">
        <v>422</v>
      </c>
    </row>
    <row r="436" spans="2:9">
      <c r="B436" s="12" t="s">
        <v>11</v>
      </c>
      <c r="C436" s="9">
        <v>2021</v>
      </c>
      <c r="D436" s="9" t="s">
        <v>31</v>
      </c>
      <c r="E436" t="s">
        <v>180</v>
      </c>
      <c r="F436" s="9"/>
      <c r="G436" t="s">
        <v>181</v>
      </c>
      <c r="H436">
        <v>1</v>
      </c>
      <c r="I436" t="s">
        <v>423</v>
      </c>
    </row>
    <row r="437" spans="2:9">
      <c r="B437" s="12" t="s">
        <v>11</v>
      </c>
      <c r="C437" s="9">
        <v>2021</v>
      </c>
      <c r="D437" s="9" t="s">
        <v>31</v>
      </c>
      <c r="E437" t="s">
        <v>200</v>
      </c>
      <c r="F437" s="9"/>
      <c r="G437" t="s">
        <v>181</v>
      </c>
      <c r="H437">
        <v>1</v>
      </c>
      <c r="I437" t="s">
        <v>424</v>
      </c>
    </row>
    <row r="438" spans="2:9">
      <c r="B438" s="12" t="s">
        <v>11</v>
      </c>
      <c r="C438" s="35">
        <v>2021</v>
      </c>
      <c r="D438" s="35" t="s">
        <v>31</v>
      </c>
      <c r="E438" t="s">
        <v>199</v>
      </c>
      <c r="F438" s="35"/>
      <c r="G438" t="s">
        <v>181</v>
      </c>
      <c r="H438">
        <v>1</v>
      </c>
      <c r="I438" t="s">
        <v>425</v>
      </c>
    </row>
    <row r="439" spans="2:9">
      <c r="B439" s="12" t="s">
        <v>11</v>
      </c>
      <c r="C439" s="9">
        <v>2021</v>
      </c>
      <c r="D439" s="9" t="s">
        <v>31</v>
      </c>
      <c r="E439" t="s">
        <v>188</v>
      </c>
      <c r="F439" s="9"/>
      <c r="G439" t="s">
        <v>208</v>
      </c>
      <c r="H439">
        <v>0.5</v>
      </c>
      <c r="I439" t="s">
        <v>426</v>
      </c>
    </row>
    <row r="440" spans="2:9">
      <c r="B440" s="12" t="s">
        <v>11</v>
      </c>
      <c r="C440" s="9">
        <v>2021</v>
      </c>
      <c r="D440" s="9" t="s">
        <v>31</v>
      </c>
      <c r="E440" t="s">
        <v>259</v>
      </c>
      <c r="F440" s="9"/>
      <c r="G440" t="s">
        <v>208</v>
      </c>
      <c r="H440">
        <v>3.5</v>
      </c>
      <c r="I440" t="s">
        <v>427</v>
      </c>
    </row>
    <row r="441" spans="2:9">
      <c r="B441" s="12" t="s">
        <v>11</v>
      </c>
      <c r="C441" s="9">
        <v>2021</v>
      </c>
      <c r="D441" s="9" t="s">
        <v>31</v>
      </c>
      <c r="E441" t="s">
        <v>197</v>
      </c>
      <c r="F441" s="9"/>
      <c r="G441" t="s">
        <v>208</v>
      </c>
      <c r="H441">
        <v>3.5</v>
      </c>
      <c r="I441" t="s">
        <v>428</v>
      </c>
    </row>
    <row r="442" spans="2:9">
      <c r="B442" s="12" t="s">
        <v>11</v>
      </c>
      <c r="C442" s="9">
        <v>2021</v>
      </c>
      <c r="D442" s="9" t="s">
        <v>31</v>
      </c>
      <c r="E442" t="s">
        <v>191</v>
      </c>
      <c r="F442" s="9"/>
      <c r="G442" t="s">
        <v>208</v>
      </c>
      <c r="H442">
        <v>0.55000000000000004</v>
      </c>
      <c r="I442" t="s">
        <v>429</v>
      </c>
    </row>
    <row r="443" spans="2:9">
      <c r="B443" s="12" t="s">
        <v>11</v>
      </c>
      <c r="C443" s="9">
        <v>2021</v>
      </c>
      <c r="D443" s="9" t="s">
        <v>31</v>
      </c>
      <c r="E443" t="s">
        <v>199</v>
      </c>
      <c r="F443" s="9"/>
      <c r="G443" t="s">
        <v>208</v>
      </c>
      <c r="H443">
        <v>3.5</v>
      </c>
      <c r="I443" t="s">
        <v>430</v>
      </c>
    </row>
    <row r="444" spans="2:9">
      <c r="B444" s="12" t="s">
        <v>11</v>
      </c>
      <c r="C444" s="9">
        <v>2021</v>
      </c>
      <c r="D444" s="9" t="s">
        <v>31</v>
      </c>
      <c r="E444" t="s">
        <v>259</v>
      </c>
      <c r="F444" s="9"/>
      <c r="G444" t="s">
        <v>208</v>
      </c>
      <c r="H444">
        <v>5.5</v>
      </c>
      <c r="I444" t="s">
        <v>431</v>
      </c>
    </row>
    <row r="445" spans="2:9">
      <c r="B445" s="12" t="s">
        <v>11</v>
      </c>
      <c r="C445" s="9">
        <v>2021</v>
      </c>
      <c r="D445" s="9" t="s">
        <v>31</v>
      </c>
      <c r="E445" t="s">
        <v>197</v>
      </c>
      <c r="F445" s="9"/>
      <c r="G445" t="s">
        <v>208</v>
      </c>
      <c r="H445">
        <v>3.4</v>
      </c>
      <c r="I445" t="s">
        <v>432</v>
      </c>
    </row>
    <row r="446" spans="2:9">
      <c r="B446" s="12" t="s">
        <v>11</v>
      </c>
      <c r="C446" s="9">
        <v>2021</v>
      </c>
      <c r="D446" s="9" t="s">
        <v>31</v>
      </c>
      <c r="E446" t="s">
        <v>188</v>
      </c>
      <c r="F446" s="9"/>
      <c r="G446" t="s">
        <v>208</v>
      </c>
      <c r="H446">
        <v>1</v>
      </c>
      <c r="I446" t="s">
        <v>433</v>
      </c>
    </row>
    <row r="447" spans="2:9">
      <c r="B447" s="12" t="s">
        <v>11</v>
      </c>
      <c r="C447" s="9">
        <v>2021</v>
      </c>
      <c r="D447" s="9" t="s">
        <v>31</v>
      </c>
      <c r="E447" t="s">
        <v>191</v>
      </c>
      <c r="F447" s="9"/>
      <c r="G447" t="s">
        <v>208</v>
      </c>
      <c r="H447">
        <v>0.45</v>
      </c>
      <c r="I447" t="s">
        <v>434</v>
      </c>
    </row>
    <row r="448" spans="2:9">
      <c r="B448" s="12" t="s">
        <v>11</v>
      </c>
      <c r="C448" s="35">
        <v>2021</v>
      </c>
      <c r="D448" s="35" t="s">
        <v>31</v>
      </c>
      <c r="E448" t="s">
        <v>199</v>
      </c>
      <c r="F448" s="35"/>
      <c r="G448" t="s">
        <v>208</v>
      </c>
      <c r="H448">
        <v>2.5</v>
      </c>
      <c r="I448" t="s">
        <v>435</v>
      </c>
    </row>
    <row r="449" spans="2:9">
      <c r="B449" s="12" t="s">
        <v>11</v>
      </c>
      <c r="C449" s="9">
        <v>2021</v>
      </c>
      <c r="D449" s="9" t="s">
        <v>33</v>
      </c>
      <c r="E449" t="s">
        <v>180</v>
      </c>
      <c r="F449" s="9"/>
      <c r="G449" t="s">
        <v>181</v>
      </c>
      <c r="H449">
        <v>6</v>
      </c>
      <c r="I449" t="s">
        <v>436</v>
      </c>
    </row>
    <row r="450" spans="2:9">
      <c r="B450" s="12" t="s">
        <v>11</v>
      </c>
      <c r="C450" s="9">
        <v>2021</v>
      </c>
      <c r="D450" s="9" t="s">
        <v>33</v>
      </c>
      <c r="E450" t="s">
        <v>180</v>
      </c>
      <c r="F450" s="9"/>
      <c r="G450" t="s">
        <v>181</v>
      </c>
      <c r="H450">
        <v>2</v>
      </c>
      <c r="I450" t="s">
        <v>437</v>
      </c>
    </row>
    <row r="451" spans="2:9">
      <c r="B451" s="12" t="s">
        <v>11</v>
      </c>
      <c r="C451" s="9">
        <v>2021</v>
      </c>
      <c r="D451" s="9" t="s">
        <v>33</v>
      </c>
      <c r="E451" t="s">
        <v>184</v>
      </c>
      <c r="F451" s="9"/>
      <c r="G451" t="s">
        <v>181</v>
      </c>
      <c r="H451">
        <v>2</v>
      </c>
      <c r="I451" t="s">
        <v>185</v>
      </c>
    </row>
    <row r="452" spans="2:9">
      <c r="B452" s="12" t="s">
        <v>11</v>
      </c>
      <c r="C452" s="9">
        <v>2021</v>
      </c>
      <c r="D452" s="9" t="s">
        <v>33</v>
      </c>
      <c r="E452" t="s">
        <v>180</v>
      </c>
      <c r="F452" s="9"/>
      <c r="G452" t="s">
        <v>181</v>
      </c>
      <c r="H452">
        <v>1</v>
      </c>
      <c r="I452" t="s">
        <v>438</v>
      </c>
    </row>
    <row r="453" spans="2:9">
      <c r="B453" s="12" t="s">
        <v>11</v>
      </c>
      <c r="C453" s="9">
        <v>2021</v>
      </c>
      <c r="D453" s="9" t="s">
        <v>33</v>
      </c>
      <c r="E453" t="s">
        <v>180</v>
      </c>
      <c r="F453" s="9"/>
      <c r="G453" t="s">
        <v>181</v>
      </c>
      <c r="H453">
        <v>1</v>
      </c>
      <c r="I453" t="s">
        <v>439</v>
      </c>
    </row>
    <row r="454" spans="2:9">
      <c r="B454" s="12" t="s">
        <v>11</v>
      </c>
      <c r="C454" s="9">
        <v>2021</v>
      </c>
      <c r="D454" s="9" t="s">
        <v>33</v>
      </c>
      <c r="E454" t="s">
        <v>188</v>
      </c>
      <c r="F454" s="9"/>
      <c r="G454" t="s">
        <v>181</v>
      </c>
      <c r="H454">
        <v>4</v>
      </c>
      <c r="I454" t="s">
        <v>185</v>
      </c>
    </row>
    <row r="455" spans="2:9">
      <c r="B455" s="12" t="s">
        <v>11</v>
      </c>
      <c r="C455" s="9">
        <v>2021</v>
      </c>
      <c r="D455" s="9" t="s">
        <v>33</v>
      </c>
      <c r="E455" t="s">
        <v>200</v>
      </c>
      <c r="F455" s="9"/>
      <c r="G455" t="s">
        <v>181</v>
      </c>
      <c r="H455">
        <v>1</v>
      </c>
      <c r="I455" t="s">
        <v>440</v>
      </c>
    </row>
    <row r="456" spans="2:9">
      <c r="B456" s="12" t="s">
        <v>11</v>
      </c>
      <c r="C456" s="9">
        <v>2021</v>
      </c>
      <c r="D456" s="9" t="s">
        <v>33</v>
      </c>
      <c r="E456" t="s">
        <v>180</v>
      </c>
      <c r="F456" s="9"/>
      <c r="G456" t="s">
        <v>181</v>
      </c>
      <c r="H456">
        <v>2</v>
      </c>
      <c r="I456" t="s">
        <v>441</v>
      </c>
    </row>
    <row r="457" spans="2:9">
      <c r="B457" s="12" t="s">
        <v>11</v>
      </c>
      <c r="C457" s="9">
        <v>2021</v>
      </c>
      <c r="D457" s="9" t="s">
        <v>33</v>
      </c>
      <c r="E457" t="s">
        <v>180</v>
      </c>
      <c r="F457" s="9"/>
      <c r="G457" t="s">
        <v>181</v>
      </c>
      <c r="H457">
        <v>1</v>
      </c>
      <c r="I457" t="s">
        <v>442</v>
      </c>
    </row>
    <row r="458" spans="2:9">
      <c r="B458" s="12" t="s">
        <v>11</v>
      </c>
      <c r="C458" s="9">
        <v>2021</v>
      </c>
      <c r="D458" s="9" t="s">
        <v>33</v>
      </c>
      <c r="E458" t="s">
        <v>203</v>
      </c>
      <c r="F458" s="9"/>
      <c r="G458" t="s">
        <v>181</v>
      </c>
      <c r="H458">
        <v>1</v>
      </c>
      <c r="I458" t="s">
        <v>443</v>
      </c>
    </row>
    <row r="459" spans="2:9">
      <c r="B459" s="12" t="s">
        <v>11</v>
      </c>
      <c r="C459" s="9">
        <v>2021</v>
      </c>
      <c r="D459" s="9" t="s">
        <v>33</v>
      </c>
      <c r="E459" t="s">
        <v>180</v>
      </c>
      <c r="F459" s="9"/>
      <c r="G459" t="s">
        <v>181</v>
      </c>
      <c r="H459">
        <v>2</v>
      </c>
      <c r="I459" t="s">
        <v>444</v>
      </c>
    </row>
    <row r="460" spans="2:9">
      <c r="B460" s="12" t="s">
        <v>11</v>
      </c>
      <c r="C460" s="35">
        <v>2021</v>
      </c>
      <c r="D460" s="35" t="s">
        <v>33</v>
      </c>
      <c r="E460" t="s">
        <v>203</v>
      </c>
      <c r="F460" s="35"/>
      <c r="G460" t="s">
        <v>181</v>
      </c>
      <c r="H460">
        <v>1</v>
      </c>
      <c r="I460" t="s">
        <v>445</v>
      </c>
    </row>
    <row r="461" spans="2:9">
      <c r="B461" s="12" t="s">
        <v>11</v>
      </c>
      <c r="C461" s="9">
        <v>2021</v>
      </c>
      <c r="D461" s="9" t="s">
        <v>33</v>
      </c>
      <c r="E461" t="s">
        <v>193</v>
      </c>
      <c r="F461" s="9"/>
      <c r="G461" t="s">
        <v>208</v>
      </c>
      <c r="H461">
        <v>1</v>
      </c>
      <c r="I461" t="s">
        <v>446</v>
      </c>
    </row>
    <row r="462" spans="2:9">
      <c r="B462" s="12" t="s">
        <v>11</v>
      </c>
      <c r="C462" s="9">
        <v>2021</v>
      </c>
      <c r="D462" s="9" t="s">
        <v>33</v>
      </c>
      <c r="E462" t="s">
        <v>188</v>
      </c>
      <c r="F462" s="9"/>
      <c r="G462" t="s">
        <v>208</v>
      </c>
      <c r="H462">
        <v>0.9</v>
      </c>
      <c r="I462" t="s">
        <v>447</v>
      </c>
    </row>
    <row r="463" spans="2:9">
      <c r="B463" s="12" t="s">
        <v>11</v>
      </c>
      <c r="C463" s="9">
        <v>2021</v>
      </c>
      <c r="D463" s="9" t="s">
        <v>33</v>
      </c>
      <c r="E463" t="s">
        <v>199</v>
      </c>
      <c r="F463" s="9"/>
      <c r="G463" t="s">
        <v>208</v>
      </c>
      <c r="H463">
        <v>3.25</v>
      </c>
      <c r="I463" t="s">
        <v>448</v>
      </c>
    </row>
    <row r="464" spans="2:9">
      <c r="B464" s="12" t="s">
        <v>11</v>
      </c>
      <c r="C464" s="9">
        <v>2021</v>
      </c>
      <c r="D464" s="9" t="s">
        <v>33</v>
      </c>
      <c r="E464" t="s">
        <v>199</v>
      </c>
      <c r="F464" s="9"/>
      <c r="G464" t="s">
        <v>208</v>
      </c>
      <c r="H464">
        <v>1.5</v>
      </c>
      <c r="I464" t="s">
        <v>449</v>
      </c>
    </row>
    <row r="465" spans="2:9">
      <c r="B465" s="12" t="s">
        <v>11</v>
      </c>
      <c r="C465" s="9">
        <v>2021</v>
      </c>
      <c r="D465" s="9" t="s">
        <v>33</v>
      </c>
      <c r="E465" t="s">
        <v>188</v>
      </c>
      <c r="F465" s="9"/>
      <c r="G465" t="s">
        <v>208</v>
      </c>
      <c r="H465">
        <v>5.75</v>
      </c>
      <c r="I465" t="s">
        <v>450</v>
      </c>
    </row>
    <row r="466" spans="2:9">
      <c r="B466" s="12" t="s">
        <v>11</v>
      </c>
      <c r="C466" s="9">
        <v>2021</v>
      </c>
      <c r="D466" s="9" t="s">
        <v>33</v>
      </c>
      <c r="E466" t="s">
        <v>188</v>
      </c>
      <c r="F466" s="9"/>
      <c r="G466" t="s">
        <v>208</v>
      </c>
      <c r="H466">
        <v>3</v>
      </c>
      <c r="I466" t="s">
        <v>451</v>
      </c>
    </row>
    <row r="467" spans="2:9">
      <c r="B467" s="12" t="s">
        <v>11</v>
      </c>
      <c r="C467" s="9">
        <v>2021</v>
      </c>
      <c r="D467" s="9" t="s">
        <v>33</v>
      </c>
      <c r="E467" t="s">
        <v>259</v>
      </c>
      <c r="F467" s="9"/>
      <c r="G467" t="s">
        <v>208</v>
      </c>
      <c r="H467">
        <v>2.4</v>
      </c>
      <c r="I467" t="s">
        <v>452</v>
      </c>
    </row>
    <row r="468" spans="2:9">
      <c r="B468" s="12" t="s">
        <v>11</v>
      </c>
      <c r="C468" s="9">
        <v>2021</v>
      </c>
      <c r="D468" s="9" t="s">
        <v>33</v>
      </c>
      <c r="E468" t="s">
        <v>188</v>
      </c>
      <c r="F468" s="9"/>
      <c r="G468" t="s">
        <v>208</v>
      </c>
      <c r="H468">
        <v>0.25</v>
      </c>
      <c r="I468" t="s">
        <v>453</v>
      </c>
    </row>
    <row r="469" spans="2:9">
      <c r="B469" s="12" t="s">
        <v>11</v>
      </c>
      <c r="C469" s="35">
        <v>2021</v>
      </c>
      <c r="D469" s="35" t="s">
        <v>33</v>
      </c>
      <c r="E469" t="s">
        <v>203</v>
      </c>
      <c r="F469" s="35"/>
      <c r="G469" t="s">
        <v>208</v>
      </c>
      <c r="H469">
        <v>2.4</v>
      </c>
      <c r="I469" t="s">
        <v>454</v>
      </c>
    </row>
    <row r="470" spans="2:9">
      <c r="B470" s="12" t="s">
        <v>11</v>
      </c>
      <c r="C470" s="9">
        <v>2021</v>
      </c>
      <c r="D470" s="9" t="s">
        <v>34</v>
      </c>
      <c r="E470" t="s">
        <v>180</v>
      </c>
      <c r="F470" s="9"/>
      <c r="G470" t="s">
        <v>181</v>
      </c>
      <c r="H470">
        <v>6</v>
      </c>
      <c r="I470" t="s">
        <v>273</v>
      </c>
    </row>
    <row r="471" spans="2:9">
      <c r="B471" s="12" t="s">
        <v>11</v>
      </c>
      <c r="C471" s="9">
        <v>2021</v>
      </c>
      <c r="D471" s="9" t="s">
        <v>34</v>
      </c>
      <c r="E471" t="s">
        <v>180</v>
      </c>
      <c r="F471" s="9"/>
      <c r="G471" t="s">
        <v>181</v>
      </c>
      <c r="H471">
        <v>2</v>
      </c>
      <c r="I471" t="s">
        <v>437</v>
      </c>
    </row>
    <row r="472" spans="2:9">
      <c r="B472" s="12" t="s">
        <v>11</v>
      </c>
      <c r="C472" s="9">
        <v>2021</v>
      </c>
      <c r="D472" s="9" t="s">
        <v>34</v>
      </c>
      <c r="E472" t="s">
        <v>184</v>
      </c>
      <c r="F472" s="9"/>
      <c r="G472" t="s">
        <v>181</v>
      </c>
      <c r="H472">
        <v>2</v>
      </c>
      <c r="I472" t="s">
        <v>185</v>
      </c>
    </row>
    <row r="473" spans="2:9">
      <c r="B473" s="12" t="s">
        <v>11</v>
      </c>
      <c r="C473" s="9">
        <v>2021</v>
      </c>
      <c r="D473" s="9" t="s">
        <v>34</v>
      </c>
      <c r="E473" t="s">
        <v>180</v>
      </c>
      <c r="F473" s="9"/>
      <c r="G473" t="s">
        <v>181</v>
      </c>
      <c r="H473">
        <v>1</v>
      </c>
      <c r="I473" t="s">
        <v>455</v>
      </c>
    </row>
    <row r="474" spans="2:9">
      <c r="B474" s="12" t="s">
        <v>11</v>
      </c>
      <c r="C474" s="9">
        <v>2021</v>
      </c>
      <c r="D474" s="9" t="s">
        <v>34</v>
      </c>
      <c r="E474" t="s">
        <v>180</v>
      </c>
      <c r="F474" s="9"/>
      <c r="G474" t="s">
        <v>181</v>
      </c>
      <c r="H474">
        <v>1</v>
      </c>
      <c r="I474" t="s">
        <v>456</v>
      </c>
    </row>
    <row r="475" spans="2:9">
      <c r="B475" s="12" t="s">
        <v>11</v>
      </c>
      <c r="C475" s="9">
        <v>2021</v>
      </c>
      <c r="D475" s="9" t="s">
        <v>34</v>
      </c>
      <c r="E475" t="s">
        <v>188</v>
      </c>
      <c r="F475" s="9"/>
      <c r="G475" t="s">
        <v>181</v>
      </c>
      <c r="H475">
        <v>4</v>
      </c>
      <c r="I475" t="s">
        <v>457</v>
      </c>
    </row>
    <row r="476" spans="2:9">
      <c r="B476" s="12" t="s">
        <v>11</v>
      </c>
      <c r="C476" s="9">
        <v>2021</v>
      </c>
      <c r="D476" s="9" t="s">
        <v>34</v>
      </c>
      <c r="E476" t="s">
        <v>180</v>
      </c>
      <c r="F476" s="9"/>
      <c r="G476" t="s">
        <v>181</v>
      </c>
      <c r="H476">
        <v>2</v>
      </c>
      <c r="I476" t="s">
        <v>458</v>
      </c>
    </row>
    <row r="477" spans="2:9">
      <c r="B477" s="12" t="s">
        <v>11</v>
      </c>
      <c r="C477" s="9">
        <v>2021</v>
      </c>
      <c r="D477" s="9" t="s">
        <v>34</v>
      </c>
      <c r="E477" t="s">
        <v>180</v>
      </c>
      <c r="F477" s="9"/>
      <c r="G477" t="s">
        <v>181</v>
      </c>
      <c r="H477">
        <v>1</v>
      </c>
      <c r="I477" t="s">
        <v>459</v>
      </c>
    </row>
    <row r="478" spans="2:9">
      <c r="B478" s="12" t="s">
        <v>11</v>
      </c>
      <c r="C478" s="9">
        <v>2021</v>
      </c>
      <c r="D478" s="9" t="s">
        <v>34</v>
      </c>
      <c r="E478" t="s">
        <v>200</v>
      </c>
      <c r="F478" s="9"/>
      <c r="G478" t="s">
        <v>181</v>
      </c>
      <c r="H478">
        <v>1</v>
      </c>
      <c r="I478" t="s">
        <v>460</v>
      </c>
    </row>
    <row r="479" spans="2:9">
      <c r="B479" s="12" t="s">
        <v>11</v>
      </c>
      <c r="C479" s="9">
        <v>2021</v>
      </c>
      <c r="D479" s="9" t="s">
        <v>34</v>
      </c>
      <c r="E479" t="s">
        <v>197</v>
      </c>
      <c r="F479" s="9"/>
      <c r="G479" t="s">
        <v>181</v>
      </c>
      <c r="H479">
        <v>0.25</v>
      </c>
      <c r="I479" t="s">
        <v>202</v>
      </c>
    </row>
    <row r="480" spans="2:9">
      <c r="B480" s="12" t="s">
        <v>11</v>
      </c>
      <c r="C480" s="9">
        <v>2021</v>
      </c>
      <c r="D480" s="9" t="s">
        <v>34</v>
      </c>
      <c r="E480" t="s">
        <v>199</v>
      </c>
      <c r="F480" s="9"/>
      <c r="G480" t="s">
        <v>181</v>
      </c>
      <c r="H480">
        <v>0.25</v>
      </c>
      <c r="I480" t="s">
        <v>461</v>
      </c>
    </row>
    <row r="481" spans="2:9">
      <c r="B481" s="12" t="s">
        <v>11</v>
      </c>
      <c r="C481" s="9">
        <v>2021</v>
      </c>
      <c r="D481" s="9" t="s">
        <v>34</v>
      </c>
      <c r="E481" t="s">
        <v>180</v>
      </c>
      <c r="F481" s="9"/>
      <c r="G481" t="s">
        <v>181</v>
      </c>
      <c r="H481">
        <v>1</v>
      </c>
      <c r="I481" t="s">
        <v>462</v>
      </c>
    </row>
    <row r="482" spans="2:9">
      <c r="B482" s="12" t="s">
        <v>11</v>
      </c>
      <c r="C482" s="9">
        <v>2021</v>
      </c>
      <c r="D482" s="9" t="s">
        <v>34</v>
      </c>
      <c r="E482" t="s">
        <v>180</v>
      </c>
      <c r="F482" s="9"/>
      <c r="G482" t="s">
        <v>181</v>
      </c>
      <c r="H482">
        <v>0</v>
      </c>
      <c r="I482" t="s">
        <v>195</v>
      </c>
    </row>
    <row r="483" spans="2:9">
      <c r="B483" s="12" t="s">
        <v>11</v>
      </c>
      <c r="C483" s="9">
        <v>2021</v>
      </c>
      <c r="D483" s="9" t="s">
        <v>34</v>
      </c>
      <c r="E483" t="s">
        <v>203</v>
      </c>
      <c r="F483" s="9"/>
      <c r="G483" t="s">
        <v>181</v>
      </c>
      <c r="H483">
        <v>1</v>
      </c>
      <c r="I483" t="s">
        <v>463</v>
      </c>
    </row>
    <row r="484" spans="2:9">
      <c r="B484" s="12" t="s">
        <v>11</v>
      </c>
      <c r="C484" s="9">
        <v>2021</v>
      </c>
      <c r="D484" s="9" t="s">
        <v>34</v>
      </c>
      <c r="E484" t="s">
        <v>197</v>
      </c>
      <c r="F484" s="9"/>
      <c r="G484" t="s">
        <v>181</v>
      </c>
      <c r="H484">
        <v>3.5</v>
      </c>
      <c r="I484" t="s">
        <v>464</v>
      </c>
    </row>
    <row r="485" spans="2:9">
      <c r="B485" s="12" t="s">
        <v>11</v>
      </c>
      <c r="C485" s="9">
        <v>2021</v>
      </c>
      <c r="D485" s="9" t="s">
        <v>34</v>
      </c>
      <c r="E485" t="s">
        <v>197</v>
      </c>
      <c r="F485" s="9"/>
      <c r="G485" t="s">
        <v>181</v>
      </c>
      <c r="H485">
        <v>1</v>
      </c>
      <c r="I485" t="s">
        <v>367</v>
      </c>
    </row>
    <row r="486" spans="2:9">
      <c r="B486" s="12" t="s">
        <v>11</v>
      </c>
      <c r="C486" s="9">
        <v>2021</v>
      </c>
      <c r="D486" s="9" t="s">
        <v>34</v>
      </c>
      <c r="E486" t="s">
        <v>191</v>
      </c>
      <c r="F486" s="9"/>
      <c r="G486" t="s">
        <v>181</v>
      </c>
      <c r="H486">
        <v>1.6</v>
      </c>
      <c r="I486" t="s">
        <v>465</v>
      </c>
    </row>
    <row r="487" spans="2:9">
      <c r="B487" s="12" t="s">
        <v>11</v>
      </c>
      <c r="C487" s="9">
        <v>2021</v>
      </c>
      <c r="D487" s="9" t="s">
        <v>34</v>
      </c>
      <c r="E487" t="s">
        <v>180</v>
      </c>
      <c r="F487" s="9"/>
      <c r="G487" t="s">
        <v>181</v>
      </c>
      <c r="H487">
        <v>4</v>
      </c>
      <c r="I487" t="s">
        <v>466</v>
      </c>
    </row>
    <row r="488" spans="2:9">
      <c r="B488" s="12" t="s">
        <v>11</v>
      </c>
      <c r="C488" s="9">
        <v>2021</v>
      </c>
      <c r="D488" s="9" t="s">
        <v>34</v>
      </c>
      <c r="E488" t="s">
        <v>203</v>
      </c>
      <c r="F488" s="9"/>
      <c r="G488" t="s">
        <v>181</v>
      </c>
      <c r="H488">
        <v>1.5</v>
      </c>
      <c r="I488" t="s">
        <v>467</v>
      </c>
    </row>
    <row r="489" spans="2:9">
      <c r="B489" s="12" t="s">
        <v>11</v>
      </c>
      <c r="C489" s="9">
        <v>2021</v>
      </c>
      <c r="D489" s="9" t="s">
        <v>34</v>
      </c>
      <c r="E489" t="s">
        <v>199</v>
      </c>
      <c r="F489" s="9"/>
      <c r="G489" t="s">
        <v>181</v>
      </c>
      <c r="H489">
        <v>10</v>
      </c>
      <c r="I489" t="s">
        <v>468</v>
      </c>
    </row>
    <row r="490" spans="2:9">
      <c r="B490" s="12" t="s">
        <v>11</v>
      </c>
      <c r="C490" s="35">
        <v>2021</v>
      </c>
      <c r="D490" s="35" t="s">
        <v>34</v>
      </c>
      <c r="E490" t="s">
        <v>199</v>
      </c>
      <c r="F490" s="35"/>
      <c r="G490" t="s">
        <v>181</v>
      </c>
      <c r="H490">
        <v>9</v>
      </c>
      <c r="I490" t="s">
        <v>469</v>
      </c>
    </row>
    <row r="491" spans="2:9">
      <c r="B491" s="12" t="s">
        <v>11</v>
      </c>
      <c r="C491" s="9">
        <v>2021</v>
      </c>
      <c r="D491" s="9" t="s">
        <v>34</v>
      </c>
      <c r="E491" t="s">
        <v>188</v>
      </c>
      <c r="F491" s="9"/>
      <c r="G491" t="s">
        <v>208</v>
      </c>
      <c r="H491">
        <v>12.4</v>
      </c>
      <c r="I491" t="s">
        <v>470</v>
      </c>
    </row>
    <row r="492" spans="2:9">
      <c r="B492" s="12" t="s">
        <v>11</v>
      </c>
      <c r="C492" s="9">
        <v>2021</v>
      </c>
      <c r="D492" s="9" t="s">
        <v>34</v>
      </c>
      <c r="E492" t="s">
        <v>180</v>
      </c>
      <c r="F492" s="9"/>
      <c r="G492" t="s">
        <v>208</v>
      </c>
      <c r="H492">
        <v>5.0999999999999996</v>
      </c>
      <c r="I492" t="s">
        <v>471</v>
      </c>
    </row>
    <row r="493" spans="2:9">
      <c r="B493" s="12" t="s">
        <v>11</v>
      </c>
      <c r="C493" s="9">
        <v>2021</v>
      </c>
      <c r="D493" s="9" t="s">
        <v>34</v>
      </c>
      <c r="E493" t="s">
        <v>203</v>
      </c>
      <c r="F493" s="9"/>
      <c r="G493" t="s">
        <v>208</v>
      </c>
      <c r="H493">
        <v>2.4</v>
      </c>
      <c r="I493" t="s">
        <v>472</v>
      </c>
    </row>
    <row r="494" spans="2:9">
      <c r="B494" s="12" t="s">
        <v>11</v>
      </c>
      <c r="C494" s="9">
        <v>2021</v>
      </c>
      <c r="D494" s="9" t="s">
        <v>34</v>
      </c>
      <c r="E494" t="s">
        <v>180</v>
      </c>
      <c r="F494" s="9"/>
      <c r="G494" t="s">
        <v>208</v>
      </c>
      <c r="H494">
        <v>1.6</v>
      </c>
      <c r="I494" t="s">
        <v>473</v>
      </c>
    </row>
    <row r="495" spans="2:9">
      <c r="B495" s="12" t="s">
        <v>11</v>
      </c>
      <c r="C495" s="9">
        <v>2021</v>
      </c>
      <c r="D495" s="9" t="s">
        <v>34</v>
      </c>
      <c r="E495" t="s">
        <v>199</v>
      </c>
      <c r="F495" s="9"/>
      <c r="G495" t="s">
        <v>208</v>
      </c>
      <c r="H495">
        <v>0.6</v>
      </c>
      <c r="I495" t="s">
        <v>474</v>
      </c>
    </row>
    <row r="496" spans="2:9">
      <c r="B496" s="12" t="s">
        <v>11</v>
      </c>
      <c r="C496" s="9">
        <v>2021</v>
      </c>
      <c r="D496" s="9" t="s">
        <v>34</v>
      </c>
      <c r="E496" t="s">
        <v>199</v>
      </c>
      <c r="F496" s="9"/>
      <c r="G496" t="s">
        <v>208</v>
      </c>
      <c r="H496">
        <v>1</v>
      </c>
      <c r="I496" t="s">
        <v>475</v>
      </c>
    </row>
    <row r="497" spans="2:9">
      <c r="B497" s="12" t="s">
        <v>11</v>
      </c>
      <c r="C497" s="9">
        <v>2021</v>
      </c>
      <c r="D497" s="9" t="s">
        <v>34</v>
      </c>
      <c r="E497" t="s">
        <v>199</v>
      </c>
      <c r="F497" s="9"/>
      <c r="G497" t="s">
        <v>208</v>
      </c>
      <c r="H497">
        <v>10</v>
      </c>
      <c r="I497" t="s">
        <v>476</v>
      </c>
    </row>
    <row r="498" spans="2:9">
      <c r="B498" s="12" t="s">
        <v>11</v>
      </c>
      <c r="C498" s="35">
        <v>2021</v>
      </c>
      <c r="D498" s="35" t="s">
        <v>34</v>
      </c>
      <c r="E498" t="s">
        <v>199</v>
      </c>
      <c r="F498" s="35"/>
      <c r="G498" t="s">
        <v>208</v>
      </c>
      <c r="H498">
        <v>10</v>
      </c>
      <c r="I498" t="s">
        <v>477</v>
      </c>
    </row>
    <row r="499" spans="2:9">
      <c r="B499" s="12" t="s">
        <v>11</v>
      </c>
      <c r="C499" s="9">
        <v>2021</v>
      </c>
      <c r="D499" s="9" t="s">
        <v>38</v>
      </c>
      <c r="E499" t="s">
        <v>180</v>
      </c>
      <c r="F499" s="9"/>
      <c r="G499" t="s">
        <v>181</v>
      </c>
      <c r="H499">
        <v>6</v>
      </c>
      <c r="I499" t="s">
        <v>273</v>
      </c>
    </row>
    <row r="500" spans="2:9">
      <c r="B500" s="12" t="s">
        <v>11</v>
      </c>
      <c r="C500" s="9">
        <v>2021</v>
      </c>
      <c r="D500" s="9" t="s">
        <v>38</v>
      </c>
      <c r="E500" t="s">
        <v>180</v>
      </c>
      <c r="F500" s="9"/>
      <c r="G500" t="s">
        <v>181</v>
      </c>
      <c r="H500">
        <v>2</v>
      </c>
      <c r="I500" t="s">
        <v>478</v>
      </c>
    </row>
    <row r="501" spans="2:9">
      <c r="B501" s="12" t="s">
        <v>11</v>
      </c>
      <c r="C501" s="9">
        <v>2021</v>
      </c>
      <c r="D501" s="9" t="s">
        <v>38</v>
      </c>
      <c r="E501" t="s">
        <v>184</v>
      </c>
      <c r="F501" s="9"/>
      <c r="G501" t="s">
        <v>181</v>
      </c>
      <c r="H501">
        <v>2</v>
      </c>
      <c r="I501" t="s">
        <v>185</v>
      </c>
    </row>
    <row r="502" spans="2:9">
      <c r="B502" s="12" t="s">
        <v>11</v>
      </c>
      <c r="C502" s="9">
        <v>2021</v>
      </c>
      <c r="D502" s="9" t="s">
        <v>38</v>
      </c>
      <c r="E502" t="s">
        <v>180</v>
      </c>
      <c r="F502" s="9"/>
      <c r="G502" t="s">
        <v>181</v>
      </c>
      <c r="H502">
        <v>1</v>
      </c>
      <c r="I502" t="s">
        <v>455</v>
      </c>
    </row>
    <row r="503" spans="2:9">
      <c r="B503" s="12" t="s">
        <v>11</v>
      </c>
      <c r="C503" s="9">
        <v>2021</v>
      </c>
      <c r="D503" s="9" t="s">
        <v>38</v>
      </c>
      <c r="E503" t="s">
        <v>180</v>
      </c>
      <c r="F503" s="9"/>
      <c r="G503" t="s">
        <v>181</v>
      </c>
      <c r="H503">
        <v>1</v>
      </c>
      <c r="I503" t="s">
        <v>439</v>
      </c>
    </row>
    <row r="504" spans="2:9">
      <c r="B504" s="12" t="s">
        <v>11</v>
      </c>
      <c r="C504" s="9">
        <v>2021</v>
      </c>
      <c r="D504" s="9" t="s">
        <v>38</v>
      </c>
      <c r="E504" t="s">
        <v>188</v>
      </c>
      <c r="F504" s="9"/>
      <c r="G504" t="s">
        <v>181</v>
      </c>
      <c r="H504">
        <v>4</v>
      </c>
      <c r="I504" t="s">
        <v>479</v>
      </c>
    </row>
    <row r="505" spans="2:9">
      <c r="B505" s="12" t="s">
        <v>11</v>
      </c>
      <c r="C505" s="9">
        <v>2021</v>
      </c>
      <c r="D505" s="9" t="s">
        <v>38</v>
      </c>
      <c r="E505" t="s">
        <v>180</v>
      </c>
      <c r="F505" s="9"/>
      <c r="G505" t="s">
        <v>181</v>
      </c>
      <c r="H505">
        <v>2</v>
      </c>
      <c r="I505" t="s">
        <v>480</v>
      </c>
    </row>
    <row r="506" spans="2:9">
      <c r="B506" s="12" t="s">
        <v>11</v>
      </c>
      <c r="C506" s="9">
        <v>2021</v>
      </c>
      <c r="D506" s="9" t="s">
        <v>38</v>
      </c>
      <c r="E506" t="s">
        <v>180</v>
      </c>
      <c r="F506" s="9"/>
      <c r="G506" t="s">
        <v>181</v>
      </c>
      <c r="H506">
        <v>1</v>
      </c>
      <c r="I506" t="s">
        <v>481</v>
      </c>
    </row>
    <row r="507" spans="2:9">
      <c r="B507" s="12" t="s">
        <v>11</v>
      </c>
      <c r="C507" s="9">
        <v>2021</v>
      </c>
      <c r="D507" s="9" t="s">
        <v>38</v>
      </c>
      <c r="E507" t="s">
        <v>200</v>
      </c>
      <c r="F507" s="9"/>
      <c r="G507" t="s">
        <v>181</v>
      </c>
      <c r="H507">
        <v>1</v>
      </c>
      <c r="I507" t="s">
        <v>482</v>
      </c>
    </row>
    <row r="508" spans="2:9">
      <c r="B508" s="12" t="s">
        <v>11</v>
      </c>
      <c r="C508" s="9">
        <v>2021</v>
      </c>
      <c r="D508" s="9" t="s">
        <v>38</v>
      </c>
      <c r="E508" t="s">
        <v>203</v>
      </c>
      <c r="F508" s="9"/>
      <c r="G508" t="s">
        <v>181</v>
      </c>
      <c r="H508">
        <v>1</v>
      </c>
      <c r="I508" t="s">
        <v>201</v>
      </c>
    </row>
    <row r="509" spans="2:9">
      <c r="B509" s="12" t="s">
        <v>11</v>
      </c>
      <c r="C509" s="9">
        <v>2021</v>
      </c>
      <c r="D509" s="9" t="s">
        <v>38</v>
      </c>
      <c r="E509" t="s">
        <v>197</v>
      </c>
      <c r="F509" s="9"/>
      <c r="G509" t="s">
        <v>181</v>
      </c>
      <c r="H509">
        <v>0.25</v>
      </c>
      <c r="I509" t="s">
        <v>202</v>
      </c>
    </row>
    <row r="510" spans="2:9">
      <c r="B510" s="12" t="s">
        <v>11</v>
      </c>
      <c r="C510" s="9">
        <v>2021</v>
      </c>
      <c r="D510" s="9" t="s">
        <v>38</v>
      </c>
      <c r="E510" t="s">
        <v>199</v>
      </c>
      <c r="F510" s="9"/>
      <c r="G510" t="s">
        <v>181</v>
      </c>
      <c r="H510">
        <v>0.25</v>
      </c>
      <c r="I510" t="s">
        <v>382</v>
      </c>
    </row>
    <row r="511" spans="2:9">
      <c r="B511" s="12" t="s">
        <v>11</v>
      </c>
      <c r="C511" s="9">
        <v>2021</v>
      </c>
      <c r="D511" s="9" t="s">
        <v>38</v>
      </c>
      <c r="E511" t="s">
        <v>197</v>
      </c>
      <c r="F511" s="9"/>
      <c r="G511" t="s">
        <v>181</v>
      </c>
      <c r="H511">
        <v>0.45</v>
      </c>
      <c r="I511" t="s">
        <v>367</v>
      </c>
    </row>
    <row r="512" spans="2:9">
      <c r="B512" s="12" t="s">
        <v>11</v>
      </c>
      <c r="C512" s="9">
        <v>2021</v>
      </c>
      <c r="D512" s="9" t="s">
        <v>38</v>
      </c>
      <c r="E512" t="s">
        <v>199</v>
      </c>
      <c r="F512" s="9"/>
      <c r="G512" t="s">
        <v>181</v>
      </c>
      <c r="H512">
        <v>0.45</v>
      </c>
      <c r="I512" t="s">
        <v>367</v>
      </c>
    </row>
    <row r="513" spans="2:9">
      <c r="B513" s="12" t="s">
        <v>11</v>
      </c>
      <c r="C513" s="9">
        <v>2021</v>
      </c>
      <c r="D513" s="9" t="s">
        <v>38</v>
      </c>
      <c r="E513" t="s">
        <v>180</v>
      </c>
      <c r="F513" s="9"/>
      <c r="G513" t="s">
        <v>181</v>
      </c>
      <c r="H513">
        <v>1</v>
      </c>
      <c r="I513" t="s">
        <v>483</v>
      </c>
    </row>
    <row r="514" spans="2:9">
      <c r="B514" s="12" t="s">
        <v>11</v>
      </c>
      <c r="C514" s="9">
        <v>2021</v>
      </c>
      <c r="D514" s="9" t="s">
        <v>38</v>
      </c>
      <c r="E514" t="s">
        <v>180</v>
      </c>
      <c r="F514" s="9"/>
      <c r="G514" t="s">
        <v>181</v>
      </c>
      <c r="H514">
        <v>1</v>
      </c>
      <c r="I514" t="s">
        <v>484</v>
      </c>
    </row>
    <row r="515" spans="2:9">
      <c r="B515" s="12" t="s">
        <v>11</v>
      </c>
      <c r="C515" s="9">
        <v>2021</v>
      </c>
      <c r="D515" s="9" t="s">
        <v>38</v>
      </c>
      <c r="E515" t="s">
        <v>180</v>
      </c>
      <c r="F515" s="9"/>
      <c r="G515" t="s">
        <v>181</v>
      </c>
      <c r="H515">
        <v>3</v>
      </c>
      <c r="I515" t="s">
        <v>485</v>
      </c>
    </row>
    <row r="516" spans="2:9">
      <c r="B516" s="12" t="s">
        <v>11</v>
      </c>
      <c r="C516" s="9">
        <v>2021</v>
      </c>
      <c r="D516" s="9" t="s">
        <v>38</v>
      </c>
      <c r="E516" t="s">
        <v>180</v>
      </c>
      <c r="F516" s="9"/>
      <c r="G516" t="s">
        <v>181</v>
      </c>
      <c r="H516">
        <v>2</v>
      </c>
      <c r="I516" t="s">
        <v>486</v>
      </c>
    </row>
    <row r="517" spans="2:9">
      <c r="B517" s="12" t="s">
        <v>11</v>
      </c>
      <c r="C517" s="9">
        <v>2021</v>
      </c>
      <c r="D517" s="9" t="s">
        <v>38</v>
      </c>
      <c r="E517" t="s">
        <v>203</v>
      </c>
      <c r="F517" s="9"/>
      <c r="G517" t="s">
        <v>181</v>
      </c>
      <c r="H517">
        <v>2</v>
      </c>
      <c r="I517" t="s">
        <v>487</v>
      </c>
    </row>
    <row r="518" spans="2:9">
      <c r="B518" s="12" t="s">
        <v>11</v>
      </c>
      <c r="C518" s="9">
        <v>2021</v>
      </c>
      <c r="D518" s="9" t="s">
        <v>38</v>
      </c>
      <c r="E518" t="s">
        <v>259</v>
      </c>
      <c r="F518" s="9"/>
      <c r="G518" t="s">
        <v>181</v>
      </c>
      <c r="H518">
        <v>0</v>
      </c>
      <c r="I518" t="s">
        <v>488</v>
      </c>
    </row>
    <row r="519" spans="2:9">
      <c r="B519" s="12" t="s">
        <v>11</v>
      </c>
      <c r="C519" s="9">
        <v>2021</v>
      </c>
      <c r="D519" s="9" t="s">
        <v>38</v>
      </c>
      <c r="E519" t="s">
        <v>191</v>
      </c>
      <c r="F519" s="9"/>
      <c r="G519" t="s">
        <v>181</v>
      </c>
      <c r="H519">
        <v>1</v>
      </c>
      <c r="I519" t="s">
        <v>489</v>
      </c>
    </row>
    <row r="520" spans="2:9">
      <c r="B520" s="12" t="s">
        <v>11</v>
      </c>
      <c r="C520" s="9">
        <v>2021</v>
      </c>
      <c r="D520" s="9" t="s">
        <v>38</v>
      </c>
      <c r="E520" t="s">
        <v>199</v>
      </c>
      <c r="F520" s="9"/>
      <c r="G520" t="s">
        <v>181</v>
      </c>
      <c r="H520">
        <v>0.9</v>
      </c>
      <c r="I520" t="s">
        <v>490</v>
      </c>
    </row>
    <row r="521" spans="2:9">
      <c r="B521" s="12" t="s">
        <v>11</v>
      </c>
      <c r="C521" s="9">
        <v>2021</v>
      </c>
      <c r="D521" s="9" t="s">
        <v>38</v>
      </c>
      <c r="E521" t="s">
        <v>203</v>
      </c>
      <c r="F521" s="9"/>
      <c r="G521" t="s">
        <v>181</v>
      </c>
      <c r="H521">
        <v>0.45</v>
      </c>
      <c r="I521" t="s">
        <v>491</v>
      </c>
    </row>
    <row r="522" spans="2:9">
      <c r="B522" s="12" t="s">
        <v>11</v>
      </c>
      <c r="C522" s="9">
        <v>2021</v>
      </c>
      <c r="D522" s="9" t="s">
        <v>38</v>
      </c>
      <c r="E522" t="s">
        <v>199</v>
      </c>
      <c r="F522" s="9"/>
      <c r="G522" t="s">
        <v>181</v>
      </c>
      <c r="H522">
        <v>0.25</v>
      </c>
      <c r="I522" t="s">
        <v>492</v>
      </c>
    </row>
    <row r="523" spans="2:9">
      <c r="B523" s="12" t="s">
        <v>11</v>
      </c>
      <c r="C523" s="9">
        <v>2021</v>
      </c>
      <c r="D523" s="9" t="s">
        <v>38</v>
      </c>
      <c r="E523" t="s">
        <v>199</v>
      </c>
      <c r="F523" s="9"/>
      <c r="G523" t="s">
        <v>181</v>
      </c>
      <c r="H523">
        <v>0.2</v>
      </c>
      <c r="I523" t="s">
        <v>493</v>
      </c>
    </row>
    <row r="524" spans="2:9">
      <c r="B524" s="12" t="s">
        <v>11</v>
      </c>
      <c r="C524" s="35">
        <v>2021</v>
      </c>
      <c r="D524" s="35" t="s">
        <v>38</v>
      </c>
      <c r="E524" t="s">
        <v>199</v>
      </c>
      <c r="F524" s="35"/>
      <c r="G524" t="s">
        <v>181</v>
      </c>
      <c r="H524">
        <v>2.25</v>
      </c>
      <c r="I524" t="s">
        <v>494</v>
      </c>
    </row>
    <row r="525" spans="2:9">
      <c r="B525" s="12" t="s">
        <v>11</v>
      </c>
      <c r="C525" s="9">
        <v>2021</v>
      </c>
      <c r="D525" s="9" t="s">
        <v>38</v>
      </c>
      <c r="E525" t="s">
        <v>259</v>
      </c>
      <c r="F525" s="9"/>
      <c r="G525" t="s">
        <v>208</v>
      </c>
      <c r="H525">
        <v>4.25</v>
      </c>
      <c r="I525" t="s">
        <v>495</v>
      </c>
    </row>
    <row r="526" spans="2:9">
      <c r="B526" s="12" t="s">
        <v>11</v>
      </c>
      <c r="C526" s="9">
        <v>2021</v>
      </c>
      <c r="D526" s="9" t="s">
        <v>38</v>
      </c>
      <c r="E526" t="s">
        <v>203</v>
      </c>
      <c r="F526" s="9"/>
      <c r="G526" t="s">
        <v>208</v>
      </c>
      <c r="H526">
        <v>1.5</v>
      </c>
      <c r="I526" t="s">
        <v>496</v>
      </c>
    </row>
    <row r="527" spans="2:9">
      <c r="B527" s="12" t="s">
        <v>11</v>
      </c>
      <c r="C527" s="9">
        <v>2021</v>
      </c>
      <c r="D527" s="9" t="s">
        <v>38</v>
      </c>
      <c r="E527" t="s">
        <v>199</v>
      </c>
      <c r="F527" s="9"/>
      <c r="G527" t="s">
        <v>208</v>
      </c>
      <c r="H527">
        <v>0.5</v>
      </c>
      <c r="I527" t="s">
        <v>497</v>
      </c>
    </row>
    <row r="528" spans="2:9">
      <c r="B528" s="12" t="s">
        <v>11</v>
      </c>
      <c r="C528" s="9">
        <v>2021</v>
      </c>
      <c r="D528" s="9" t="s">
        <v>38</v>
      </c>
      <c r="E528" t="s">
        <v>180</v>
      </c>
      <c r="F528" s="9"/>
      <c r="G528" t="s">
        <v>208</v>
      </c>
      <c r="H528">
        <v>3.45</v>
      </c>
      <c r="I528" t="s">
        <v>498</v>
      </c>
    </row>
    <row r="529" spans="2:9">
      <c r="B529" s="12" t="s">
        <v>11</v>
      </c>
      <c r="C529" s="9">
        <v>2021</v>
      </c>
      <c r="D529" s="9" t="s">
        <v>38</v>
      </c>
      <c r="E529" t="s">
        <v>199</v>
      </c>
      <c r="F529" s="9"/>
      <c r="G529" t="s">
        <v>208</v>
      </c>
      <c r="H529">
        <v>5</v>
      </c>
      <c r="I529" t="s">
        <v>499</v>
      </c>
    </row>
    <row r="530" spans="2:9">
      <c r="B530" s="12" t="s">
        <v>11</v>
      </c>
      <c r="C530" s="9">
        <v>2021</v>
      </c>
      <c r="D530" s="9" t="s">
        <v>38</v>
      </c>
      <c r="E530" t="s">
        <v>199</v>
      </c>
      <c r="F530" s="9"/>
      <c r="G530" t="s">
        <v>208</v>
      </c>
      <c r="H530">
        <v>3.5</v>
      </c>
      <c r="I530" t="s">
        <v>500</v>
      </c>
    </row>
    <row r="531" spans="2:9">
      <c r="B531" s="12" t="s">
        <v>11</v>
      </c>
      <c r="C531" s="9">
        <v>2021</v>
      </c>
      <c r="D531" s="9" t="s">
        <v>38</v>
      </c>
      <c r="E531" t="s">
        <v>203</v>
      </c>
      <c r="F531" s="9"/>
      <c r="G531" t="s">
        <v>208</v>
      </c>
      <c r="H531">
        <v>4.3</v>
      </c>
      <c r="I531" t="s">
        <v>501</v>
      </c>
    </row>
    <row r="532" spans="2:9">
      <c r="B532" s="12" t="s">
        <v>11</v>
      </c>
      <c r="C532" s="35">
        <v>2021</v>
      </c>
      <c r="D532" s="35" t="s">
        <v>38</v>
      </c>
      <c r="E532" t="s">
        <v>191</v>
      </c>
      <c r="F532" s="35"/>
      <c r="G532" t="s">
        <v>208</v>
      </c>
      <c r="H532">
        <v>0.45</v>
      </c>
      <c r="I532" t="s">
        <v>502</v>
      </c>
    </row>
    <row r="533" spans="2:9">
      <c r="B533" s="12" t="s">
        <v>11</v>
      </c>
      <c r="C533" s="9">
        <v>2021</v>
      </c>
      <c r="D533" s="9" t="s">
        <v>43</v>
      </c>
      <c r="E533" t="s">
        <v>180</v>
      </c>
      <c r="F533" s="9"/>
      <c r="G533" t="s">
        <v>181</v>
      </c>
      <c r="H533">
        <v>6</v>
      </c>
      <c r="I533" t="s">
        <v>273</v>
      </c>
    </row>
    <row r="534" spans="2:9">
      <c r="B534" s="12" t="s">
        <v>11</v>
      </c>
      <c r="C534" s="9">
        <v>2021</v>
      </c>
      <c r="D534" s="9" t="s">
        <v>43</v>
      </c>
      <c r="E534" t="s">
        <v>180</v>
      </c>
      <c r="F534" s="9"/>
      <c r="G534" t="s">
        <v>181</v>
      </c>
      <c r="H534">
        <v>2</v>
      </c>
      <c r="I534" t="s">
        <v>437</v>
      </c>
    </row>
    <row r="535" spans="2:9">
      <c r="B535" s="12" t="s">
        <v>11</v>
      </c>
      <c r="C535" s="9">
        <v>2021</v>
      </c>
      <c r="D535" s="9" t="s">
        <v>43</v>
      </c>
      <c r="E535" t="s">
        <v>184</v>
      </c>
      <c r="F535" s="9"/>
      <c r="G535" t="s">
        <v>181</v>
      </c>
      <c r="H535">
        <v>2</v>
      </c>
      <c r="I535" t="s">
        <v>185</v>
      </c>
    </row>
    <row r="536" spans="2:9">
      <c r="B536" s="12" t="s">
        <v>11</v>
      </c>
      <c r="C536" s="9">
        <v>2021</v>
      </c>
      <c r="D536" s="9" t="s">
        <v>43</v>
      </c>
      <c r="E536" t="s">
        <v>180</v>
      </c>
      <c r="F536" s="9"/>
      <c r="G536" t="s">
        <v>181</v>
      </c>
      <c r="H536">
        <v>1</v>
      </c>
      <c r="I536" t="s">
        <v>503</v>
      </c>
    </row>
    <row r="537" spans="2:9">
      <c r="B537" s="12" t="s">
        <v>11</v>
      </c>
      <c r="C537" s="9">
        <v>2021</v>
      </c>
      <c r="D537" s="9" t="s">
        <v>43</v>
      </c>
      <c r="E537" t="s">
        <v>180</v>
      </c>
      <c r="F537" s="9"/>
      <c r="G537" t="s">
        <v>181</v>
      </c>
      <c r="H537">
        <v>1</v>
      </c>
      <c r="I537" t="s">
        <v>439</v>
      </c>
    </row>
    <row r="538" spans="2:9">
      <c r="B538" s="12" t="s">
        <v>11</v>
      </c>
      <c r="C538" s="9">
        <v>2021</v>
      </c>
      <c r="D538" s="9" t="s">
        <v>43</v>
      </c>
      <c r="E538" t="s">
        <v>188</v>
      </c>
      <c r="F538" s="9"/>
      <c r="G538" t="s">
        <v>181</v>
      </c>
      <c r="H538">
        <v>4</v>
      </c>
      <c r="I538" t="s">
        <v>504</v>
      </c>
    </row>
    <row r="539" spans="2:9">
      <c r="B539" s="12" t="s">
        <v>11</v>
      </c>
      <c r="C539" s="9">
        <v>2021</v>
      </c>
      <c r="D539" s="9" t="s">
        <v>43</v>
      </c>
      <c r="E539" t="s">
        <v>180</v>
      </c>
      <c r="F539" s="9"/>
      <c r="G539" t="s">
        <v>181</v>
      </c>
      <c r="H539">
        <v>2</v>
      </c>
      <c r="I539" t="s">
        <v>505</v>
      </c>
    </row>
    <row r="540" spans="2:9">
      <c r="B540" s="12" t="s">
        <v>11</v>
      </c>
      <c r="C540" s="9">
        <v>2021</v>
      </c>
      <c r="D540" s="9" t="s">
        <v>43</v>
      </c>
      <c r="E540" t="s">
        <v>180</v>
      </c>
      <c r="F540" s="9"/>
      <c r="G540" t="s">
        <v>181</v>
      </c>
      <c r="H540">
        <v>1</v>
      </c>
      <c r="I540" t="s">
        <v>506</v>
      </c>
    </row>
    <row r="541" spans="2:9">
      <c r="B541" s="12" t="s">
        <v>11</v>
      </c>
      <c r="C541" s="9">
        <v>2021</v>
      </c>
      <c r="D541" s="9" t="s">
        <v>43</v>
      </c>
      <c r="E541" t="s">
        <v>203</v>
      </c>
      <c r="F541" s="9"/>
      <c r="G541" t="s">
        <v>181</v>
      </c>
      <c r="H541">
        <v>3</v>
      </c>
      <c r="I541" t="s">
        <v>507</v>
      </c>
    </row>
    <row r="542" spans="2:9">
      <c r="B542" s="12" t="s">
        <v>11</v>
      </c>
      <c r="C542" s="9">
        <v>2021</v>
      </c>
      <c r="D542" s="9" t="s">
        <v>43</v>
      </c>
      <c r="E542" t="s">
        <v>200</v>
      </c>
      <c r="F542" s="9"/>
      <c r="G542" t="s">
        <v>181</v>
      </c>
      <c r="H542">
        <v>1</v>
      </c>
      <c r="I542" t="s">
        <v>201</v>
      </c>
    </row>
    <row r="543" spans="2:9">
      <c r="B543" s="12" t="s">
        <v>11</v>
      </c>
      <c r="C543" s="9">
        <v>2021</v>
      </c>
      <c r="D543" s="9" t="s">
        <v>43</v>
      </c>
      <c r="E543" t="s">
        <v>197</v>
      </c>
      <c r="F543" s="9"/>
      <c r="G543" t="s">
        <v>181</v>
      </c>
      <c r="H543">
        <v>0.25</v>
      </c>
      <c r="I543" t="s">
        <v>382</v>
      </c>
    </row>
    <row r="544" spans="2:9">
      <c r="B544" s="12" t="s">
        <v>11</v>
      </c>
      <c r="C544" s="9">
        <v>2021</v>
      </c>
      <c r="D544" s="9" t="s">
        <v>43</v>
      </c>
      <c r="E544" t="s">
        <v>199</v>
      </c>
      <c r="F544" s="9"/>
      <c r="G544" t="s">
        <v>181</v>
      </c>
      <c r="H544">
        <v>0.25</v>
      </c>
      <c r="I544" t="s">
        <v>382</v>
      </c>
    </row>
    <row r="545" spans="2:9">
      <c r="B545" s="12" t="s">
        <v>11</v>
      </c>
      <c r="C545" s="9">
        <v>2021</v>
      </c>
      <c r="D545" s="9" t="s">
        <v>43</v>
      </c>
      <c r="E545" t="s">
        <v>203</v>
      </c>
      <c r="F545" s="9"/>
      <c r="G545" t="s">
        <v>181</v>
      </c>
      <c r="H545">
        <v>1.5</v>
      </c>
      <c r="I545" t="s">
        <v>508</v>
      </c>
    </row>
    <row r="546" spans="2:9">
      <c r="B546" s="12" t="s">
        <v>11</v>
      </c>
      <c r="C546" s="9">
        <v>2021</v>
      </c>
      <c r="D546" s="9" t="s">
        <v>43</v>
      </c>
      <c r="E546" t="s">
        <v>193</v>
      </c>
      <c r="F546" s="9"/>
      <c r="G546" t="s">
        <v>181</v>
      </c>
      <c r="H546">
        <v>1.9</v>
      </c>
      <c r="I546" t="s">
        <v>509</v>
      </c>
    </row>
    <row r="547" spans="2:9">
      <c r="B547" s="12" t="s">
        <v>11</v>
      </c>
      <c r="C547" s="9">
        <v>2021</v>
      </c>
      <c r="D547" s="9" t="s">
        <v>43</v>
      </c>
      <c r="E547" t="s">
        <v>180</v>
      </c>
      <c r="F547" s="9"/>
      <c r="G547" t="s">
        <v>181</v>
      </c>
      <c r="H547">
        <v>1</v>
      </c>
      <c r="I547" t="s">
        <v>510</v>
      </c>
    </row>
    <row r="548" spans="2:9">
      <c r="B548" s="12" t="s">
        <v>11</v>
      </c>
      <c r="C548" s="35">
        <v>2021</v>
      </c>
      <c r="D548" s="35" t="s">
        <v>43</v>
      </c>
      <c r="E548" t="s">
        <v>180</v>
      </c>
      <c r="F548" s="35"/>
      <c r="G548" t="s">
        <v>181</v>
      </c>
      <c r="H548">
        <v>1</v>
      </c>
      <c r="I548" t="s">
        <v>483</v>
      </c>
    </row>
    <row r="549" spans="2:9">
      <c r="B549" s="12" t="s">
        <v>11</v>
      </c>
      <c r="C549" s="9">
        <v>2021</v>
      </c>
      <c r="D549" s="9" t="s">
        <v>43</v>
      </c>
      <c r="E549" t="s">
        <v>203</v>
      </c>
      <c r="F549" s="9"/>
      <c r="G549" t="s">
        <v>208</v>
      </c>
      <c r="H549">
        <v>14.26</v>
      </c>
      <c r="I549" t="s">
        <v>511</v>
      </c>
    </row>
    <row r="550" spans="2:9">
      <c r="B550" s="12" t="s">
        <v>11</v>
      </c>
      <c r="C550" s="9">
        <v>2021</v>
      </c>
      <c r="D550" s="9" t="s">
        <v>43</v>
      </c>
      <c r="E550" t="s">
        <v>180</v>
      </c>
      <c r="F550" s="9"/>
      <c r="G550" t="s">
        <v>208</v>
      </c>
      <c r="H550">
        <v>3.75</v>
      </c>
      <c r="I550" t="s">
        <v>512</v>
      </c>
    </row>
    <row r="551" spans="2:9">
      <c r="B551" s="12" t="s">
        <v>11</v>
      </c>
      <c r="C551" s="9">
        <v>2021</v>
      </c>
      <c r="D551" s="9" t="s">
        <v>43</v>
      </c>
      <c r="E551" t="s">
        <v>180</v>
      </c>
      <c r="F551" s="9"/>
      <c r="G551" t="s">
        <v>208</v>
      </c>
      <c r="H551">
        <v>1.9</v>
      </c>
      <c r="I551" t="s">
        <v>513</v>
      </c>
    </row>
    <row r="552" spans="2:9">
      <c r="B552" s="12" t="s">
        <v>11</v>
      </c>
      <c r="C552" s="35">
        <v>2021</v>
      </c>
      <c r="D552" s="35" t="s">
        <v>43</v>
      </c>
      <c r="E552" t="s">
        <v>188</v>
      </c>
      <c r="F552" s="35"/>
      <c r="G552" t="s">
        <v>208</v>
      </c>
      <c r="H552">
        <v>3.4</v>
      </c>
      <c r="I552" t="s">
        <v>514</v>
      </c>
    </row>
    <row r="553" spans="2:9">
      <c r="B553" s="12" t="s">
        <v>11</v>
      </c>
      <c r="C553" s="9">
        <v>2021</v>
      </c>
      <c r="D553" s="9" t="s">
        <v>45</v>
      </c>
      <c r="E553" t="s">
        <v>180</v>
      </c>
      <c r="F553" s="9"/>
      <c r="G553" t="s">
        <v>181</v>
      </c>
      <c r="H553">
        <v>6</v>
      </c>
      <c r="I553" t="s">
        <v>436</v>
      </c>
    </row>
    <row r="554" spans="2:9">
      <c r="B554" s="12" t="s">
        <v>11</v>
      </c>
      <c r="C554" s="9">
        <v>2021</v>
      </c>
      <c r="D554" s="9" t="s">
        <v>45</v>
      </c>
      <c r="E554" t="s">
        <v>180</v>
      </c>
      <c r="F554" s="9"/>
      <c r="G554" t="s">
        <v>181</v>
      </c>
      <c r="H554">
        <v>2</v>
      </c>
      <c r="I554" t="s">
        <v>515</v>
      </c>
    </row>
    <row r="555" spans="2:9">
      <c r="B555" s="12" t="s">
        <v>11</v>
      </c>
      <c r="C555" s="9">
        <v>2021</v>
      </c>
      <c r="D555" s="9" t="s">
        <v>45</v>
      </c>
      <c r="E555" t="s">
        <v>184</v>
      </c>
      <c r="F555" s="9"/>
      <c r="G555" t="s">
        <v>181</v>
      </c>
      <c r="H555">
        <v>2</v>
      </c>
      <c r="I555" t="s">
        <v>185</v>
      </c>
    </row>
    <row r="556" spans="2:9">
      <c r="B556" s="12" t="s">
        <v>11</v>
      </c>
      <c r="C556" s="9">
        <v>2021</v>
      </c>
      <c r="D556" s="9" t="s">
        <v>45</v>
      </c>
      <c r="E556" t="s">
        <v>180</v>
      </c>
      <c r="F556" s="9"/>
      <c r="G556" t="s">
        <v>181</v>
      </c>
      <c r="H556">
        <v>1</v>
      </c>
      <c r="I556" t="s">
        <v>503</v>
      </c>
    </row>
    <row r="557" spans="2:9">
      <c r="B557" s="12" t="s">
        <v>11</v>
      </c>
      <c r="C557" s="9">
        <v>2021</v>
      </c>
      <c r="D557" s="9" t="s">
        <v>45</v>
      </c>
      <c r="E557" t="s">
        <v>180</v>
      </c>
      <c r="F557" s="9"/>
      <c r="G557" t="s">
        <v>181</v>
      </c>
      <c r="H557">
        <v>1</v>
      </c>
      <c r="I557" t="s">
        <v>516</v>
      </c>
    </row>
    <row r="558" spans="2:9">
      <c r="B558" s="12" t="s">
        <v>11</v>
      </c>
      <c r="C558" s="9">
        <v>2021</v>
      </c>
      <c r="D558" s="9" t="s">
        <v>45</v>
      </c>
      <c r="E558" t="s">
        <v>188</v>
      </c>
      <c r="F558" s="9"/>
      <c r="G558" t="s">
        <v>181</v>
      </c>
      <c r="H558">
        <v>4</v>
      </c>
      <c r="I558" t="s">
        <v>240</v>
      </c>
    </row>
    <row r="559" spans="2:9">
      <c r="B559" s="12" t="s">
        <v>11</v>
      </c>
      <c r="C559" s="9">
        <v>2021</v>
      </c>
      <c r="D559" s="9" t="s">
        <v>45</v>
      </c>
      <c r="E559" t="s">
        <v>180</v>
      </c>
      <c r="F559" s="9"/>
      <c r="G559" t="s">
        <v>181</v>
      </c>
      <c r="H559">
        <v>2</v>
      </c>
      <c r="I559" t="s">
        <v>505</v>
      </c>
    </row>
    <row r="560" spans="2:9">
      <c r="B560" s="12" t="s">
        <v>11</v>
      </c>
      <c r="C560" s="9">
        <v>2021</v>
      </c>
      <c r="D560" s="9" t="s">
        <v>45</v>
      </c>
      <c r="E560" t="s">
        <v>200</v>
      </c>
      <c r="F560" s="9"/>
      <c r="G560" t="s">
        <v>181</v>
      </c>
      <c r="H560">
        <v>1</v>
      </c>
      <c r="I560" t="s">
        <v>201</v>
      </c>
    </row>
    <row r="561" spans="2:9">
      <c r="B561" s="12" t="s">
        <v>11</v>
      </c>
      <c r="C561" s="9">
        <v>2021</v>
      </c>
      <c r="D561" s="9" t="s">
        <v>45</v>
      </c>
      <c r="E561" t="s">
        <v>180</v>
      </c>
      <c r="F561" s="9"/>
      <c r="G561" t="s">
        <v>181</v>
      </c>
      <c r="H561">
        <v>1</v>
      </c>
      <c r="I561" t="s">
        <v>517</v>
      </c>
    </row>
    <row r="562" spans="2:9">
      <c r="B562" s="12" t="s">
        <v>11</v>
      </c>
      <c r="C562" s="9">
        <v>2021</v>
      </c>
      <c r="D562" s="9" t="s">
        <v>45</v>
      </c>
      <c r="E562" t="s">
        <v>197</v>
      </c>
      <c r="F562" s="9"/>
      <c r="G562" t="s">
        <v>181</v>
      </c>
      <c r="H562">
        <v>0.25</v>
      </c>
      <c r="I562" t="s">
        <v>518</v>
      </c>
    </row>
    <row r="563" spans="2:9">
      <c r="B563" s="12" t="s">
        <v>11</v>
      </c>
      <c r="C563" s="9">
        <v>2021</v>
      </c>
      <c r="D563" s="9" t="s">
        <v>45</v>
      </c>
      <c r="E563" t="s">
        <v>199</v>
      </c>
      <c r="F563" s="9"/>
      <c r="G563" t="s">
        <v>181</v>
      </c>
      <c r="H563">
        <v>0.25</v>
      </c>
      <c r="I563" t="s">
        <v>518</v>
      </c>
    </row>
    <row r="564" spans="2:9">
      <c r="B564" s="12" t="s">
        <v>11</v>
      </c>
      <c r="C564" s="9">
        <v>2021</v>
      </c>
      <c r="D564" s="9" t="s">
        <v>45</v>
      </c>
      <c r="E564" t="s">
        <v>180</v>
      </c>
      <c r="F564" s="9"/>
      <c r="G564" t="s">
        <v>181</v>
      </c>
      <c r="H564">
        <v>1</v>
      </c>
      <c r="I564" t="s">
        <v>519</v>
      </c>
    </row>
    <row r="565" spans="2:9">
      <c r="B565" s="12" t="s">
        <v>11</v>
      </c>
      <c r="C565" s="9">
        <v>2021</v>
      </c>
      <c r="D565" s="9" t="s">
        <v>45</v>
      </c>
      <c r="E565" t="s">
        <v>180</v>
      </c>
      <c r="F565" s="9"/>
      <c r="G565" t="s">
        <v>181</v>
      </c>
      <c r="H565">
        <v>1</v>
      </c>
      <c r="I565" t="s">
        <v>520</v>
      </c>
    </row>
    <row r="566" spans="2:9">
      <c r="B566" s="12" t="s">
        <v>11</v>
      </c>
      <c r="C566" s="9">
        <v>2021</v>
      </c>
      <c r="D566" s="9" t="s">
        <v>45</v>
      </c>
      <c r="E566" t="s">
        <v>203</v>
      </c>
      <c r="F566" s="9"/>
      <c r="G566" t="s">
        <v>181</v>
      </c>
      <c r="H566">
        <v>1</v>
      </c>
      <c r="I566" t="s">
        <v>521</v>
      </c>
    </row>
    <row r="567" spans="2:9">
      <c r="B567" s="12" t="s">
        <v>11</v>
      </c>
      <c r="C567" s="9">
        <v>2021</v>
      </c>
      <c r="D567" s="9" t="s">
        <v>45</v>
      </c>
      <c r="E567" t="s">
        <v>394</v>
      </c>
      <c r="F567" s="9"/>
      <c r="G567" t="s">
        <v>181</v>
      </c>
      <c r="H567">
        <v>0.2</v>
      </c>
      <c r="I567" t="s">
        <v>522</v>
      </c>
    </row>
    <row r="568" spans="2:9">
      <c r="B568" s="12" t="s">
        <v>11</v>
      </c>
      <c r="C568" s="9">
        <v>2021</v>
      </c>
      <c r="D568" s="9" t="s">
        <v>45</v>
      </c>
      <c r="E568" t="s">
        <v>199</v>
      </c>
      <c r="F568" s="9"/>
      <c r="G568" t="s">
        <v>181</v>
      </c>
      <c r="H568">
        <v>0.4</v>
      </c>
      <c r="I568" t="s">
        <v>522</v>
      </c>
    </row>
    <row r="569" spans="2:9">
      <c r="B569" s="12" t="s">
        <v>11</v>
      </c>
      <c r="C569" s="9">
        <v>2021</v>
      </c>
      <c r="D569" s="9" t="s">
        <v>45</v>
      </c>
      <c r="E569" t="s">
        <v>197</v>
      </c>
      <c r="F569" s="9"/>
      <c r="G569" t="s">
        <v>181</v>
      </c>
      <c r="H569">
        <v>0.25</v>
      </c>
      <c r="I569" t="s">
        <v>522</v>
      </c>
    </row>
    <row r="570" spans="2:9">
      <c r="B570" s="12" t="s">
        <v>11</v>
      </c>
      <c r="C570" s="9">
        <v>2021</v>
      </c>
      <c r="D570" s="9" t="s">
        <v>45</v>
      </c>
      <c r="E570" t="s">
        <v>180</v>
      </c>
      <c r="F570" s="9"/>
      <c r="G570" t="s">
        <v>181</v>
      </c>
      <c r="H570">
        <v>0.15</v>
      </c>
      <c r="I570" t="s">
        <v>523</v>
      </c>
    </row>
    <row r="571" spans="2:9">
      <c r="B571" s="12" t="s">
        <v>11</v>
      </c>
      <c r="C571" s="9">
        <v>2021</v>
      </c>
      <c r="D571" s="9" t="s">
        <v>45</v>
      </c>
      <c r="E571" t="s">
        <v>203</v>
      </c>
      <c r="F571" s="9"/>
      <c r="G571" t="s">
        <v>181</v>
      </c>
      <c r="H571">
        <v>6</v>
      </c>
      <c r="I571" t="s">
        <v>524</v>
      </c>
    </row>
    <row r="572" spans="2:9">
      <c r="B572" s="12" t="s">
        <v>11</v>
      </c>
      <c r="C572" s="9">
        <v>2021</v>
      </c>
      <c r="D572" s="9" t="s">
        <v>45</v>
      </c>
      <c r="E572" t="s">
        <v>191</v>
      </c>
      <c r="F572" s="9"/>
      <c r="G572" t="s">
        <v>181</v>
      </c>
      <c r="H572">
        <v>2</v>
      </c>
      <c r="I572" t="s">
        <v>525</v>
      </c>
    </row>
    <row r="573" spans="2:9">
      <c r="B573" s="12" t="s">
        <v>11</v>
      </c>
      <c r="C573" s="9">
        <v>2021</v>
      </c>
      <c r="D573" s="9" t="s">
        <v>45</v>
      </c>
      <c r="E573" t="s">
        <v>193</v>
      </c>
      <c r="F573" s="9"/>
      <c r="G573" t="s">
        <v>181</v>
      </c>
      <c r="H573">
        <v>2</v>
      </c>
      <c r="I573" t="s">
        <v>526</v>
      </c>
    </row>
    <row r="574" spans="2:9">
      <c r="B574" s="12" t="s">
        <v>11</v>
      </c>
      <c r="C574" s="9">
        <v>2021</v>
      </c>
      <c r="D574" s="9" t="s">
        <v>45</v>
      </c>
      <c r="E574" t="s">
        <v>199</v>
      </c>
      <c r="F574" s="9"/>
      <c r="G574" t="s">
        <v>181</v>
      </c>
      <c r="H574">
        <v>1</v>
      </c>
      <c r="I574" t="s">
        <v>527</v>
      </c>
    </row>
    <row r="575" spans="2:9">
      <c r="B575" s="12" t="s">
        <v>11</v>
      </c>
      <c r="C575" s="35">
        <v>2021</v>
      </c>
      <c r="D575" s="35" t="s">
        <v>45</v>
      </c>
      <c r="E575" t="s">
        <v>188</v>
      </c>
      <c r="F575" s="35"/>
      <c r="G575" t="s">
        <v>181</v>
      </c>
      <c r="H575">
        <v>11.5</v>
      </c>
      <c r="I575" t="s">
        <v>528</v>
      </c>
    </row>
    <row r="576" spans="2:9">
      <c r="B576" s="12" t="s">
        <v>11</v>
      </c>
      <c r="C576" s="9">
        <v>2021</v>
      </c>
      <c r="D576" s="9" t="s">
        <v>45</v>
      </c>
      <c r="E576" t="s">
        <v>188</v>
      </c>
      <c r="F576" s="9"/>
      <c r="G576" t="s">
        <v>208</v>
      </c>
      <c r="H576">
        <v>4.8499999999999996</v>
      </c>
      <c r="I576" t="s">
        <v>529</v>
      </c>
    </row>
    <row r="577" spans="2:9">
      <c r="B577" s="12" t="s">
        <v>11</v>
      </c>
      <c r="C577" s="9">
        <v>2021</v>
      </c>
      <c r="D577" s="9" t="s">
        <v>45</v>
      </c>
      <c r="E577" t="s">
        <v>199</v>
      </c>
      <c r="F577" s="9"/>
      <c r="G577" t="s">
        <v>208</v>
      </c>
      <c r="H577">
        <v>0.15</v>
      </c>
      <c r="I577" t="s">
        <v>530</v>
      </c>
    </row>
    <row r="578" spans="2:9">
      <c r="B578" s="12" t="s">
        <v>11</v>
      </c>
      <c r="C578" s="35">
        <v>2021</v>
      </c>
      <c r="D578" s="35" t="s">
        <v>45</v>
      </c>
      <c r="E578" t="s">
        <v>193</v>
      </c>
      <c r="F578" s="35"/>
      <c r="G578" t="s">
        <v>208</v>
      </c>
      <c r="H578">
        <v>4.4000000000000004</v>
      </c>
      <c r="I578" t="s">
        <v>531</v>
      </c>
    </row>
    <row r="579" spans="2:9">
      <c r="B579" s="12" t="s">
        <v>11</v>
      </c>
      <c r="C579" s="35">
        <v>2021</v>
      </c>
      <c r="D579" s="35" t="s">
        <v>47</v>
      </c>
      <c r="E579" t="s">
        <v>180</v>
      </c>
      <c r="F579" s="35"/>
      <c r="G579" t="s">
        <v>181</v>
      </c>
      <c r="H579">
        <v>6</v>
      </c>
      <c r="I579" t="s">
        <v>532</v>
      </c>
    </row>
    <row r="580" spans="2:9">
      <c r="B580" s="12" t="s">
        <v>11</v>
      </c>
      <c r="C580" s="9">
        <v>2021</v>
      </c>
      <c r="D580" s="9" t="s">
        <v>47</v>
      </c>
      <c r="E580" t="s">
        <v>180</v>
      </c>
      <c r="F580" s="9"/>
      <c r="G580" t="s">
        <v>181</v>
      </c>
      <c r="H580">
        <v>2</v>
      </c>
      <c r="I580" t="s">
        <v>533</v>
      </c>
    </row>
    <row r="581" spans="2:9">
      <c r="B581" s="12" t="s">
        <v>11</v>
      </c>
      <c r="C581" s="9">
        <v>2021</v>
      </c>
      <c r="D581" s="9" t="s">
        <v>47</v>
      </c>
      <c r="E581" t="s">
        <v>184</v>
      </c>
      <c r="F581" s="9"/>
      <c r="G581" t="s">
        <v>181</v>
      </c>
      <c r="H581">
        <v>2</v>
      </c>
      <c r="I581" t="s">
        <v>216</v>
      </c>
    </row>
    <row r="582" spans="2:9">
      <c r="B582" s="12" t="s">
        <v>11</v>
      </c>
      <c r="C582" s="9">
        <v>2021</v>
      </c>
      <c r="D582" s="9" t="s">
        <v>47</v>
      </c>
      <c r="E582" t="s">
        <v>180</v>
      </c>
      <c r="F582" s="9"/>
      <c r="G582" t="s">
        <v>181</v>
      </c>
      <c r="H582">
        <v>1</v>
      </c>
      <c r="I582" t="s">
        <v>534</v>
      </c>
    </row>
    <row r="583" spans="2:9">
      <c r="B583" s="12" t="s">
        <v>11</v>
      </c>
      <c r="C583" s="9">
        <v>2021</v>
      </c>
      <c r="D583" s="9" t="s">
        <v>47</v>
      </c>
      <c r="E583" t="s">
        <v>180</v>
      </c>
      <c r="F583" s="9"/>
      <c r="G583" t="s">
        <v>181</v>
      </c>
      <c r="H583">
        <v>1</v>
      </c>
      <c r="I583" t="s">
        <v>439</v>
      </c>
    </row>
    <row r="584" spans="2:9">
      <c r="B584" s="12" t="s">
        <v>11</v>
      </c>
      <c r="C584" s="9">
        <v>2021</v>
      </c>
      <c r="D584" s="9" t="s">
        <v>47</v>
      </c>
      <c r="E584" t="s">
        <v>180</v>
      </c>
      <c r="F584" s="9"/>
      <c r="G584" t="s">
        <v>181</v>
      </c>
      <c r="H584">
        <v>1</v>
      </c>
      <c r="I584" t="s">
        <v>535</v>
      </c>
    </row>
    <row r="585" spans="2:9">
      <c r="B585" s="12" t="s">
        <v>11</v>
      </c>
      <c r="C585" s="9">
        <v>2021</v>
      </c>
      <c r="D585" s="9" t="s">
        <v>47</v>
      </c>
      <c r="E585" t="s">
        <v>180</v>
      </c>
      <c r="F585" s="9"/>
      <c r="G585" t="s">
        <v>181</v>
      </c>
      <c r="H585">
        <v>2</v>
      </c>
      <c r="I585" t="s">
        <v>536</v>
      </c>
    </row>
    <row r="586" spans="2:9">
      <c r="B586" s="12" t="s">
        <v>11</v>
      </c>
      <c r="C586" s="9">
        <v>2021</v>
      </c>
      <c r="D586" s="9" t="s">
        <v>47</v>
      </c>
      <c r="E586" t="s">
        <v>188</v>
      </c>
      <c r="F586" s="9"/>
      <c r="G586" t="s">
        <v>181</v>
      </c>
      <c r="H586">
        <v>4</v>
      </c>
      <c r="I586" t="s">
        <v>537</v>
      </c>
    </row>
    <row r="587" spans="2:9">
      <c r="B587" s="12" t="s">
        <v>11</v>
      </c>
      <c r="C587" s="9">
        <v>2021</v>
      </c>
      <c r="D587" s="9" t="s">
        <v>47</v>
      </c>
      <c r="E587" t="s">
        <v>180</v>
      </c>
      <c r="F587" s="9"/>
      <c r="G587" t="s">
        <v>181</v>
      </c>
      <c r="H587">
        <v>2</v>
      </c>
      <c r="I587" t="s">
        <v>538</v>
      </c>
    </row>
    <row r="588" spans="2:9">
      <c r="B588" s="12" t="s">
        <v>11</v>
      </c>
      <c r="C588" s="9">
        <v>2021</v>
      </c>
      <c r="D588" s="9" t="s">
        <v>47</v>
      </c>
      <c r="E588" t="s">
        <v>200</v>
      </c>
      <c r="F588" s="9"/>
      <c r="G588" t="s">
        <v>181</v>
      </c>
      <c r="H588">
        <v>2</v>
      </c>
      <c r="I588" t="s">
        <v>539</v>
      </c>
    </row>
    <row r="589" spans="2:9">
      <c r="B589" s="12" t="s">
        <v>11</v>
      </c>
      <c r="C589" s="9">
        <v>2021</v>
      </c>
      <c r="D589" s="9" t="s">
        <v>47</v>
      </c>
      <c r="E589" t="s">
        <v>188</v>
      </c>
      <c r="F589" s="9"/>
      <c r="G589" t="s">
        <v>181</v>
      </c>
      <c r="H589">
        <v>1.5</v>
      </c>
      <c r="I589" t="s">
        <v>540</v>
      </c>
    </row>
    <row r="590" spans="2:9">
      <c r="B590" s="12" t="s">
        <v>11</v>
      </c>
      <c r="C590" s="9">
        <v>2021</v>
      </c>
      <c r="D590" s="9" t="s">
        <v>47</v>
      </c>
      <c r="E590" t="s">
        <v>199</v>
      </c>
      <c r="F590" s="9"/>
      <c r="G590" t="s">
        <v>181</v>
      </c>
      <c r="H590">
        <v>1</v>
      </c>
      <c r="I590" t="s">
        <v>541</v>
      </c>
    </row>
    <row r="591" spans="2:9">
      <c r="B591" s="12" t="s">
        <v>11</v>
      </c>
      <c r="C591" s="35">
        <v>2021</v>
      </c>
      <c r="D591" s="35" t="s">
        <v>47</v>
      </c>
      <c r="E591" t="s">
        <v>191</v>
      </c>
      <c r="F591" s="35"/>
      <c r="G591" t="s">
        <v>181</v>
      </c>
      <c r="H591">
        <v>1</v>
      </c>
      <c r="I591" t="s">
        <v>542</v>
      </c>
    </row>
    <row r="592" spans="2:9">
      <c r="B592" s="12" t="s">
        <v>11</v>
      </c>
      <c r="C592" s="9">
        <v>2021</v>
      </c>
      <c r="D592" s="9" t="s">
        <v>47</v>
      </c>
      <c r="E592" t="s">
        <v>197</v>
      </c>
      <c r="F592" s="9"/>
      <c r="G592" t="s">
        <v>208</v>
      </c>
      <c r="H592">
        <v>1</v>
      </c>
      <c r="I592" t="s">
        <v>543</v>
      </c>
    </row>
    <row r="593" spans="2:9">
      <c r="B593" s="12" t="s">
        <v>11</v>
      </c>
      <c r="C593" s="9">
        <v>2021</v>
      </c>
      <c r="D593" s="9" t="s">
        <v>47</v>
      </c>
      <c r="E593" t="s">
        <v>191</v>
      </c>
      <c r="F593" s="9"/>
      <c r="G593" t="s">
        <v>208</v>
      </c>
      <c r="H593">
        <v>1.7</v>
      </c>
      <c r="I593" t="s">
        <v>544</v>
      </c>
    </row>
    <row r="594" spans="2:9">
      <c r="B594" s="12" t="s">
        <v>11</v>
      </c>
      <c r="C594" s="35">
        <v>2021</v>
      </c>
      <c r="D594" s="35" t="s">
        <v>47</v>
      </c>
      <c r="E594" t="s">
        <v>193</v>
      </c>
      <c r="F594" s="35"/>
      <c r="G594" t="s">
        <v>208</v>
      </c>
      <c r="H594">
        <v>0.75</v>
      </c>
      <c r="I594" t="s">
        <v>545</v>
      </c>
    </row>
    <row r="595" spans="2:9">
      <c r="B595" s="12" t="s">
        <v>11</v>
      </c>
      <c r="C595" s="9">
        <v>2021</v>
      </c>
      <c r="D595" s="9" t="s">
        <v>49</v>
      </c>
      <c r="E595" t="s">
        <v>180</v>
      </c>
      <c r="F595" s="9"/>
      <c r="G595" t="s">
        <v>181</v>
      </c>
      <c r="H595">
        <v>6</v>
      </c>
      <c r="I595" t="s">
        <v>273</v>
      </c>
    </row>
    <row r="596" spans="2:9">
      <c r="B596" s="12" t="s">
        <v>11</v>
      </c>
      <c r="C596" s="9">
        <v>2021</v>
      </c>
      <c r="D596" s="9" t="s">
        <v>49</v>
      </c>
      <c r="E596" t="s">
        <v>180</v>
      </c>
      <c r="F596" s="9"/>
      <c r="G596" t="s">
        <v>181</v>
      </c>
      <c r="H596">
        <v>2</v>
      </c>
      <c r="I596" t="s">
        <v>437</v>
      </c>
    </row>
    <row r="597" spans="2:9">
      <c r="B597" s="12" t="s">
        <v>11</v>
      </c>
      <c r="C597" s="9">
        <v>2021</v>
      </c>
      <c r="D597" s="9" t="s">
        <v>49</v>
      </c>
      <c r="E597" t="s">
        <v>184</v>
      </c>
      <c r="F597" s="9"/>
      <c r="G597" t="s">
        <v>181</v>
      </c>
      <c r="H597">
        <v>2</v>
      </c>
      <c r="I597" t="s">
        <v>216</v>
      </c>
    </row>
    <row r="598" spans="2:9">
      <c r="B598" s="12" t="s">
        <v>11</v>
      </c>
      <c r="C598" s="9">
        <v>2021</v>
      </c>
      <c r="D598" s="9" t="s">
        <v>49</v>
      </c>
      <c r="E598" t="s">
        <v>180</v>
      </c>
      <c r="F598" s="9"/>
      <c r="G598" t="s">
        <v>181</v>
      </c>
      <c r="H598">
        <v>1</v>
      </c>
      <c r="I598" t="s">
        <v>546</v>
      </c>
    </row>
    <row r="599" spans="2:9">
      <c r="B599" s="12" t="s">
        <v>11</v>
      </c>
      <c r="C599" s="9">
        <v>2021</v>
      </c>
      <c r="D599" s="9" t="s">
        <v>49</v>
      </c>
      <c r="E599" t="s">
        <v>180</v>
      </c>
      <c r="F599" s="9"/>
      <c r="G599" t="s">
        <v>181</v>
      </c>
      <c r="H599">
        <v>1</v>
      </c>
      <c r="I599" t="s">
        <v>547</v>
      </c>
    </row>
    <row r="600" spans="2:9">
      <c r="B600" s="12" t="s">
        <v>11</v>
      </c>
      <c r="C600" s="9">
        <v>2021</v>
      </c>
      <c r="D600" s="9" t="s">
        <v>49</v>
      </c>
      <c r="E600" t="s">
        <v>188</v>
      </c>
      <c r="F600" s="9"/>
      <c r="G600" t="s">
        <v>181</v>
      </c>
      <c r="H600">
        <v>4</v>
      </c>
      <c r="I600" t="s">
        <v>479</v>
      </c>
    </row>
    <row r="601" spans="2:9">
      <c r="B601" s="12" t="s">
        <v>11</v>
      </c>
      <c r="C601" s="9">
        <v>2021</v>
      </c>
      <c r="D601" s="9" t="s">
        <v>49</v>
      </c>
      <c r="E601" t="s">
        <v>180</v>
      </c>
      <c r="F601" s="9"/>
      <c r="G601" t="s">
        <v>181</v>
      </c>
      <c r="H601">
        <v>2</v>
      </c>
      <c r="I601" t="s">
        <v>480</v>
      </c>
    </row>
    <row r="602" spans="2:9">
      <c r="B602" s="12" t="s">
        <v>11</v>
      </c>
      <c r="C602" s="9">
        <v>2021</v>
      </c>
      <c r="D602" s="9" t="s">
        <v>49</v>
      </c>
      <c r="E602" t="s">
        <v>180</v>
      </c>
      <c r="F602" s="9"/>
      <c r="G602" t="s">
        <v>181</v>
      </c>
      <c r="H602">
        <v>1</v>
      </c>
      <c r="I602" t="s">
        <v>548</v>
      </c>
    </row>
    <row r="603" spans="2:9">
      <c r="B603" s="12" t="s">
        <v>11</v>
      </c>
      <c r="C603" s="9">
        <v>2021</v>
      </c>
      <c r="D603" s="9" t="s">
        <v>49</v>
      </c>
      <c r="E603" t="s">
        <v>191</v>
      </c>
      <c r="F603" s="9"/>
      <c r="G603" t="s">
        <v>181</v>
      </c>
      <c r="H603">
        <v>1</v>
      </c>
      <c r="I603" t="s">
        <v>479</v>
      </c>
    </row>
    <row r="604" spans="2:9">
      <c r="B604" s="12" t="s">
        <v>11</v>
      </c>
      <c r="C604" s="9">
        <v>2021</v>
      </c>
      <c r="D604" s="9" t="s">
        <v>49</v>
      </c>
      <c r="E604" t="s">
        <v>191</v>
      </c>
      <c r="F604" s="9"/>
      <c r="G604" t="s">
        <v>181</v>
      </c>
      <c r="H604">
        <v>2.5</v>
      </c>
      <c r="I604" t="s">
        <v>549</v>
      </c>
    </row>
    <row r="605" spans="2:9">
      <c r="B605" s="12" t="s">
        <v>11</v>
      </c>
      <c r="C605" s="9">
        <v>2021</v>
      </c>
      <c r="D605" s="9" t="s">
        <v>49</v>
      </c>
      <c r="E605" t="s">
        <v>180</v>
      </c>
      <c r="F605" s="9"/>
      <c r="G605" t="s">
        <v>181</v>
      </c>
      <c r="H605">
        <v>1</v>
      </c>
      <c r="I605" t="s">
        <v>484</v>
      </c>
    </row>
    <row r="606" spans="2:9">
      <c r="B606" s="12" t="s">
        <v>11</v>
      </c>
      <c r="C606" s="9">
        <v>2021</v>
      </c>
      <c r="D606" s="9" t="s">
        <v>49</v>
      </c>
      <c r="E606" t="s">
        <v>180</v>
      </c>
      <c r="F606" s="9"/>
      <c r="G606" t="s">
        <v>181</v>
      </c>
      <c r="H606">
        <v>1</v>
      </c>
      <c r="I606" t="s">
        <v>519</v>
      </c>
    </row>
    <row r="607" spans="2:9">
      <c r="B607" s="12" t="s">
        <v>11</v>
      </c>
      <c r="C607" s="9">
        <v>2021</v>
      </c>
      <c r="D607" s="9" t="s">
        <v>49</v>
      </c>
      <c r="E607" t="s">
        <v>200</v>
      </c>
      <c r="F607" s="9"/>
      <c r="G607" t="s">
        <v>181</v>
      </c>
      <c r="H607">
        <v>1</v>
      </c>
      <c r="I607" t="s">
        <v>201</v>
      </c>
    </row>
    <row r="608" spans="2:9">
      <c r="B608" s="12" t="s">
        <v>11</v>
      </c>
      <c r="C608" s="9">
        <v>2021</v>
      </c>
      <c r="D608" s="9" t="s">
        <v>49</v>
      </c>
      <c r="E608" t="s">
        <v>199</v>
      </c>
      <c r="F608" s="9"/>
      <c r="G608" t="s">
        <v>181</v>
      </c>
      <c r="H608">
        <v>0.25</v>
      </c>
      <c r="I608" t="s">
        <v>202</v>
      </c>
    </row>
    <row r="609" spans="2:9">
      <c r="B609" s="12" t="s">
        <v>11</v>
      </c>
      <c r="C609" s="9">
        <v>2021</v>
      </c>
      <c r="D609" s="9" t="s">
        <v>49</v>
      </c>
      <c r="E609" t="s">
        <v>197</v>
      </c>
      <c r="F609" s="9"/>
      <c r="G609" t="s">
        <v>181</v>
      </c>
      <c r="H609">
        <v>0.25</v>
      </c>
      <c r="I609" t="s">
        <v>202</v>
      </c>
    </row>
    <row r="610" spans="2:9">
      <c r="B610" s="12" t="s">
        <v>11</v>
      </c>
      <c r="C610" s="9">
        <v>2021</v>
      </c>
      <c r="D610" s="9" t="s">
        <v>49</v>
      </c>
      <c r="E610" t="s">
        <v>199</v>
      </c>
      <c r="F610" s="9"/>
      <c r="G610" t="s">
        <v>181</v>
      </c>
      <c r="H610">
        <v>1</v>
      </c>
      <c r="I610" t="s">
        <v>367</v>
      </c>
    </row>
    <row r="611" spans="2:9">
      <c r="B611" s="12" t="s">
        <v>11</v>
      </c>
      <c r="C611" s="9">
        <v>2021</v>
      </c>
      <c r="D611" s="9" t="s">
        <v>49</v>
      </c>
      <c r="E611" t="s">
        <v>197</v>
      </c>
      <c r="F611" s="9"/>
      <c r="G611" t="s">
        <v>181</v>
      </c>
      <c r="H611">
        <v>0.5</v>
      </c>
      <c r="I611" t="s">
        <v>367</v>
      </c>
    </row>
    <row r="612" spans="2:9">
      <c r="B612" s="12" t="s">
        <v>11</v>
      </c>
      <c r="C612" s="9">
        <v>2021</v>
      </c>
      <c r="D612" s="9" t="s">
        <v>49</v>
      </c>
      <c r="E612" t="s">
        <v>203</v>
      </c>
      <c r="F612" s="9"/>
      <c r="G612" t="s">
        <v>181</v>
      </c>
      <c r="H612">
        <v>1</v>
      </c>
      <c r="I612" t="s">
        <v>201</v>
      </c>
    </row>
    <row r="613" spans="2:9">
      <c r="B613" s="12" t="s">
        <v>11</v>
      </c>
      <c r="C613" s="9">
        <v>2021</v>
      </c>
      <c r="D613" s="9" t="s">
        <v>49</v>
      </c>
      <c r="E613" t="s">
        <v>180</v>
      </c>
      <c r="F613" s="9"/>
      <c r="G613" t="s">
        <v>181</v>
      </c>
      <c r="H613">
        <v>3</v>
      </c>
      <c r="I613" t="s">
        <v>550</v>
      </c>
    </row>
    <row r="614" spans="2:9">
      <c r="B614" s="12" t="s">
        <v>11</v>
      </c>
      <c r="C614" s="9">
        <v>2021</v>
      </c>
      <c r="D614" s="9" t="s">
        <v>49</v>
      </c>
      <c r="E614" t="s">
        <v>199</v>
      </c>
      <c r="F614" s="9"/>
      <c r="G614" t="s">
        <v>181</v>
      </c>
      <c r="H614">
        <v>6</v>
      </c>
      <c r="I614" t="s">
        <v>551</v>
      </c>
    </row>
    <row r="615" spans="2:9">
      <c r="B615" s="12" t="s">
        <v>11</v>
      </c>
      <c r="C615" s="9">
        <v>2021</v>
      </c>
      <c r="D615" s="9" t="s">
        <v>49</v>
      </c>
      <c r="E615" t="s">
        <v>197</v>
      </c>
      <c r="F615" s="9"/>
      <c r="G615" t="s">
        <v>181</v>
      </c>
      <c r="H615">
        <v>4</v>
      </c>
      <c r="I615" t="s">
        <v>551</v>
      </c>
    </row>
    <row r="616" spans="2:9">
      <c r="B616" s="12" t="s">
        <v>11</v>
      </c>
      <c r="C616" s="9">
        <v>2021</v>
      </c>
      <c r="D616" s="9" t="s">
        <v>49</v>
      </c>
      <c r="E616" t="s">
        <v>188</v>
      </c>
      <c r="F616" s="9"/>
      <c r="G616" t="s">
        <v>181</v>
      </c>
      <c r="H616">
        <v>4</v>
      </c>
      <c r="I616" t="s">
        <v>551</v>
      </c>
    </row>
    <row r="617" spans="2:9">
      <c r="B617" s="12" t="s">
        <v>11</v>
      </c>
      <c r="C617" s="9">
        <v>2021</v>
      </c>
      <c r="D617" s="9" t="s">
        <v>49</v>
      </c>
      <c r="E617" t="s">
        <v>191</v>
      </c>
      <c r="F617" s="9"/>
      <c r="G617" t="s">
        <v>181</v>
      </c>
      <c r="H617">
        <v>4</v>
      </c>
      <c r="I617" t="s">
        <v>551</v>
      </c>
    </row>
    <row r="618" spans="2:9">
      <c r="B618" s="12" t="s">
        <v>11</v>
      </c>
      <c r="C618" s="9">
        <v>2021</v>
      </c>
      <c r="D618" s="9" t="s">
        <v>49</v>
      </c>
      <c r="E618" t="s">
        <v>203</v>
      </c>
      <c r="F618" s="9"/>
      <c r="G618" t="s">
        <v>181</v>
      </c>
      <c r="H618">
        <v>2</v>
      </c>
      <c r="I618" t="s">
        <v>551</v>
      </c>
    </row>
    <row r="619" spans="2:9">
      <c r="B619" s="12" t="s">
        <v>11</v>
      </c>
      <c r="C619" s="35">
        <v>2021</v>
      </c>
      <c r="D619" s="35" t="s">
        <v>49</v>
      </c>
      <c r="E619" t="s">
        <v>191</v>
      </c>
      <c r="F619" s="35"/>
      <c r="G619" t="s">
        <v>181</v>
      </c>
      <c r="H619">
        <v>3.35</v>
      </c>
      <c r="I619" t="s">
        <v>552</v>
      </c>
    </row>
    <row r="620" spans="2:9">
      <c r="B620" s="12" t="s">
        <v>11</v>
      </c>
      <c r="C620" s="9">
        <v>2021</v>
      </c>
      <c r="D620" s="9" t="s">
        <v>49</v>
      </c>
      <c r="E620" t="s">
        <v>199</v>
      </c>
      <c r="F620" s="9"/>
      <c r="G620" t="s">
        <v>208</v>
      </c>
      <c r="H620">
        <v>0.5</v>
      </c>
      <c r="I620" t="s">
        <v>553</v>
      </c>
    </row>
    <row r="621" spans="2:9">
      <c r="B621" s="12" t="s">
        <v>11</v>
      </c>
      <c r="C621" s="9">
        <v>2021</v>
      </c>
      <c r="D621" s="9" t="s">
        <v>49</v>
      </c>
      <c r="E621" t="s">
        <v>203</v>
      </c>
      <c r="F621" s="9"/>
      <c r="G621" t="s">
        <v>208</v>
      </c>
      <c r="H621">
        <v>2.4</v>
      </c>
      <c r="I621" t="s">
        <v>554</v>
      </c>
    </row>
    <row r="622" spans="2:9">
      <c r="B622" s="12" t="s">
        <v>11</v>
      </c>
      <c r="C622" s="9">
        <v>2021</v>
      </c>
      <c r="D622" s="9" t="s">
        <v>49</v>
      </c>
      <c r="E622" t="s">
        <v>188</v>
      </c>
      <c r="F622" s="9"/>
      <c r="G622" t="s">
        <v>208</v>
      </c>
      <c r="H622">
        <v>1.4</v>
      </c>
      <c r="I622" t="s">
        <v>555</v>
      </c>
    </row>
    <row r="623" spans="2:9">
      <c r="B623" s="12" t="s">
        <v>11</v>
      </c>
      <c r="C623" s="9">
        <v>2021</v>
      </c>
      <c r="D623" s="9" t="s">
        <v>49</v>
      </c>
      <c r="E623" t="s">
        <v>188</v>
      </c>
      <c r="F623" s="9"/>
      <c r="G623" t="s">
        <v>208</v>
      </c>
      <c r="H623">
        <v>2.38</v>
      </c>
      <c r="I623" t="s">
        <v>556</v>
      </c>
    </row>
    <row r="624" spans="2:9">
      <c r="B624" s="12" t="s">
        <v>11</v>
      </c>
      <c r="C624" s="35">
        <v>2021</v>
      </c>
      <c r="D624" s="35" t="s">
        <v>49</v>
      </c>
      <c r="E624" t="s">
        <v>193</v>
      </c>
      <c r="F624" s="35"/>
      <c r="G624" t="s">
        <v>208</v>
      </c>
      <c r="H624">
        <v>14</v>
      </c>
      <c r="I624" t="s">
        <v>557</v>
      </c>
    </row>
    <row r="625" spans="2:9">
      <c r="B625" s="12" t="s">
        <v>11</v>
      </c>
      <c r="C625" s="9">
        <v>2020</v>
      </c>
      <c r="D625" s="9" t="s">
        <v>12</v>
      </c>
      <c r="E625" t="s">
        <v>180</v>
      </c>
      <c r="F625" s="9"/>
      <c r="G625" t="s">
        <v>181</v>
      </c>
      <c r="H625">
        <v>1.5</v>
      </c>
      <c r="I625" t="s">
        <v>558</v>
      </c>
    </row>
    <row r="626" spans="2:9">
      <c r="B626" s="12" t="s">
        <v>11</v>
      </c>
      <c r="C626" s="9">
        <v>2020</v>
      </c>
      <c r="D626" s="9" t="s">
        <v>12</v>
      </c>
      <c r="E626" t="s">
        <v>184</v>
      </c>
      <c r="F626" s="9"/>
      <c r="G626" t="s">
        <v>181</v>
      </c>
      <c r="H626">
        <v>0.5</v>
      </c>
      <c r="I626" t="s">
        <v>559</v>
      </c>
    </row>
    <row r="627" spans="2:9">
      <c r="B627" s="12" t="s">
        <v>11</v>
      </c>
      <c r="C627" s="9">
        <v>2020</v>
      </c>
      <c r="D627" s="9" t="s">
        <v>12</v>
      </c>
      <c r="E627" t="s">
        <v>188</v>
      </c>
      <c r="F627" s="9"/>
      <c r="G627" t="s">
        <v>181</v>
      </c>
      <c r="H627">
        <v>1</v>
      </c>
      <c r="I627" t="s">
        <v>560</v>
      </c>
    </row>
    <row r="628" spans="2:9">
      <c r="B628" s="12" t="s">
        <v>11</v>
      </c>
      <c r="C628" s="9">
        <v>2020</v>
      </c>
      <c r="D628" s="9" t="s">
        <v>12</v>
      </c>
      <c r="E628" t="s">
        <v>180</v>
      </c>
      <c r="F628" s="9"/>
      <c r="G628" t="s">
        <v>181</v>
      </c>
      <c r="H628">
        <v>1.5</v>
      </c>
      <c r="I628" t="s">
        <v>558</v>
      </c>
    </row>
    <row r="629" spans="2:9">
      <c r="B629" s="12" t="s">
        <v>11</v>
      </c>
      <c r="C629" s="9">
        <v>2020</v>
      </c>
      <c r="D629" s="9" t="s">
        <v>12</v>
      </c>
      <c r="E629" t="s">
        <v>184</v>
      </c>
      <c r="F629" s="9"/>
      <c r="G629" t="s">
        <v>181</v>
      </c>
      <c r="H629">
        <v>0.5</v>
      </c>
      <c r="I629" t="s">
        <v>559</v>
      </c>
    </row>
    <row r="630" spans="2:9">
      <c r="B630" s="12" t="s">
        <v>11</v>
      </c>
      <c r="C630" s="9">
        <v>2020</v>
      </c>
      <c r="D630" s="9" t="s">
        <v>12</v>
      </c>
      <c r="E630" t="s">
        <v>188</v>
      </c>
      <c r="F630" s="9"/>
      <c r="G630" t="s">
        <v>181</v>
      </c>
      <c r="H630">
        <v>1</v>
      </c>
      <c r="I630" t="s">
        <v>560</v>
      </c>
    </row>
    <row r="631" spans="2:9">
      <c r="B631" s="12" t="s">
        <v>11</v>
      </c>
      <c r="C631" s="9">
        <v>2020</v>
      </c>
      <c r="D631" s="9" t="s">
        <v>12</v>
      </c>
      <c r="E631" t="s">
        <v>193</v>
      </c>
      <c r="F631" s="9"/>
      <c r="G631" t="s">
        <v>181</v>
      </c>
      <c r="H631">
        <v>0.5</v>
      </c>
      <c r="I631" t="s">
        <v>561</v>
      </c>
    </row>
    <row r="632" spans="2:9">
      <c r="B632" s="12" t="s">
        <v>11</v>
      </c>
      <c r="C632" s="9">
        <v>2020</v>
      </c>
      <c r="D632" s="9" t="s">
        <v>12</v>
      </c>
      <c r="E632" t="s">
        <v>180</v>
      </c>
      <c r="F632" s="9"/>
      <c r="G632" t="s">
        <v>181</v>
      </c>
      <c r="H632">
        <v>1.5</v>
      </c>
      <c r="I632" t="s">
        <v>558</v>
      </c>
    </row>
    <row r="633" spans="2:9">
      <c r="B633" s="12" t="s">
        <v>11</v>
      </c>
      <c r="C633" s="9">
        <v>2020</v>
      </c>
      <c r="D633" s="9" t="s">
        <v>12</v>
      </c>
      <c r="E633" t="s">
        <v>184</v>
      </c>
      <c r="F633" s="9"/>
      <c r="G633" t="s">
        <v>181</v>
      </c>
      <c r="H633">
        <v>0.5</v>
      </c>
      <c r="I633" t="s">
        <v>562</v>
      </c>
    </row>
    <row r="634" spans="2:9">
      <c r="B634" s="12" t="s">
        <v>11</v>
      </c>
      <c r="C634" s="9">
        <v>2020</v>
      </c>
      <c r="D634" s="9" t="s">
        <v>12</v>
      </c>
      <c r="E634" t="s">
        <v>188</v>
      </c>
      <c r="F634" s="9"/>
      <c r="G634" t="s">
        <v>181</v>
      </c>
      <c r="H634">
        <v>1</v>
      </c>
      <c r="I634" t="s">
        <v>560</v>
      </c>
    </row>
    <row r="635" spans="2:9">
      <c r="B635" s="12" t="s">
        <v>11</v>
      </c>
      <c r="C635" s="9">
        <v>2020</v>
      </c>
      <c r="D635" s="9" t="s">
        <v>12</v>
      </c>
      <c r="E635" t="s">
        <v>259</v>
      </c>
      <c r="F635" s="9"/>
      <c r="G635" t="s">
        <v>181</v>
      </c>
      <c r="H635">
        <v>1.5</v>
      </c>
      <c r="I635" t="s">
        <v>558</v>
      </c>
    </row>
    <row r="636" spans="2:9">
      <c r="B636" s="12" t="s">
        <v>11</v>
      </c>
      <c r="C636" s="9">
        <v>2020</v>
      </c>
      <c r="D636" s="9" t="s">
        <v>12</v>
      </c>
      <c r="E636" t="s">
        <v>184</v>
      </c>
      <c r="F636" s="9"/>
      <c r="G636" t="s">
        <v>181</v>
      </c>
      <c r="H636">
        <v>0.5</v>
      </c>
      <c r="I636" t="s">
        <v>562</v>
      </c>
    </row>
    <row r="637" spans="2:9">
      <c r="B637" s="12" t="s">
        <v>11</v>
      </c>
      <c r="C637" s="35">
        <v>2020</v>
      </c>
      <c r="D637" s="35" t="s">
        <v>12</v>
      </c>
      <c r="E637" t="s">
        <v>188</v>
      </c>
      <c r="F637" s="35"/>
      <c r="G637" t="s">
        <v>181</v>
      </c>
      <c r="H637">
        <v>1</v>
      </c>
      <c r="I637" t="s">
        <v>560</v>
      </c>
    </row>
    <row r="638" spans="2:9">
      <c r="B638" s="12" t="s">
        <v>11</v>
      </c>
      <c r="C638" s="9">
        <v>2020</v>
      </c>
      <c r="D638" s="9" t="s">
        <v>12</v>
      </c>
      <c r="E638" t="s">
        <v>191</v>
      </c>
      <c r="F638" s="9"/>
      <c r="G638" t="s">
        <v>208</v>
      </c>
      <c r="H638">
        <v>2.5</v>
      </c>
      <c r="I638" t="s">
        <v>563</v>
      </c>
    </row>
    <row r="639" spans="2:9">
      <c r="B639" s="12" t="s">
        <v>11</v>
      </c>
      <c r="C639" s="9">
        <v>2020</v>
      </c>
      <c r="D639" s="9" t="s">
        <v>12</v>
      </c>
      <c r="E639" t="s">
        <v>191</v>
      </c>
      <c r="F639" s="9"/>
      <c r="G639" t="s">
        <v>208</v>
      </c>
      <c r="H639">
        <v>1</v>
      </c>
      <c r="I639" t="s">
        <v>564</v>
      </c>
    </row>
    <row r="640" spans="2:9">
      <c r="B640" s="12" t="s">
        <v>11</v>
      </c>
      <c r="C640" s="9">
        <v>2020</v>
      </c>
      <c r="D640" s="9" t="s">
        <v>12</v>
      </c>
      <c r="E640" t="s">
        <v>193</v>
      </c>
      <c r="F640" s="9"/>
      <c r="G640" t="s">
        <v>208</v>
      </c>
      <c r="H640">
        <v>5</v>
      </c>
      <c r="I640" t="s">
        <v>565</v>
      </c>
    </row>
    <row r="641" spans="2:9">
      <c r="B641" s="12" t="s">
        <v>11</v>
      </c>
      <c r="C641" s="9">
        <v>2020</v>
      </c>
      <c r="D641" s="9" t="s">
        <v>12</v>
      </c>
      <c r="E641" t="s">
        <v>188</v>
      </c>
      <c r="F641" s="9"/>
      <c r="G641" t="s">
        <v>208</v>
      </c>
      <c r="H641">
        <v>8.5</v>
      </c>
      <c r="I641" t="s">
        <v>566</v>
      </c>
    </row>
    <row r="642" spans="2:9">
      <c r="B642" s="12" t="s">
        <v>11</v>
      </c>
      <c r="C642" s="9">
        <v>2020</v>
      </c>
      <c r="D642" s="9" t="s">
        <v>12</v>
      </c>
      <c r="E642" t="s">
        <v>193</v>
      </c>
      <c r="F642" s="9"/>
      <c r="G642" t="s">
        <v>208</v>
      </c>
      <c r="H642">
        <v>0.5</v>
      </c>
    </row>
    <row r="643" spans="2:9">
      <c r="B643" s="12" t="s">
        <v>11</v>
      </c>
      <c r="C643" s="9">
        <v>2020</v>
      </c>
      <c r="D643" s="9" t="s">
        <v>12</v>
      </c>
      <c r="E643" t="s">
        <v>193</v>
      </c>
      <c r="F643" s="9"/>
      <c r="G643" t="s">
        <v>208</v>
      </c>
      <c r="H643">
        <v>2.5</v>
      </c>
      <c r="I643" t="s">
        <v>567</v>
      </c>
    </row>
    <row r="644" spans="2:9">
      <c r="B644" s="12" t="s">
        <v>11</v>
      </c>
      <c r="C644" s="9">
        <v>2020</v>
      </c>
      <c r="D644" s="9" t="s">
        <v>12</v>
      </c>
      <c r="E644" t="s">
        <v>199</v>
      </c>
      <c r="F644" s="9"/>
      <c r="G644" t="s">
        <v>208</v>
      </c>
      <c r="H644">
        <v>5</v>
      </c>
      <c r="I644" t="s">
        <v>568</v>
      </c>
    </row>
    <row r="645" spans="2:9">
      <c r="B645" s="12" t="s">
        <v>11</v>
      </c>
      <c r="C645" s="35">
        <v>2020</v>
      </c>
      <c r="D645" s="35" t="s">
        <v>12</v>
      </c>
      <c r="E645" t="s">
        <v>199</v>
      </c>
      <c r="F645" s="35"/>
      <c r="G645" t="s">
        <v>208</v>
      </c>
      <c r="H645">
        <v>2.4</v>
      </c>
      <c r="I645" t="s">
        <v>569</v>
      </c>
    </row>
    <row r="646" spans="2:9">
      <c r="B646" s="12" t="s">
        <v>11</v>
      </c>
      <c r="C646" s="9">
        <v>2020</v>
      </c>
      <c r="D646" s="9" t="s">
        <v>21</v>
      </c>
      <c r="E646" t="s">
        <v>180</v>
      </c>
      <c r="F646" s="9"/>
      <c r="G646" t="s">
        <v>181</v>
      </c>
      <c r="H646">
        <v>1.5</v>
      </c>
      <c r="I646" t="s">
        <v>570</v>
      </c>
    </row>
    <row r="647" spans="2:9">
      <c r="B647" s="12" t="s">
        <v>11</v>
      </c>
      <c r="C647" s="9">
        <v>2020</v>
      </c>
      <c r="D647" s="9" t="s">
        <v>21</v>
      </c>
      <c r="E647" t="s">
        <v>184</v>
      </c>
      <c r="F647" s="9"/>
      <c r="G647" t="s">
        <v>181</v>
      </c>
      <c r="H647">
        <v>0.5</v>
      </c>
      <c r="I647" t="s">
        <v>571</v>
      </c>
    </row>
    <row r="648" spans="2:9">
      <c r="B648" s="12" t="s">
        <v>11</v>
      </c>
      <c r="C648" s="9">
        <v>2020</v>
      </c>
      <c r="D648" s="9" t="s">
        <v>21</v>
      </c>
      <c r="E648" t="s">
        <v>180</v>
      </c>
      <c r="F648" s="9"/>
      <c r="G648" t="s">
        <v>181</v>
      </c>
      <c r="H648">
        <v>1.7</v>
      </c>
      <c r="I648" t="s">
        <v>572</v>
      </c>
    </row>
    <row r="649" spans="2:9">
      <c r="B649" s="12" t="s">
        <v>11</v>
      </c>
      <c r="C649" s="9">
        <v>2020</v>
      </c>
      <c r="D649" s="9" t="s">
        <v>21</v>
      </c>
      <c r="E649" t="s">
        <v>188</v>
      </c>
      <c r="F649" s="9"/>
      <c r="G649" t="s">
        <v>181</v>
      </c>
      <c r="H649">
        <v>1.4</v>
      </c>
      <c r="I649" t="s">
        <v>216</v>
      </c>
    </row>
    <row r="650" spans="2:9">
      <c r="B650" s="12" t="s">
        <v>11</v>
      </c>
      <c r="C650" s="9">
        <v>2020</v>
      </c>
      <c r="D650" s="9" t="s">
        <v>21</v>
      </c>
      <c r="E650" t="s">
        <v>180</v>
      </c>
      <c r="F650" s="9"/>
      <c r="G650" t="s">
        <v>181</v>
      </c>
      <c r="H650">
        <v>2</v>
      </c>
      <c r="I650" t="s">
        <v>570</v>
      </c>
    </row>
    <row r="651" spans="2:9">
      <c r="B651" s="12" t="s">
        <v>11</v>
      </c>
      <c r="C651" s="9">
        <v>2020</v>
      </c>
      <c r="D651" s="9" t="s">
        <v>21</v>
      </c>
      <c r="E651" t="s">
        <v>184</v>
      </c>
      <c r="F651" s="9"/>
      <c r="G651" t="s">
        <v>181</v>
      </c>
      <c r="H651">
        <v>0.5</v>
      </c>
      <c r="I651" t="s">
        <v>571</v>
      </c>
    </row>
    <row r="652" spans="2:9">
      <c r="B652" s="12" t="s">
        <v>11</v>
      </c>
      <c r="C652" s="9">
        <v>2020</v>
      </c>
      <c r="D652" s="9" t="s">
        <v>21</v>
      </c>
      <c r="E652" t="s">
        <v>203</v>
      </c>
      <c r="F652" s="9"/>
      <c r="G652" t="s">
        <v>181</v>
      </c>
      <c r="H652">
        <v>2.5</v>
      </c>
      <c r="I652" t="s">
        <v>573</v>
      </c>
    </row>
    <row r="653" spans="2:9">
      <c r="B653" s="12" t="s">
        <v>11</v>
      </c>
      <c r="C653" s="9">
        <v>2020</v>
      </c>
      <c r="D653" s="9" t="s">
        <v>21</v>
      </c>
      <c r="E653" t="s">
        <v>188</v>
      </c>
      <c r="F653" s="9"/>
      <c r="G653" t="s">
        <v>181</v>
      </c>
      <c r="H653">
        <v>2.5</v>
      </c>
      <c r="I653" t="s">
        <v>574</v>
      </c>
    </row>
    <row r="654" spans="2:9">
      <c r="B654" s="12" t="s">
        <v>11</v>
      </c>
      <c r="C654" s="9">
        <v>2020</v>
      </c>
      <c r="D654" s="9" t="s">
        <v>21</v>
      </c>
      <c r="E654" t="s">
        <v>180</v>
      </c>
      <c r="F654" s="9"/>
      <c r="G654" t="s">
        <v>181</v>
      </c>
      <c r="H654">
        <v>1</v>
      </c>
      <c r="I654" t="s">
        <v>575</v>
      </c>
    </row>
    <row r="655" spans="2:9">
      <c r="B655" s="12" t="s">
        <v>11</v>
      </c>
      <c r="C655" s="9">
        <v>2020</v>
      </c>
      <c r="D655" s="9" t="s">
        <v>21</v>
      </c>
      <c r="E655" t="s">
        <v>188</v>
      </c>
      <c r="F655" s="9"/>
      <c r="G655" t="s">
        <v>181</v>
      </c>
      <c r="H655">
        <v>0.2</v>
      </c>
      <c r="I655" t="s">
        <v>576</v>
      </c>
    </row>
    <row r="656" spans="2:9">
      <c r="B656" s="12" t="s">
        <v>11</v>
      </c>
      <c r="C656" s="9">
        <v>2020</v>
      </c>
      <c r="D656" s="9" t="s">
        <v>21</v>
      </c>
      <c r="E656" t="s">
        <v>180</v>
      </c>
      <c r="F656" s="9"/>
      <c r="G656" t="s">
        <v>181</v>
      </c>
      <c r="H656">
        <v>2</v>
      </c>
      <c r="I656" t="s">
        <v>577</v>
      </c>
    </row>
    <row r="657" spans="2:9">
      <c r="B657" s="12" t="s">
        <v>11</v>
      </c>
      <c r="C657" s="9">
        <v>2020</v>
      </c>
      <c r="D657" s="9" t="s">
        <v>21</v>
      </c>
      <c r="E657" t="s">
        <v>188</v>
      </c>
      <c r="F657" s="9"/>
      <c r="G657" t="s">
        <v>181</v>
      </c>
      <c r="H657">
        <v>0.35</v>
      </c>
      <c r="I657" t="s">
        <v>578</v>
      </c>
    </row>
    <row r="658" spans="2:9">
      <c r="B658" s="12" t="s">
        <v>11</v>
      </c>
      <c r="C658" s="35">
        <v>2020</v>
      </c>
      <c r="D658" s="35" t="s">
        <v>21</v>
      </c>
      <c r="E658" t="s">
        <v>197</v>
      </c>
      <c r="F658" s="35"/>
      <c r="G658" t="s">
        <v>181</v>
      </c>
      <c r="H658">
        <v>2</v>
      </c>
      <c r="I658" t="s">
        <v>579</v>
      </c>
    </row>
    <row r="659" spans="2:9">
      <c r="B659" s="12" t="s">
        <v>11</v>
      </c>
      <c r="C659" s="9">
        <v>2020</v>
      </c>
      <c r="D659" s="9" t="s">
        <v>21</v>
      </c>
      <c r="E659" t="s">
        <v>188</v>
      </c>
      <c r="F659" s="9"/>
      <c r="G659" t="s">
        <v>208</v>
      </c>
      <c r="H659">
        <v>1.9</v>
      </c>
      <c r="I659" t="s">
        <v>580</v>
      </c>
    </row>
    <row r="660" spans="2:9">
      <c r="B660" s="12" t="s">
        <v>11</v>
      </c>
      <c r="C660" s="9">
        <v>2020</v>
      </c>
      <c r="D660" s="9" t="s">
        <v>21</v>
      </c>
      <c r="E660" t="s">
        <v>180</v>
      </c>
      <c r="F660" s="9"/>
      <c r="G660" t="s">
        <v>208</v>
      </c>
      <c r="H660">
        <v>1.45</v>
      </c>
      <c r="I660" t="s">
        <v>581</v>
      </c>
    </row>
    <row r="661" spans="2:9">
      <c r="B661" s="12" t="s">
        <v>11</v>
      </c>
      <c r="C661" s="9">
        <v>2020</v>
      </c>
      <c r="D661" s="9" t="s">
        <v>21</v>
      </c>
      <c r="E661" t="s">
        <v>191</v>
      </c>
      <c r="F661" s="9"/>
      <c r="G661" t="s">
        <v>208</v>
      </c>
      <c r="H661">
        <v>1</v>
      </c>
      <c r="I661" t="s">
        <v>582</v>
      </c>
    </row>
    <row r="662" spans="2:9">
      <c r="B662" s="12" t="s">
        <v>11</v>
      </c>
      <c r="C662" s="9">
        <v>2020</v>
      </c>
      <c r="D662" s="9" t="s">
        <v>21</v>
      </c>
      <c r="E662" t="s">
        <v>193</v>
      </c>
      <c r="F662" s="9"/>
      <c r="G662" t="s">
        <v>208</v>
      </c>
      <c r="H662">
        <v>2</v>
      </c>
      <c r="I662" t="s">
        <v>583</v>
      </c>
    </row>
    <row r="663" spans="2:9">
      <c r="B663" s="12" t="s">
        <v>11</v>
      </c>
      <c r="C663" s="35">
        <v>2020</v>
      </c>
      <c r="D663" s="35" t="s">
        <v>21</v>
      </c>
      <c r="E663" t="s">
        <v>188</v>
      </c>
      <c r="F663" s="35"/>
      <c r="G663" t="s">
        <v>208</v>
      </c>
      <c r="H663">
        <v>0.3</v>
      </c>
      <c r="I663" t="s">
        <v>584</v>
      </c>
    </row>
    <row r="664" spans="2:9">
      <c r="B664" s="12" t="s">
        <v>11</v>
      </c>
      <c r="C664" s="35">
        <v>2020</v>
      </c>
      <c r="D664" s="35" t="s">
        <v>21</v>
      </c>
      <c r="E664" t="s">
        <v>191</v>
      </c>
      <c r="F664" s="35"/>
      <c r="G664" t="s">
        <v>585</v>
      </c>
      <c r="H664">
        <v>2.5</v>
      </c>
      <c r="I664" t="s">
        <v>586</v>
      </c>
    </row>
    <row r="665" spans="2:9">
      <c r="B665" s="12" t="s">
        <v>11</v>
      </c>
      <c r="C665" s="9">
        <v>2020</v>
      </c>
      <c r="D665" s="9" t="s">
        <v>27</v>
      </c>
      <c r="E665" t="s">
        <v>184</v>
      </c>
      <c r="F665" s="9"/>
      <c r="G665" t="s">
        <v>181</v>
      </c>
      <c r="H665">
        <v>0.4</v>
      </c>
      <c r="I665" t="s">
        <v>587</v>
      </c>
    </row>
    <row r="666" spans="2:9">
      <c r="B666" s="12" t="s">
        <v>11</v>
      </c>
      <c r="C666" s="9">
        <v>2020</v>
      </c>
      <c r="D666" s="9" t="s">
        <v>27</v>
      </c>
      <c r="E666" t="s">
        <v>180</v>
      </c>
      <c r="F666" s="9"/>
      <c r="G666" t="s">
        <v>181</v>
      </c>
      <c r="H666">
        <v>1.5</v>
      </c>
      <c r="I666" t="s">
        <v>588</v>
      </c>
    </row>
    <row r="667" spans="2:9">
      <c r="B667" s="12" t="s">
        <v>11</v>
      </c>
      <c r="C667" s="9">
        <v>2020</v>
      </c>
      <c r="D667" s="9" t="s">
        <v>27</v>
      </c>
      <c r="E667" t="s">
        <v>394</v>
      </c>
      <c r="F667" s="9"/>
      <c r="G667" t="s">
        <v>181</v>
      </c>
      <c r="H667">
        <v>0.25</v>
      </c>
      <c r="I667" t="s">
        <v>589</v>
      </c>
    </row>
    <row r="668" spans="2:9">
      <c r="B668" s="12" t="s">
        <v>11</v>
      </c>
      <c r="C668" s="9">
        <v>2020</v>
      </c>
      <c r="D668" s="9" t="s">
        <v>27</v>
      </c>
      <c r="E668" t="s">
        <v>199</v>
      </c>
      <c r="F668" s="9"/>
      <c r="G668" t="s">
        <v>181</v>
      </c>
      <c r="H668">
        <v>0.5</v>
      </c>
      <c r="I668" t="s">
        <v>589</v>
      </c>
    </row>
    <row r="669" spans="2:9">
      <c r="B669" s="12" t="s">
        <v>11</v>
      </c>
      <c r="C669" s="9">
        <v>2020</v>
      </c>
      <c r="D669" s="9" t="s">
        <v>27</v>
      </c>
      <c r="E669" t="s">
        <v>197</v>
      </c>
      <c r="F669" s="9"/>
      <c r="G669" t="s">
        <v>181</v>
      </c>
      <c r="H669">
        <v>0.25</v>
      </c>
      <c r="I669" t="s">
        <v>589</v>
      </c>
    </row>
    <row r="670" spans="2:9">
      <c r="B670" s="12" t="s">
        <v>11</v>
      </c>
      <c r="C670" s="9">
        <v>2020</v>
      </c>
      <c r="D670" s="9" t="s">
        <v>27</v>
      </c>
      <c r="E670" t="s">
        <v>184</v>
      </c>
      <c r="F670" s="9"/>
      <c r="G670" t="s">
        <v>181</v>
      </c>
      <c r="H670">
        <v>0.5</v>
      </c>
      <c r="I670" t="s">
        <v>216</v>
      </c>
    </row>
    <row r="671" spans="2:9">
      <c r="B671" s="12" t="s">
        <v>11</v>
      </c>
      <c r="C671" s="9">
        <v>2020</v>
      </c>
      <c r="D671" s="9" t="s">
        <v>27</v>
      </c>
      <c r="E671" t="s">
        <v>188</v>
      </c>
      <c r="F671" s="9"/>
      <c r="G671" t="s">
        <v>181</v>
      </c>
      <c r="H671">
        <v>1</v>
      </c>
      <c r="I671" t="s">
        <v>590</v>
      </c>
    </row>
    <row r="672" spans="2:9">
      <c r="B672" s="12" t="s">
        <v>11</v>
      </c>
      <c r="C672" s="9">
        <v>2020</v>
      </c>
      <c r="D672" s="9" t="s">
        <v>27</v>
      </c>
      <c r="E672" t="s">
        <v>180</v>
      </c>
      <c r="F672" s="9"/>
      <c r="G672" t="s">
        <v>181</v>
      </c>
      <c r="H672">
        <v>0.5</v>
      </c>
      <c r="I672" t="s">
        <v>591</v>
      </c>
    </row>
    <row r="673" spans="2:9">
      <c r="B673" s="12" t="s">
        <v>11</v>
      </c>
      <c r="C673" s="9">
        <v>2020</v>
      </c>
      <c r="D673" s="9" t="s">
        <v>27</v>
      </c>
      <c r="E673" t="s">
        <v>193</v>
      </c>
      <c r="F673" s="9"/>
      <c r="G673" t="s">
        <v>181</v>
      </c>
      <c r="H673">
        <v>0.5</v>
      </c>
      <c r="I673" t="s">
        <v>592</v>
      </c>
    </row>
    <row r="674" spans="2:9">
      <c r="B674" s="12" t="s">
        <v>11</v>
      </c>
      <c r="C674" s="9">
        <v>2020</v>
      </c>
      <c r="D674" s="9" t="s">
        <v>27</v>
      </c>
      <c r="E674" t="s">
        <v>193</v>
      </c>
      <c r="F674" s="9"/>
      <c r="G674" t="s">
        <v>181</v>
      </c>
      <c r="H674">
        <v>0.7</v>
      </c>
      <c r="I674" t="s">
        <v>593</v>
      </c>
    </row>
    <row r="675" spans="2:9">
      <c r="B675" s="12" t="s">
        <v>11</v>
      </c>
      <c r="C675" s="9">
        <v>2020</v>
      </c>
      <c r="D675" s="9" t="s">
        <v>27</v>
      </c>
      <c r="E675" t="s">
        <v>180</v>
      </c>
      <c r="F675" s="9"/>
      <c r="G675" t="s">
        <v>181</v>
      </c>
      <c r="H675">
        <v>1.5</v>
      </c>
      <c r="I675" t="s">
        <v>594</v>
      </c>
    </row>
    <row r="676" spans="2:9">
      <c r="B676" s="12" t="s">
        <v>11</v>
      </c>
      <c r="C676" s="9">
        <v>2020</v>
      </c>
      <c r="D676" s="9" t="s">
        <v>27</v>
      </c>
      <c r="E676" t="s">
        <v>184</v>
      </c>
      <c r="F676" s="9"/>
      <c r="G676" t="s">
        <v>181</v>
      </c>
      <c r="H676">
        <v>0.5</v>
      </c>
      <c r="I676" t="s">
        <v>216</v>
      </c>
    </row>
    <row r="677" spans="2:9">
      <c r="B677" s="12" t="s">
        <v>11</v>
      </c>
      <c r="C677" s="9">
        <v>2020</v>
      </c>
      <c r="D677" s="9" t="s">
        <v>27</v>
      </c>
      <c r="E677" t="s">
        <v>180</v>
      </c>
      <c r="F677" s="9"/>
      <c r="G677" t="s">
        <v>181</v>
      </c>
      <c r="H677">
        <v>4</v>
      </c>
      <c r="I677" t="s">
        <v>595</v>
      </c>
    </row>
    <row r="678" spans="2:9">
      <c r="B678" s="12" t="s">
        <v>11</v>
      </c>
      <c r="C678" s="9">
        <v>2020</v>
      </c>
      <c r="D678" s="9" t="s">
        <v>27</v>
      </c>
      <c r="E678" t="s">
        <v>203</v>
      </c>
      <c r="F678" s="9"/>
      <c r="G678" t="s">
        <v>181</v>
      </c>
      <c r="H678">
        <v>1</v>
      </c>
      <c r="I678" t="s">
        <v>596</v>
      </c>
    </row>
    <row r="679" spans="2:9">
      <c r="B679" s="12" t="s">
        <v>11</v>
      </c>
      <c r="C679" s="9">
        <v>2020</v>
      </c>
      <c r="D679" s="9" t="s">
        <v>27</v>
      </c>
      <c r="E679" t="s">
        <v>191</v>
      </c>
      <c r="F679" s="9"/>
      <c r="G679" t="s">
        <v>181</v>
      </c>
      <c r="H679">
        <v>0.25</v>
      </c>
      <c r="I679" t="s">
        <v>597</v>
      </c>
    </row>
    <row r="680" spans="2:9">
      <c r="B680" s="12" t="s">
        <v>11</v>
      </c>
      <c r="C680" s="9">
        <v>2020</v>
      </c>
      <c r="D680" s="9" t="s">
        <v>27</v>
      </c>
      <c r="E680" t="s">
        <v>180</v>
      </c>
      <c r="F680" s="9"/>
      <c r="G680" t="s">
        <v>181</v>
      </c>
      <c r="H680">
        <v>0</v>
      </c>
      <c r="I680" t="s">
        <v>598</v>
      </c>
    </row>
    <row r="681" spans="2:9">
      <c r="B681" s="12" t="s">
        <v>11</v>
      </c>
      <c r="C681" s="9">
        <v>2020</v>
      </c>
      <c r="D681" s="9" t="s">
        <v>27</v>
      </c>
      <c r="E681" t="s">
        <v>184</v>
      </c>
      <c r="F681" s="9"/>
      <c r="G681" t="s">
        <v>181</v>
      </c>
      <c r="H681">
        <v>0.5</v>
      </c>
      <c r="I681" t="s">
        <v>216</v>
      </c>
    </row>
    <row r="682" spans="2:9">
      <c r="B682" s="12" t="s">
        <v>11</v>
      </c>
      <c r="C682" s="35">
        <v>2020</v>
      </c>
      <c r="D682" s="35" t="s">
        <v>27</v>
      </c>
      <c r="E682" t="s">
        <v>180</v>
      </c>
      <c r="F682" s="35"/>
      <c r="G682" t="s">
        <v>181</v>
      </c>
      <c r="H682">
        <v>0.25</v>
      </c>
      <c r="I682" t="s">
        <v>215</v>
      </c>
    </row>
    <row r="683" spans="2:9">
      <c r="B683" s="12" t="s">
        <v>11</v>
      </c>
      <c r="C683" s="9">
        <v>2020</v>
      </c>
      <c r="D683" s="9" t="s">
        <v>27</v>
      </c>
      <c r="E683" t="s">
        <v>188</v>
      </c>
      <c r="F683" s="9"/>
      <c r="G683" t="s">
        <v>208</v>
      </c>
      <c r="H683">
        <v>0.2</v>
      </c>
      <c r="I683" t="s">
        <v>599</v>
      </c>
    </row>
    <row r="684" spans="2:9">
      <c r="B684" s="12" t="s">
        <v>11</v>
      </c>
      <c r="C684" s="9">
        <v>2020</v>
      </c>
      <c r="D684" s="9" t="s">
        <v>27</v>
      </c>
      <c r="E684" t="s">
        <v>199</v>
      </c>
      <c r="F684" s="9"/>
      <c r="G684" t="s">
        <v>208</v>
      </c>
      <c r="H684">
        <v>1.5</v>
      </c>
      <c r="I684" t="s">
        <v>600</v>
      </c>
    </row>
    <row r="685" spans="2:9">
      <c r="B685" s="12" t="s">
        <v>11</v>
      </c>
      <c r="C685" s="9">
        <v>2020</v>
      </c>
      <c r="D685" s="9" t="s">
        <v>27</v>
      </c>
      <c r="E685" t="s">
        <v>191</v>
      </c>
      <c r="F685" s="9"/>
      <c r="G685" t="s">
        <v>208</v>
      </c>
      <c r="H685">
        <v>2</v>
      </c>
      <c r="I685" t="s">
        <v>601</v>
      </c>
    </row>
    <row r="686" spans="2:9">
      <c r="B686" s="12" t="s">
        <v>11</v>
      </c>
      <c r="C686" s="9">
        <v>2020</v>
      </c>
      <c r="D686" s="9" t="s">
        <v>27</v>
      </c>
      <c r="E686" t="s">
        <v>188</v>
      </c>
      <c r="F686" s="9"/>
      <c r="G686" t="s">
        <v>208</v>
      </c>
      <c r="H686">
        <v>1</v>
      </c>
      <c r="I686" t="s">
        <v>602</v>
      </c>
    </row>
    <row r="687" spans="2:9">
      <c r="B687" s="12" t="s">
        <v>11</v>
      </c>
      <c r="C687" s="35">
        <v>2020</v>
      </c>
      <c r="D687" s="35" t="s">
        <v>27</v>
      </c>
      <c r="E687" t="s">
        <v>199</v>
      </c>
      <c r="F687" s="35"/>
      <c r="G687" t="s">
        <v>208</v>
      </c>
      <c r="H687">
        <v>0.5</v>
      </c>
      <c r="I687" t="s">
        <v>603</v>
      </c>
    </row>
    <row r="688" spans="2:9">
      <c r="B688" s="12" t="s">
        <v>11</v>
      </c>
      <c r="C688" s="9">
        <v>2020</v>
      </c>
      <c r="D688" s="9" t="s">
        <v>28</v>
      </c>
      <c r="E688" t="s">
        <v>180</v>
      </c>
      <c r="F688" s="9"/>
      <c r="G688" t="s">
        <v>181</v>
      </c>
      <c r="H688">
        <v>1.5</v>
      </c>
      <c r="I688" t="s">
        <v>604</v>
      </c>
    </row>
    <row r="689" spans="2:9">
      <c r="B689" s="12" t="s">
        <v>11</v>
      </c>
      <c r="C689" s="9">
        <v>2020</v>
      </c>
      <c r="D689" s="9" t="s">
        <v>28</v>
      </c>
      <c r="E689" t="s">
        <v>184</v>
      </c>
      <c r="F689" s="9"/>
      <c r="G689" t="s">
        <v>181</v>
      </c>
      <c r="H689">
        <v>0.5</v>
      </c>
      <c r="I689" t="s">
        <v>216</v>
      </c>
    </row>
    <row r="690" spans="2:9">
      <c r="B690" s="12" t="s">
        <v>11</v>
      </c>
      <c r="C690" s="9">
        <v>2020</v>
      </c>
      <c r="D690" s="9" t="s">
        <v>28</v>
      </c>
      <c r="E690" t="s">
        <v>180</v>
      </c>
      <c r="F690" s="9"/>
      <c r="G690" t="s">
        <v>181</v>
      </c>
      <c r="H690">
        <v>0.25</v>
      </c>
      <c r="I690" t="s">
        <v>605</v>
      </c>
    </row>
    <row r="691" spans="2:9">
      <c r="B691" s="12" t="s">
        <v>11</v>
      </c>
      <c r="C691" s="9">
        <v>2020</v>
      </c>
      <c r="D691" s="9" t="s">
        <v>28</v>
      </c>
      <c r="E691" t="s">
        <v>203</v>
      </c>
      <c r="F691" s="9"/>
      <c r="G691" t="s">
        <v>181</v>
      </c>
      <c r="H691">
        <v>0.9</v>
      </c>
      <c r="I691" t="s">
        <v>606</v>
      </c>
    </row>
    <row r="692" spans="2:9">
      <c r="B692" s="12" t="s">
        <v>11</v>
      </c>
      <c r="C692" s="9">
        <v>2020</v>
      </c>
      <c r="D692" s="9" t="s">
        <v>28</v>
      </c>
      <c r="E692" t="s">
        <v>199</v>
      </c>
      <c r="F692" s="9"/>
      <c r="G692" t="s">
        <v>181</v>
      </c>
      <c r="H692">
        <v>0.75</v>
      </c>
      <c r="I692" t="s">
        <v>607</v>
      </c>
    </row>
    <row r="693" spans="2:9">
      <c r="B693" s="12" t="s">
        <v>11</v>
      </c>
      <c r="C693" s="9">
        <v>2020</v>
      </c>
      <c r="D693" s="9" t="s">
        <v>28</v>
      </c>
      <c r="E693" t="s">
        <v>188</v>
      </c>
      <c r="F693" s="9"/>
      <c r="G693" t="s">
        <v>181</v>
      </c>
      <c r="H693">
        <v>1</v>
      </c>
      <c r="I693" t="s">
        <v>608</v>
      </c>
    </row>
    <row r="694" spans="2:9">
      <c r="B694" s="12" t="s">
        <v>11</v>
      </c>
      <c r="C694" s="9">
        <v>2020</v>
      </c>
      <c r="D694" s="9" t="s">
        <v>28</v>
      </c>
      <c r="E694" t="s">
        <v>193</v>
      </c>
      <c r="F694" s="9"/>
      <c r="G694" t="s">
        <v>181</v>
      </c>
      <c r="H694">
        <v>0.5</v>
      </c>
      <c r="I694" t="s">
        <v>609</v>
      </c>
    </row>
    <row r="695" spans="2:9">
      <c r="B695" s="12" t="s">
        <v>11</v>
      </c>
      <c r="C695" s="9">
        <v>2020</v>
      </c>
      <c r="D695" s="9" t="s">
        <v>28</v>
      </c>
      <c r="E695" t="s">
        <v>180</v>
      </c>
      <c r="F695" s="9"/>
      <c r="G695" t="s">
        <v>181</v>
      </c>
      <c r="H695">
        <v>1.5</v>
      </c>
      <c r="I695" t="s">
        <v>604</v>
      </c>
    </row>
    <row r="696" spans="2:9">
      <c r="B696" s="12" t="s">
        <v>11</v>
      </c>
      <c r="C696" s="9">
        <v>2020</v>
      </c>
      <c r="D696" s="9" t="s">
        <v>28</v>
      </c>
      <c r="E696" t="s">
        <v>184</v>
      </c>
      <c r="F696" s="9"/>
      <c r="G696" t="s">
        <v>181</v>
      </c>
      <c r="H696">
        <v>0.5</v>
      </c>
      <c r="I696" t="s">
        <v>216</v>
      </c>
    </row>
    <row r="697" spans="2:9">
      <c r="B697" s="12" t="s">
        <v>11</v>
      </c>
      <c r="C697" s="9">
        <v>2020</v>
      </c>
      <c r="D697" s="9" t="s">
        <v>28</v>
      </c>
      <c r="E697" t="s">
        <v>180</v>
      </c>
      <c r="F697" s="9"/>
      <c r="G697" t="s">
        <v>181</v>
      </c>
      <c r="H697">
        <v>0.25</v>
      </c>
      <c r="I697" t="s">
        <v>605</v>
      </c>
    </row>
    <row r="698" spans="2:9">
      <c r="B698" s="12" t="s">
        <v>11</v>
      </c>
      <c r="C698" s="9">
        <v>2020</v>
      </c>
      <c r="D698" s="9" t="s">
        <v>28</v>
      </c>
      <c r="E698" t="s">
        <v>191</v>
      </c>
      <c r="F698" s="9"/>
      <c r="G698" t="s">
        <v>181</v>
      </c>
      <c r="H698">
        <v>2</v>
      </c>
      <c r="I698" t="s">
        <v>610</v>
      </c>
    </row>
    <row r="699" spans="2:9">
      <c r="B699" s="12" t="s">
        <v>11</v>
      </c>
      <c r="C699" s="9">
        <v>2020</v>
      </c>
      <c r="D699" s="9" t="s">
        <v>28</v>
      </c>
      <c r="E699" t="s">
        <v>188</v>
      </c>
      <c r="F699" s="9"/>
      <c r="G699" t="s">
        <v>181</v>
      </c>
      <c r="H699">
        <v>1</v>
      </c>
      <c r="I699" t="s">
        <v>608</v>
      </c>
    </row>
    <row r="700" spans="2:9">
      <c r="B700" s="12" t="s">
        <v>11</v>
      </c>
      <c r="C700" s="9">
        <v>2020</v>
      </c>
      <c r="D700" s="9" t="s">
        <v>28</v>
      </c>
      <c r="E700" t="s">
        <v>193</v>
      </c>
      <c r="F700" s="9"/>
      <c r="G700" t="s">
        <v>181</v>
      </c>
      <c r="H700">
        <v>0.5</v>
      </c>
      <c r="I700" t="s">
        <v>609</v>
      </c>
    </row>
    <row r="701" spans="2:9">
      <c r="B701" s="12" t="s">
        <v>11</v>
      </c>
      <c r="C701" s="9">
        <v>2020</v>
      </c>
      <c r="D701" s="9" t="s">
        <v>28</v>
      </c>
      <c r="E701" t="s">
        <v>180</v>
      </c>
      <c r="F701" s="9"/>
      <c r="G701" t="s">
        <v>181</v>
      </c>
      <c r="H701">
        <v>1.5</v>
      </c>
      <c r="I701" t="s">
        <v>604</v>
      </c>
    </row>
    <row r="702" spans="2:9">
      <c r="B702" s="12" t="s">
        <v>11</v>
      </c>
      <c r="C702" s="9">
        <v>2020</v>
      </c>
      <c r="D702" s="9" t="s">
        <v>28</v>
      </c>
      <c r="E702" t="s">
        <v>184</v>
      </c>
      <c r="F702" s="9"/>
      <c r="G702" t="s">
        <v>181</v>
      </c>
      <c r="H702">
        <v>0.5</v>
      </c>
      <c r="I702" t="s">
        <v>216</v>
      </c>
    </row>
    <row r="703" spans="2:9">
      <c r="B703" s="12" t="s">
        <v>11</v>
      </c>
      <c r="C703" s="9">
        <v>2020</v>
      </c>
      <c r="D703" s="9" t="s">
        <v>28</v>
      </c>
      <c r="E703" t="s">
        <v>191</v>
      </c>
      <c r="F703" s="9"/>
      <c r="G703" t="s">
        <v>181</v>
      </c>
      <c r="H703">
        <v>1.75</v>
      </c>
      <c r="I703" t="s">
        <v>611</v>
      </c>
    </row>
    <row r="704" spans="2:9">
      <c r="B704" s="12" t="s">
        <v>11</v>
      </c>
      <c r="C704" s="9">
        <v>2020</v>
      </c>
      <c r="D704" s="9" t="s">
        <v>28</v>
      </c>
      <c r="E704" t="s">
        <v>180</v>
      </c>
      <c r="F704" s="9"/>
      <c r="G704" t="s">
        <v>181</v>
      </c>
      <c r="H704">
        <v>0.25</v>
      </c>
      <c r="I704" t="s">
        <v>605</v>
      </c>
    </row>
    <row r="705" spans="2:9">
      <c r="B705" s="12" t="s">
        <v>11</v>
      </c>
      <c r="C705" s="9">
        <v>2020</v>
      </c>
      <c r="D705" s="9" t="s">
        <v>28</v>
      </c>
      <c r="E705" t="s">
        <v>188</v>
      </c>
      <c r="F705" s="9"/>
      <c r="G705" t="s">
        <v>181</v>
      </c>
      <c r="H705">
        <v>0.5</v>
      </c>
      <c r="I705" t="s">
        <v>609</v>
      </c>
    </row>
    <row r="706" spans="2:9">
      <c r="B706" s="12" t="s">
        <v>11</v>
      </c>
      <c r="C706" s="9">
        <v>2020</v>
      </c>
      <c r="D706" s="9" t="s">
        <v>28</v>
      </c>
      <c r="E706" t="s">
        <v>180</v>
      </c>
      <c r="F706" s="9"/>
      <c r="G706" t="s">
        <v>181</v>
      </c>
      <c r="H706">
        <v>1.5</v>
      </c>
      <c r="I706" t="s">
        <v>604</v>
      </c>
    </row>
    <row r="707" spans="2:9">
      <c r="B707" s="12" t="s">
        <v>11</v>
      </c>
      <c r="C707" s="9">
        <v>2020</v>
      </c>
      <c r="D707" s="9" t="s">
        <v>28</v>
      </c>
      <c r="E707" t="s">
        <v>184</v>
      </c>
      <c r="F707" s="9"/>
      <c r="G707" t="s">
        <v>181</v>
      </c>
      <c r="H707">
        <v>0.5</v>
      </c>
      <c r="I707" t="s">
        <v>216</v>
      </c>
    </row>
    <row r="708" spans="2:9">
      <c r="B708" s="12" t="s">
        <v>11</v>
      </c>
      <c r="C708" s="9">
        <v>2020</v>
      </c>
      <c r="D708" s="9" t="s">
        <v>28</v>
      </c>
      <c r="E708" t="s">
        <v>180</v>
      </c>
      <c r="F708" s="9"/>
      <c r="G708" t="s">
        <v>181</v>
      </c>
      <c r="H708">
        <v>3.25</v>
      </c>
      <c r="I708" t="s">
        <v>612</v>
      </c>
    </row>
    <row r="709" spans="2:9">
      <c r="B709" s="12" t="s">
        <v>11</v>
      </c>
      <c r="C709" s="9">
        <v>2020</v>
      </c>
      <c r="D709" s="9" t="s">
        <v>28</v>
      </c>
      <c r="E709" t="s">
        <v>180</v>
      </c>
      <c r="F709" s="9"/>
      <c r="G709" t="s">
        <v>181</v>
      </c>
      <c r="H709">
        <v>1</v>
      </c>
      <c r="I709" t="s">
        <v>613</v>
      </c>
    </row>
    <row r="710" spans="2:9">
      <c r="B710" s="12" t="s">
        <v>11</v>
      </c>
      <c r="C710" s="9">
        <v>2020</v>
      </c>
      <c r="D710" s="9" t="s">
        <v>28</v>
      </c>
      <c r="E710" t="s">
        <v>188</v>
      </c>
      <c r="F710" s="9"/>
      <c r="G710" t="s">
        <v>181</v>
      </c>
      <c r="H710">
        <v>1</v>
      </c>
      <c r="I710" t="s">
        <v>608</v>
      </c>
    </row>
    <row r="711" spans="2:9">
      <c r="B711" s="12" t="s">
        <v>11</v>
      </c>
      <c r="C711" s="9">
        <v>2020</v>
      </c>
      <c r="D711" s="9" t="s">
        <v>28</v>
      </c>
      <c r="E711" t="s">
        <v>199</v>
      </c>
      <c r="F711" s="9"/>
      <c r="G711" t="s">
        <v>181</v>
      </c>
      <c r="H711">
        <v>1.5</v>
      </c>
      <c r="I711" t="s">
        <v>614</v>
      </c>
    </row>
    <row r="712" spans="2:9">
      <c r="B712" s="12" t="s">
        <v>11</v>
      </c>
      <c r="C712" s="9">
        <v>2020</v>
      </c>
      <c r="D712" s="9" t="s">
        <v>28</v>
      </c>
      <c r="E712" t="s">
        <v>188</v>
      </c>
      <c r="F712" s="9"/>
      <c r="G712" t="s">
        <v>181</v>
      </c>
      <c r="H712">
        <v>2.25</v>
      </c>
      <c r="I712" t="s">
        <v>615</v>
      </c>
    </row>
    <row r="713" spans="2:9">
      <c r="B713" s="12" t="s">
        <v>11</v>
      </c>
      <c r="C713" s="35">
        <v>2020</v>
      </c>
      <c r="D713" s="35" t="s">
        <v>28</v>
      </c>
      <c r="E713" t="s">
        <v>188</v>
      </c>
      <c r="F713" s="35"/>
      <c r="G713" t="s">
        <v>181</v>
      </c>
      <c r="H713">
        <v>0.75</v>
      </c>
      <c r="I713" t="s">
        <v>616</v>
      </c>
    </row>
    <row r="714" spans="2:9">
      <c r="B714" s="12" t="s">
        <v>11</v>
      </c>
      <c r="C714" s="9">
        <v>2020</v>
      </c>
      <c r="D714" s="9" t="s">
        <v>28</v>
      </c>
      <c r="E714" t="s">
        <v>203</v>
      </c>
      <c r="F714" s="9"/>
      <c r="G714" t="s">
        <v>208</v>
      </c>
      <c r="H714">
        <v>0.75</v>
      </c>
      <c r="I714" t="s">
        <v>617</v>
      </c>
    </row>
    <row r="715" spans="2:9">
      <c r="B715" s="12" t="s">
        <v>11</v>
      </c>
      <c r="C715" s="9">
        <v>2020</v>
      </c>
      <c r="D715" s="9" t="s">
        <v>28</v>
      </c>
      <c r="E715" t="s">
        <v>188</v>
      </c>
      <c r="F715" s="9"/>
      <c r="G715" t="s">
        <v>208</v>
      </c>
      <c r="H715">
        <v>3.5</v>
      </c>
      <c r="I715" t="s">
        <v>618</v>
      </c>
    </row>
    <row r="716" spans="2:9">
      <c r="B716" s="12" t="s">
        <v>11</v>
      </c>
      <c r="C716" s="9">
        <v>2020</v>
      </c>
      <c r="D716" s="9" t="s">
        <v>28</v>
      </c>
      <c r="E716" t="s">
        <v>188</v>
      </c>
      <c r="F716" s="9"/>
      <c r="G716" t="s">
        <v>208</v>
      </c>
      <c r="H716">
        <v>0.9</v>
      </c>
      <c r="I716" t="s">
        <v>619</v>
      </c>
    </row>
    <row r="717" spans="2:9">
      <c r="B717" s="12" t="s">
        <v>11</v>
      </c>
      <c r="C717" s="9">
        <v>2020</v>
      </c>
      <c r="D717" s="9" t="s">
        <v>28</v>
      </c>
      <c r="E717" t="s">
        <v>188</v>
      </c>
      <c r="F717" s="9"/>
      <c r="G717" t="s">
        <v>208</v>
      </c>
      <c r="H717">
        <v>0.5</v>
      </c>
      <c r="I717" t="s">
        <v>620</v>
      </c>
    </row>
    <row r="718" spans="2:9">
      <c r="B718" s="12" t="s">
        <v>11</v>
      </c>
      <c r="C718" s="9">
        <v>2020</v>
      </c>
      <c r="D718" s="9" t="s">
        <v>28</v>
      </c>
      <c r="E718" t="s">
        <v>188</v>
      </c>
      <c r="F718" s="9"/>
      <c r="G718" t="s">
        <v>208</v>
      </c>
      <c r="H718">
        <v>1</v>
      </c>
      <c r="I718" t="s">
        <v>621</v>
      </c>
    </row>
    <row r="719" spans="2:9">
      <c r="B719" s="12" t="s">
        <v>11</v>
      </c>
      <c r="C719" s="9">
        <v>2020</v>
      </c>
      <c r="D719" s="9" t="s">
        <v>28</v>
      </c>
      <c r="E719" t="s">
        <v>180</v>
      </c>
      <c r="F719" s="9"/>
      <c r="G719" t="s">
        <v>208</v>
      </c>
      <c r="H719">
        <v>0.45</v>
      </c>
      <c r="I719" t="s">
        <v>622</v>
      </c>
    </row>
    <row r="720" spans="2:9">
      <c r="B720" s="12" t="s">
        <v>11</v>
      </c>
      <c r="C720" s="9">
        <v>2020</v>
      </c>
      <c r="D720" s="9" t="s">
        <v>28</v>
      </c>
      <c r="E720" t="s">
        <v>180</v>
      </c>
      <c r="F720" s="9"/>
      <c r="G720" t="s">
        <v>208</v>
      </c>
      <c r="H720">
        <v>0.25</v>
      </c>
      <c r="I720" t="s">
        <v>623</v>
      </c>
    </row>
    <row r="721" spans="2:9">
      <c r="B721" s="12" t="s">
        <v>11</v>
      </c>
      <c r="C721" s="9">
        <v>2020</v>
      </c>
      <c r="D721" s="9" t="s">
        <v>28</v>
      </c>
      <c r="E721" t="s">
        <v>203</v>
      </c>
      <c r="F721" s="9"/>
      <c r="G721" t="s">
        <v>208</v>
      </c>
      <c r="H721">
        <v>1.05</v>
      </c>
      <c r="I721" t="s">
        <v>624</v>
      </c>
    </row>
    <row r="722" spans="2:9">
      <c r="B722" s="12" t="s">
        <v>11</v>
      </c>
      <c r="C722" s="9">
        <v>2020</v>
      </c>
      <c r="D722" s="9" t="s">
        <v>28</v>
      </c>
      <c r="E722" t="s">
        <v>203</v>
      </c>
      <c r="F722" s="9"/>
      <c r="G722" t="s">
        <v>208</v>
      </c>
      <c r="H722">
        <v>1.1000000000000001</v>
      </c>
      <c r="I722" t="s">
        <v>625</v>
      </c>
    </row>
    <row r="723" spans="2:9">
      <c r="B723" s="12" t="s">
        <v>11</v>
      </c>
      <c r="C723" s="9">
        <v>2020</v>
      </c>
      <c r="D723" s="9" t="s">
        <v>28</v>
      </c>
      <c r="E723" t="s">
        <v>188</v>
      </c>
      <c r="F723" s="9"/>
      <c r="G723" t="s">
        <v>208</v>
      </c>
      <c r="H723">
        <v>0.75</v>
      </c>
      <c r="I723" t="s">
        <v>626</v>
      </c>
    </row>
    <row r="724" spans="2:9">
      <c r="B724" s="12" t="s">
        <v>11</v>
      </c>
      <c r="C724" s="9">
        <v>2020</v>
      </c>
      <c r="D724" s="9" t="s">
        <v>28</v>
      </c>
      <c r="E724" t="s">
        <v>188</v>
      </c>
      <c r="F724" s="9"/>
      <c r="G724" t="s">
        <v>208</v>
      </c>
      <c r="H724">
        <v>0.25</v>
      </c>
      <c r="I724" t="s">
        <v>627</v>
      </c>
    </row>
    <row r="725" spans="2:9">
      <c r="B725" s="12" t="s">
        <v>11</v>
      </c>
      <c r="C725" s="9">
        <v>2020</v>
      </c>
      <c r="D725" s="9" t="s">
        <v>28</v>
      </c>
      <c r="E725" t="s">
        <v>188</v>
      </c>
      <c r="F725" s="9"/>
      <c r="G725" t="s">
        <v>208</v>
      </c>
      <c r="H725">
        <v>3</v>
      </c>
      <c r="I725" t="s">
        <v>628</v>
      </c>
    </row>
    <row r="726" spans="2:9">
      <c r="B726" s="12" t="s">
        <v>11</v>
      </c>
      <c r="C726" s="9">
        <v>2020</v>
      </c>
      <c r="D726" s="9" t="s">
        <v>28</v>
      </c>
      <c r="E726" t="s">
        <v>188</v>
      </c>
      <c r="F726" s="9"/>
      <c r="G726" t="s">
        <v>208</v>
      </c>
      <c r="H726">
        <v>0.1</v>
      </c>
      <c r="I726" t="s">
        <v>629</v>
      </c>
    </row>
    <row r="727" spans="2:9">
      <c r="B727" s="12" t="s">
        <v>11</v>
      </c>
      <c r="C727" s="9">
        <v>2020</v>
      </c>
      <c r="D727" s="9" t="s">
        <v>28</v>
      </c>
      <c r="E727" t="s">
        <v>259</v>
      </c>
      <c r="F727" s="9"/>
      <c r="G727" t="s">
        <v>208</v>
      </c>
      <c r="H727">
        <v>0.25</v>
      </c>
      <c r="I727" t="s">
        <v>630</v>
      </c>
    </row>
    <row r="728" spans="2:9">
      <c r="B728" s="12" t="s">
        <v>11</v>
      </c>
      <c r="C728" s="9">
        <v>2020</v>
      </c>
      <c r="D728" s="9" t="s">
        <v>28</v>
      </c>
      <c r="E728" t="s">
        <v>199</v>
      </c>
      <c r="F728" s="9"/>
      <c r="G728" t="s">
        <v>208</v>
      </c>
      <c r="H728">
        <v>0.5</v>
      </c>
      <c r="I728" t="s">
        <v>631</v>
      </c>
    </row>
    <row r="729" spans="2:9">
      <c r="B729" s="12" t="s">
        <v>11</v>
      </c>
      <c r="C729" s="9">
        <v>2020</v>
      </c>
      <c r="D729" s="9" t="s">
        <v>28</v>
      </c>
      <c r="E729" t="s">
        <v>188</v>
      </c>
      <c r="F729" s="9"/>
      <c r="G729" t="s">
        <v>208</v>
      </c>
      <c r="H729">
        <v>0.9</v>
      </c>
      <c r="I729" t="s">
        <v>632</v>
      </c>
    </row>
    <row r="730" spans="2:9">
      <c r="B730" s="12" t="s">
        <v>11</v>
      </c>
      <c r="C730" s="9">
        <v>2020</v>
      </c>
      <c r="D730" s="9" t="s">
        <v>28</v>
      </c>
      <c r="E730" t="s">
        <v>191</v>
      </c>
      <c r="F730" s="9"/>
      <c r="G730" t="s">
        <v>208</v>
      </c>
      <c r="H730">
        <v>3.5</v>
      </c>
      <c r="I730" t="s">
        <v>633</v>
      </c>
    </row>
    <row r="731" spans="2:9">
      <c r="B731" s="12" t="s">
        <v>11</v>
      </c>
      <c r="C731" s="9">
        <v>2020</v>
      </c>
      <c r="D731" s="9" t="s">
        <v>28</v>
      </c>
      <c r="E731" t="s">
        <v>184</v>
      </c>
      <c r="F731" s="9"/>
      <c r="G731" t="s">
        <v>208</v>
      </c>
      <c r="H731">
        <v>0.5</v>
      </c>
    </row>
    <row r="732" spans="2:9">
      <c r="B732" s="12" t="s">
        <v>11</v>
      </c>
      <c r="C732" s="35">
        <v>2020</v>
      </c>
      <c r="D732" s="35" t="s">
        <v>28</v>
      </c>
      <c r="E732" t="s">
        <v>259</v>
      </c>
      <c r="F732" s="35"/>
      <c r="G732" t="s">
        <v>208</v>
      </c>
      <c r="H732">
        <v>0</v>
      </c>
      <c r="I732" t="s">
        <v>634</v>
      </c>
    </row>
    <row r="733" spans="2:9">
      <c r="B733" s="12" t="s">
        <v>11</v>
      </c>
      <c r="C733" s="9">
        <v>2020</v>
      </c>
      <c r="D733" s="9" t="s">
        <v>31</v>
      </c>
      <c r="E733" t="s">
        <v>180</v>
      </c>
      <c r="F733" s="9"/>
      <c r="G733" t="s">
        <v>181</v>
      </c>
      <c r="H733">
        <v>6</v>
      </c>
      <c r="I733" t="s">
        <v>635</v>
      </c>
    </row>
    <row r="734" spans="2:9">
      <c r="B734" s="12" t="s">
        <v>11</v>
      </c>
      <c r="C734" s="9">
        <v>2020</v>
      </c>
      <c r="D734" s="9" t="s">
        <v>31</v>
      </c>
      <c r="E734" t="s">
        <v>184</v>
      </c>
      <c r="F734" s="9"/>
      <c r="G734" t="s">
        <v>181</v>
      </c>
      <c r="H734">
        <v>2.4</v>
      </c>
      <c r="I734" t="s">
        <v>636</v>
      </c>
    </row>
    <row r="735" spans="2:9">
      <c r="B735" s="12" t="s">
        <v>11</v>
      </c>
      <c r="C735" s="9">
        <v>2020</v>
      </c>
      <c r="D735" s="9" t="s">
        <v>31</v>
      </c>
      <c r="E735" t="s">
        <v>180</v>
      </c>
      <c r="F735" s="9"/>
      <c r="G735" t="s">
        <v>181</v>
      </c>
      <c r="H735">
        <v>0.95</v>
      </c>
      <c r="I735" t="s">
        <v>637</v>
      </c>
    </row>
    <row r="736" spans="2:9">
      <c r="B736" s="12" t="s">
        <v>11</v>
      </c>
      <c r="C736" s="9">
        <v>2020</v>
      </c>
      <c r="D736" s="9" t="s">
        <v>31</v>
      </c>
      <c r="E736" t="s">
        <v>188</v>
      </c>
      <c r="F736" s="9"/>
      <c r="G736" t="s">
        <v>181</v>
      </c>
      <c r="H736">
        <v>4</v>
      </c>
      <c r="I736" t="s">
        <v>638</v>
      </c>
    </row>
    <row r="737" spans="2:9">
      <c r="B737" s="12" t="s">
        <v>11</v>
      </c>
      <c r="C737" s="9">
        <v>2020</v>
      </c>
      <c r="D737" s="9" t="s">
        <v>31</v>
      </c>
      <c r="E737" t="s">
        <v>193</v>
      </c>
      <c r="F737" s="9"/>
      <c r="G737" t="s">
        <v>181</v>
      </c>
      <c r="H737">
        <v>0.25</v>
      </c>
      <c r="I737" t="s">
        <v>639</v>
      </c>
    </row>
    <row r="738" spans="2:9">
      <c r="B738" s="12" t="s">
        <v>11</v>
      </c>
      <c r="C738" s="9">
        <v>2020</v>
      </c>
      <c r="D738" s="9" t="s">
        <v>31</v>
      </c>
      <c r="E738" t="s">
        <v>191</v>
      </c>
      <c r="F738" s="9"/>
      <c r="G738" t="s">
        <v>181</v>
      </c>
      <c r="H738">
        <v>0.75</v>
      </c>
      <c r="I738" t="s">
        <v>640</v>
      </c>
    </row>
    <row r="739" spans="2:9">
      <c r="B739" s="12" t="s">
        <v>11</v>
      </c>
      <c r="C739" s="9">
        <v>2020</v>
      </c>
      <c r="D739" s="9" t="s">
        <v>31</v>
      </c>
      <c r="E739" t="s">
        <v>199</v>
      </c>
      <c r="F739" s="9"/>
      <c r="G739" t="s">
        <v>181</v>
      </c>
      <c r="H739">
        <v>1</v>
      </c>
      <c r="I739" t="s">
        <v>641</v>
      </c>
    </row>
    <row r="740" spans="2:9">
      <c r="B740" s="12" t="s">
        <v>11</v>
      </c>
      <c r="C740" s="9">
        <v>2020</v>
      </c>
      <c r="D740" s="9" t="s">
        <v>31</v>
      </c>
      <c r="E740" t="s">
        <v>180</v>
      </c>
      <c r="F740" s="9"/>
      <c r="G740" t="s">
        <v>181</v>
      </c>
      <c r="H740">
        <v>0.25</v>
      </c>
      <c r="I740" t="s">
        <v>642</v>
      </c>
    </row>
    <row r="741" spans="2:9">
      <c r="B741" s="12" t="s">
        <v>11</v>
      </c>
      <c r="C741" s="9">
        <v>2020</v>
      </c>
      <c r="D741" s="9" t="s">
        <v>31</v>
      </c>
      <c r="E741" t="s">
        <v>191</v>
      </c>
      <c r="F741" s="9"/>
      <c r="G741" t="s">
        <v>181</v>
      </c>
      <c r="H741">
        <v>0.25</v>
      </c>
      <c r="I741" t="s">
        <v>643</v>
      </c>
    </row>
    <row r="742" spans="2:9">
      <c r="B742" s="12" t="s">
        <v>11</v>
      </c>
      <c r="C742" s="9">
        <v>2020</v>
      </c>
      <c r="D742" s="9" t="s">
        <v>31</v>
      </c>
      <c r="E742" t="s">
        <v>191</v>
      </c>
      <c r="F742" s="9"/>
      <c r="G742" t="s">
        <v>181</v>
      </c>
      <c r="H742">
        <v>0.75</v>
      </c>
      <c r="I742" t="s">
        <v>644</v>
      </c>
    </row>
    <row r="743" spans="2:9">
      <c r="B743" s="12" t="s">
        <v>11</v>
      </c>
      <c r="C743" s="9">
        <v>2020</v>
      </c>
      <c r="D743" s="9" t="s">
        <v>31</v>
      </c>
      <c r="E743" t="s">
        <v>188</v>
      </c>
      <c r="F743" s="9"/>
      <c r="G743" t="s">
        <v>181</v>
      </c>
      <c r="H743">
        <v>0.1</v>
      </c>
      <c r="I743" t="s">
        <v>645</v>
      </c>
    </row>
    <row r="744" spans="2:9">
      <c r="B744" s="12" t="s">
        <v>11</v>
      </c>
      <c r="C744" s="35">
        <v>2020</v>
      </c>
      <c r="D744" s="35" t="s">
        <v>31</v>
      </c>
      <c r="E744" t="s">
        <v>193</v>
      </c>
      <c r="F744" s="35"/>
      <c r="G744" t="s">
        <v>181</v>
      </c>
      <c r="H744">
        <v>1</v>
      </c>
      <c r="I744" t="s">
        <v>646</v>
      </c>
    </row>
    <row r="745" spans="2:9">
      <c r="B745" s="12" t="s">
        <v>11</v>
      </c>
      <c r="C745" s="9">
        <v>2020</v>
      </c>
      <c r="D745" s="9" t="s">
        <v>31</v>
      </c>
      <c r="E745" t="s">
        <v>188</v>
      </c>
      <c r="F745" s="9"/>
      <c r="G745" t="s">
        <v>208</v>
      </c>
      <c r="H745">
        <v>2.6</v>
      </c>
      <c r="I745" t="s">
        <v>647</v>
      </c>
    </row>
    <row r="746" spans="2:9">
      <c r="B746" s="12" t="s">
        <v>11</v>
      </c>
      <c r="C746" s="9">
        <v>2020</v>
      </c>
      <c r="D746" s="9" t="s">
        <v>31</v>
      </c>
      <c r="E746" t="s">
        <v>193</v>
      </c>
      <c r="F746" s="9"/>
      <c r="G746" t="s">
        <v>208</v>
      </c>
      <c r="H746">
        <v>0.1</v>
      </c>
      <c r="I746" t="s">
        <v>648</v>
      </c>
    </row>
    <row r="747" spans="2:9">
      <c r="B747" s="12" t="s">
        <v>11</v>
      </c>
      <c r="C747" s="9">
        <v>2020</v>
      </c>
      <c r="D747" s="9" t="s">
        <v>31</v>
      </c>
      <c r="E747" t="s">
        <v>199</v>
      </c>
      <c r="F747" s="9"/>
      <c r="G747" t="s">
        <v>208</v>
      </c>
      <c r="H747">
        <v>4.5</v>
      </c>
      <c r="I747" t="s">
        <v>649</v>
      </c>
    </row>
    <row r="748" spans="2:9">
      <c r="B748" s="12" t="s">
        <v>11</v>
      </c>
      <c r="C748" s="9">
        <v>2020</v>
      </c>
      <c r="D748" s="9" t="s">
        <v>31</v>
      </c>
      <c r="E748" t="s">
        <v>188</v>
      </c>
      <c r="F748" s="9"/>
      <c r="G748" t="s">
        <v>208</v>
      </c>
      <c r="H748">
        <v>1</v>
      </c>
      <c r="I748" t="s">
        <v>650</v>
      </c>
    </row>
    <row r="749" spans="2:9">
      <c r="B749" s="12" t="s">
        <v>11</v>
      </c>
      <c r="C749" s="9">
        <v>2020</v>
      </c>
      <c r="D749" s="9" t="s">
        <v>31</v>
      </c>
      <c r="E749" t="s">
        <v>188</v>
      </c>
      <c r="F749" s="9"/>
      <c r="G749" t="s">
        <v>208</v>
      </c>
      <c r="H749">
        <v>0.45</v>
      </c>
      <c r="I749" t="s">
        <v>651</v>
      </c>
    </row>
    <row r="750" spans="2:9">
      <c r="B750" s="12" t="s">
        <v>11</v>
      </c>
      <c r="C750" s="9">
        <v>2020</v>
      </c>
      <c r="D750" s="9" t="s">
        <v>31</v>
      </c>
      <c r="E750" t="s">
        <v>188</v>
      </c>
      <c r="F750" s="9"/>
      <c r="G750" t="s">
        <v>208</v>
      </c>
      <c r="H750">
        <v>0.3</v>
      </c>
      <c r="I750" t="s">
        <v>651</v>
      </c>
    </row>
    <row r="751" spans="2:9">
      <c r="B751" s="12" t="s">
        <v>11</v>
      </c>
      <c r="C751" s="9">
        <v>2020</v>
      </c>
      <c r="D751" s="9" t="s">
        <v>31</v>
      </c>
      <c r="E751" t="s">
        <v>652</v>
      </c>
      <c r="F751" s="9"/>
      <c r="G751" t="s">
        <v>208</v>
      </c>
      <c r="H751">
        <v>6</v>
      </c>
      <c r="I751" t="s">
        <v>653</v>
      </c>
    </row>
    <row r="752" spans="2:9">
      <c r="B752" s="12" t="s">
        <v>11</v>
      </c>
      <c r="C752" s="9">
        <v>2020</v>
      </c>
      <c r="D752" s="9" t="s">
        <v>31</v>
      </c>
      <c r="E752" t="s">
        <v>199</v>
      </c>
      <c r="F752" s="9"/>
      <c r="G752" t="s">
        <v>208</v>
      </c>
      <c r="H752">
        <v>0.5</v>
      </c>
      <c r="I752" t="s">
        <v>654</v>
      </c>
    </row>
    <row r="753" spans="2:9">
      <c r="B753" s="12" t="s">
        <v>11</v>
      </c>
      <c r="C753" s="9">
        <v>2020</v>
      </c>
      <c r="D753" s="9" t="s">
        <v>31</v>
      </c>
      <c r="E753" t="s">
        <v>180</v>
      </c>
      <c r="F753" s="9"/>
      <c r="G753" t="s">
        <v>208</v>
      </c>
      <c r="H753">
        <v>1.5</v>
      </c>
      <c r="I753" t="s">
        <v>655</v>
      </c>
    </row>
    <row r="754" spans="2:9">
      <c r="B754" s="12" t="s">
        <v>11</v>
      </c>
      <c r="C754" s="9">
        <v>2020</v>
      </c>
      <c r="D754" s="9" t="s">
        <v>31</v>
      </c>
      <c r="E754" t="s">
        <v>188</v>
      </c>
      <c r="F754" s="9"/>
      <c r="G754" t="s">
        <v>208</v>
      </c>
      <c r="H754">
        <v>0.25</v>
      </c>
      <c r="I754" t="s">
        <v>656</v>
      </c>
    </row>
    <row r="755" spans="2:9">
      <c r="B755" s="12" t="s">
        <v>11</v>
      </c>
      <c r="C755" s="9">
        <v>2020</v>
      </c>
      <c r="D755" s="9" t="s">
        <v>31</v>
      </c>
      <c r="E755" t="s">
        <v>188</v>
      </c>
      <c r="F755" s="9"/>
      <c r="G755" t="s">
        <v>208</v>
      </c>
      <c r="H755">
        <v>0.4</v>
      </c>
      <c r="I755" t="s">
        <v>657</v>
      </c>
    </row>
    <row r="756" spans="2:9">
      <c r="B756" s="12" t="s">
        <v>11</v>
      </c>
      <c r="C756" s="35">
        <v>2020</v>
      </c>
      <c r="D756" s="35" t="s">
        <v>31</v>
      </c>
      <c r="E756" t="s">
        <v>191</v>
      </c>
      <c r="F756" s="35"/>
      <c r="G756" t="s">
        <v>208</v>
      </c>
      <c r="H756">
        <v>0.25</v>
      </c>
      <c r="I756" t="s">
        <v>658</v>
      </c>
    </row>
    <row r="757" spans="2:9">
      <c r="B757" s="12" t="s">
        <v>11</v>
      </c>
      <c r="C757" s="9">
        <v>2020</v>
      </c>
      <c r="D757" s="9" t="s">
        <v>33</v>
      </c>
      <c r="E757" t="s">
        <v>180</v>
      </c>
      <c r="F757" s="9"/>
      <c r="G757" t="s">
        <v>181</v>
      </c>
      <c r="H757">
        <v>20.5</v>
      </c>
      <c r="I757" t="s">
        <v>659</v>
      </c>
    </row>
    <row r="758" spans="2:9">
      <c r="B758" s="12" t="s">
        <v>11</v>
      </c>
      <c r="C758" s="9">
        <v>2020</v>
      </c>
      <c r="D758" s="9" t="s">
        <v>33</v>
      </c>
      <c r="E758" t="s">
        <v>180</v>
      </c>
      <c r="F758" s="9"/>
      <c r="G758" t="s">
        <v>181</v>
      </c>
      <c r="H758">
        <v>4.5</v>
      </c>
      <c r="I758" t="s">
        <v>660</v>
      </c>
    </row>
    <row r="759" spans="2:9">
      <c r="B759" s="12" t="s">
        <v>11</v>
      </c>
      <c r="C759" s="9">
        <v>2020</v>
      </c>
      <c r="D759" s="9" t="s">
        <v>33</v>
      </c>
      <c r="E759" t="s">
        <v>184</v>
      </c>
      <c r="F759" s="9"/>
      <c r="G759" t="s">
        <v>181</v>
      </c>
      <c r="H759">
        <v>3.5</v>
      </c>
      <c r="I759" t="s">
        <v>661</v>
      </c>
    </row>
    <row r="760" spans="2:9">
      <c r="B760" s="12" t="s">
        <v>11</v>
      </c>
      <c r="C760" s="9">
        <v>2020</v>
      </c>
      <c r="D760" s="9" t="s">
        <v>33</v>
      </c>
      <c r="E760" t="s">
        <v>317</v>
      </c>
      <c r="F760" s="9"/>
      <c r="G760" t="s">
        <v>181</v>
      </c>
      <c r="H760">
        <v>10</v>
      </c>
      <c r="I760" t="s">
        <v>662</v>
      </c>
    </row>
    <row r="761" spans="2:9">
      <c r="B761" s="12" t="s">
        <v>11</v>
      </c>
      <c r="C761" s="9">
        <v>2020</v>
      </c>
      <c r="D761" s="9" t="s">
        <v>33</v>
      </c>
      <c r="E761" t="s">
        <v>180</v>
      </c>
      <c r="F761" s="9"/>
      <c r="G761" t="s">
        <v>181</v>
      </c>
      <c r="H761">
        <v>5</v>
      </c>
      <c r="I761" t="s">
        <v>663</v>
      </c>
    </row>
    <row r="762" spans="2:9">
      <c r="B762" s="12" t="s">
        <v>11</v>
      </c>
      <c r="C762" s="9">
        <v>2020</v>
      </c>
      <c r="D762" s="9" t="s">
        <v>33</v>
      </c>
      <c r="E762" t="s">
        <v>188</v>
      </c>
      <c r="F762" s="9"/>
      <c r="G762" t="s">
        <v>181</v>
      </c>
      <c r="H762">
        <v>3</v>
      </c>
      <c r="I762" t="s">
        <v>664</v>
      </c>
    </row>
    <row r="763" spans="2:9">
      <c r="B763" s="12" t="s">
        <v>11</v>
      </c>
      <c r="C763" s="9">
        <v>2020</v>
      </c>
      <c r="D763" s="9" t="s">
        <v>33</v>
      </c>
      <c r="E763" t="s">
        <v>199</v>
      </c>
      <c r="F763" s="9"/>
      <c r="G763" t="s">
        <v>181</v>
      </c>
      <c r="H763">
        <v>0.4</v>
      </c>
      <c r="I763" t="s">
        <v>665</v>
      </c>
    </row>
    <row r="764" spans="2:9">
      <c r="B764" s="12" t="s">
        <v>11</v>
      </c>
      <c r="C764" s="9">
        <v>2020</v>
      </c>
      <c r="D764" s="9" t="s">
        <v>33</v>
      </c>
      <c r="E764" t="s">
        <v>193</v>
      </c>
      <c r="F764" s="9"/>
      <c r="G764" t="s">
        <v>181</v>
      </c>
      <c r="H764">
        <v>0.2</v>
      </c>
    </row>
    <row r="765" spans="2:9">
      <c r="B765" s="12" t="s">
        <v>11</v>
      </c>
      <c r="C765" s="9">
        <v>2020</v>
      </c>
      <c r="D765" s="9" t="s">
        <v>33</v>
      </c>
      <c r="E765" t="s">
        <v>180</v>
      </c>
      <c r="F765" s="9"/>
      <c r="G765" t="s">
        <v>181</v>
      </c>
      <c r="H765">
        <v>8</v>
      </c>
      <c r="I765" t="s">
        <v>666</v>
      </c>
    </row>
    <row r="766" spans="2:9">
      <c r="B766" s="12" t="s">
        <v>11</v>
      </c>
      <c r="C766" s="9">
        <v>2020</v>
      </c>
      <c r="D766" s="9" t="s">
        <v>33</v>
      </c>
      <c r="E766" t="s">
        <v>191</v>
      </c>
      <c r="F766" s="9"/>
      <c r="G766" t="s">
        <v>181</v>
      </c>
      <c r="H766">
        <v>3.15</v>
      </c>
      <c r="I766" t="s">
        <v>667</v>
      </c>
    </row>
    <row r="767" spans="2:9">
      <c r="B767" s="12" t="s">
        <v>11</v>
      </c>
      <c r="C767" s="9">
        <v>2020</v>
      </c>
      <c r="D767" s="9" t="s">
        <v>33</v>
      </c>
      <c r="E767" t="s">
        <v>180</v>
      </c>
      <c r="F767" s="9"/>
      <c r="G767" t="s">
        <v>181</v>
      </c>
      <c r="H767">
        <v>1</v>
      </c>
      <c r="I767" t="s">
        <v>668</v>
      </c>
    </row>
    <row r="768" spans="2:9">
      <c r="B768" s="12" t="s">
        <v>11</v>
      </c>
      <c r="C768" s="35">
        <v>2020</v>
      </c>
      <c r="D768" s="35" t="s">
        <v>33</v>
      </c>
      <c r="E768" t="s">
        <v>180</v>
      </c>
      <c r="F768" s="35"/>
      <c r="G768" t="s">
        <v>181</v>
      </c>
      <c r="H768">
        <v>0.9</v>
      </c>
      <c r="I768" t="s">
        <v>669</v>
      </c>
    </row>
    <row r="769" spans="2:9">
      <c r="B769" s="12" t="s">
        <v>11</v>
      </c>
      <c r="C769" s="9">
        <v>2020</v>
      </c>
      <c r="D769" s="9" t="s">
        <v>33</v>
      </c>
      <c r="E769" t="s">
        <v>191</v>
      </c>
      <c r="F769" s="9"/>
      <c r="G769" t="s">
        <v>208</v>
      </c>
      <c r="H769">
        <v>1.25</v>
      </c>
      <c r="I769" t="s">
        <v>670</v>
      </c>
    </row>
    <row r="770" spans="2:9">
      <c r="B770" s="12" t="s">
        <v>11</v>
      </c>
      <c r="C770" s="9">
        <v>2020</v>
      </c>
      <c r="D770" s="9" t="s">
        <v>33</v>
      </c>
      <c r="E770" t="s">
        <v>188</v>
      </c>
      <c r="F770" s="9"/>
      <c r="G770" t="s">
        <v>208</v>
      </c>
      <c r="H770">
        <v>0.25</v>
      </c>
      <c r="I770" t="s">
        <v>671</v>
      </c>
    </row>
    <row r="771" spans="2:9">
      <c r="B771" s="12" t="s">
        <v>11</v>
      </c>
      <c r="C771" s="9">
        <v>2020</v>
      </c>
      <c r="D771" s="9" t="s">
        <v>33</v>
      </c>
      <c r="E771" t="s">
        <v>193</v>
      </c>
      <c r="F771" s="9"/>
      <c r="G771" t="s">
        <v>208</v>
      </c>
      <c r="H771">
        <v>0.5</v>
      </c>
      <c r="I771" t="s">
        <v>672</v>
      </c>
    </row>
    <row r="772" spans="2:9">
      <c r="B772" s="12" t="s">
        <v>11</v>
      </c>
      <c r="C772" s="9">
        <v>2020</v>
      </c>
      <c r="D772" s="9" t="s">
        <v>33</v>
      </c>
      <c r="E772" t="s">
        <v>188</v>
      </c>
      <c r="F772" s="9"/>
      <c r="G772" t="s">
        <v>208</v>
      </c>
      <c r="H772">
        <v>0</v>
      </c>
      <c r="I772" t="s">
        <v>673</v>
      </c>
    </row>
    <row r="773" spans="2:9">
      <c r="B773" s="12" t="s">
        <v>11</v>
      </c>
      <c r="C773" s="9">
        <v>2020</v>
      </c>
      <c r="D773" s="9" t="s">
        <v>33</v>
      </c>
      <c r="E773" t="s">
        <v>188</v>
      </c>
      <c r="F773" s="9"/>
      <c r="G773" t="s">
        <v>208</v>
      </c>
      <c r="H773">
        <v>0.25</v>
      </c>
      <c r="I773" t="s">
        <v>674</v>
      </c>
    </row>
    <row r="774" spans="2:9">
      <c r="B774" s="12" t="s">
        <v>11</v>
      </c>
      <c r="C774" s="9">
        <v>2020</v>
      </c>
      <c r="D774" s="9" t="s">
        <v>33</v>
      </c>
      <c r="E774" t="s">
        <v>188</v>
      </c>
      <c r="F774" s="9"/>
      <c r="G774" t="s">
        <v>208</v>
      </c>
      <c r="H774">
        <v>1</v>
      </c>
      <c r="I774" t="s">
        <v>675</v>
      </c>
    </row>
    <row r="775" spans="2:9">
      <c r="B775" s="12" t="s">
        <v>11</v>
      </c>
      <c r="C775" s="9">
        <v>2020</v>
      </c>
      <c r="D775" s="9" t="s">
        <v>33</v>
      </c>
      <c r="E775" t="s">
        <v>197</v>
      </c>
      <c r="F775" s="9"/>
      <c r="G775" t="s">
        <v>208</v>
      </c>
      <c r="H775">
        <v>3.5</v>
      </c>
      <c r="I775" t="s">
        <v>676</v>
      </c>
    </row>
    <row r="776" spans="2:9">
      <c r="B776" s="12" t="s">
        <v>11</v>
      </c>
      <c r="C776" s="9">
        <v>2020</v>
      </c>
      <c r="D776" s="9" t="s">
        <v>33</v>
      </c>
      <c r="E776" t="s">
        <v>188</v>
      </c>
      <c r="F776" s="9"/>
      <c r="G776" t="s">
        <v>208</v>
      </c>
      <c r="H776">
        <v>2</v>
      </c>
      <c r="I776" t="s">
        <v>677</v>
      </c>
    </row>
    <row r="777" spans="2:9">
      <c r="B777" s="12" t="s">
        <v>11</v>
      </c>
      <c r="C777" s="9">
        <v>2020</v>
      </c>
      <c r="D777" s="9" t="s">
        <v>33</v>
      </c>
      <c r="E777" t="s">
        <v>188</v>
      </c>
      <c r="F777" s="9"/>
      <c r="G777" t="s">
        <v>208</v>
      </c>
      <c r="H777">
        <v>0.55000000000000004</v>
      </c>
      <c r="I777" t="s">
        <v>678</v>
      </c>
    </row>
    <row r="778" spans="2:9">
      <c r="B778" s="12" t="s">
        <v>11</v>
      </c>
      <c r="C778" s="9">
        <v>2020</v>
      </c>
      <c r="D778" s="9" t="s">
        <v>33</v>
      </c>
      <c r="E778" t="s">
        <v>197</v>
      </c>
      <c r="F778" s="9"/>
      <c r="G778" t="s">
        <v>208</v>
      </c>
      <c r="H778">
        <v>0.45</v>
      </c>
      <c r="I778" t="s">
        <v>679</v>
      </c>
    </row>
    <row r="779" spans="2:9">
      <c r="B779" s="12" t="s">
        <v>11</v>
      </c>
      <c r="C779" s="35">
        <v>2020</v>
      </c>
      <c r="D779" s="35" t="s">
        <v>33</v>
      </c>
      <c r="E779" t="s">
        <v>184</v>
      </c>
      <c r="F779" s="35"/>
      <c r="G779" t="s">
        <v>208</v>
      </c>
      <c r="H779">
        <v>1</v>
      </c>
      <c r="I779" t="s">
        <v>680</v>
      </c>
    </row>
    <row r="780" spans="2:9">
      <c r="B780" s="12" t="s">
        <v>11</v>
      </c>
      <c r="C780" s="9">
        <v>2020</v>
      </c>
      <c r="D780" s="9" t="s">
        <v>34</v>
      </c>
      <c r="E780" t="s">
        <v>184</v>
      </c>
      <c r="F780" s="9"/>
      <c r="G780" t="s">
        <v>181</v>
      </c>
      <c r="H780">
        <v>3</v>
      </c>
      <c r="I780" t="s">
        <v>681</v>
      </c>
    </row>
    <row r="781" spans="2:9">
      <c r="B781" s="12" t="s">
        <v>11</v>
      </c>
      <c r="C781" s="9">
        <v>2020</v>
      </c>
      <c r="D781" s="9" t="s">
        <v>34</v>
      </c>
      <c r="E781" t="s">
        <v>191</v>
      </c>
      <c r="F781" s="9"/>
      <c r="G781" t="s">
        <v>181</v>
      </c>
      <c r="H781">
        <v>0.5</v>
      </c>
      <c r="I781" t="s">
        <v>682</v>
      </c>
    </row>
    <row r="782" spans="2:9">
      <c r="B782" s="12" t="s">
        <v>11</v>
      </c>
      <c r="C782" s="9">
        <v>2020</v>
      </c>
      <c r="D782" s="9" t="s">
        <v>34</v>
      </c>
      <c r="E782" t="s">
        <v>180</v>
      </c>
      <c r="F782" s="9"/>
      <c r="G782" t="s">
        <v>181</v>
      </c>
      <c r="H782">
        <v>6</v>
      </c>
      <c r="I782" t="s">
        <v>683</v>
      </c>
    </row>
    <row r="783" spans="2:9">
      <c r="B783" s="12" t="s">
        <v>11</v>
      </c>
      <c r="C783" s="9">
        <v>2020</v>
      </c>
      <c r="D783" s="9" t="s">
        <v>34</v>
      </c>
      <c r="E783" t="s">
        <v>180</v>
      </c>
      <c r="F783" s="9"/>
      <c r="G783" t="s">
        <v>181</v>
      </c>
      <c r="H783">
        <v>2</v>
      </c>
      <c r="I783" t="s">
        <v>684</v>
      </c>
    </row>
    <row r="784" spans="2:9">
      <c r="B784" s="12" t="s">
        <v>11</v>
      </c>
      <c r="C784" s="9">
        <v>2020</v>
      </c>
      <c r="D784" s="9" t="s">
        <v>34</v>
      </c>
      <c r="E784" t="s">
        <v>184</v>
      </c>
      <c r="F784" s="9"/>
      <c r="G784" t="s">
        <v>181</v>
      </c>
      <c r="H784">
        <v>2</v>
      </c>
      <c r="I784" t="s">
        <v>685</v>
      </c>
    </row>
    <row r="785" spans="2:9">
      <c r="B785" s="12" t="s">
        <v>11</v>
      </c>
      <c r="C785" s="9">
        <v>2020</v>
      </c>
      <c r="D785" s="9" t="s">
        <v>34</v>
      </c>
      <c r="E785" t="s">
        <v>188</v>
      </c>
      <c r="F785" s="9"/>
      <c r="G785" t="s">
        <v>181</v>
      </c>
      <c r="H785">
        <v>4</v>
      </c>
      <c r="I785" t="s">
        <v>608</v>
      </c>
    </row>
    <row r="786" spans="2:9">
      <c r="B786" s="12" t="s">
        <v>11</v>
      </c>
      <c r="C786" s="35">
        <v>2020</v>
      </c>
      <c r="D786" s="35" t="s">
        <v>34</v>
      </c>
      <c r="E786" t="s">
        <v>193</v>
      </c>
      <c r="F786" s="35"/>
      <c r="G786" t="s">
        <v>181</v>
      </c>
      <c r="H786">
        <v>1</v>
      </c>
      <c r="I786" t="s">
        <v>686</v>
      </c>
    </row>
    <row r="787" spans="2:9">
      <c r="B787" s="12" t="s">
        <v>11</v>
      </c>
      <c r="C787" s="9">
        <v>2020</v>
      </c>
      <c r="D787" s="9" t="s">
        <v>34</v>
      </c>
      <c r="E787" t="s">
        <v>188</v>
      </c>
      <c r="F787" s="9"/>
      <c r="G787" t="s">
        <v>208</v>
      </c>
      <c r="H787">
        <v>1</v>
      </c>
      <c r="I787" t="s">
        <v>687</v>
      </c>
    </row>
    <row r="788" spans="2:9">
      <c r="B788" s="12" t="s">
        <v>11</v>
      </c>
      <c r="C788" s="9">
        <v>2020</v>
      </c>
      <c r="D788" s="9" t="s">
        <v>34</v>
      </c>
      <c r="E788" t="s">
        <v>188</v>
      </c>
      <c r="F788" s="9"/>
      <c r="G788" t="s">
        <v>208</v>
      </c>
      <c r="H788">
        <v>0.65</v>
      </c>
      <c r="I788" t="s">
        <v>688</v>
      </c>
    </row>
    <row r="789" spans="2:9">
      <c r="B789" s="12" t="s">
        <v>11</v>
      </c>
      <c r="C789" s="9">
        <v>2020</v>
      </c>
      <c r="D789" s="9" t="s">
        <v>34</v>
      </c>
      <c r="E789" t="s">
        <v>188</v>
      </c>
      <c r="F789" s="9"/>
      <c r="G789" t="s">
        <v>208</v>
      </c>
      <c r="H789">
        <v>0.5</v>
      </c>
      <c r="I789" t="s">
        <v>689</v>
      </c>
    </row>
    <row r="790" spans="2:9">
      <c r="B790" s="12" t="s">
        <v>11</v>
      </c>
      <c r="C790" s="9">
        <v>2020</v>
      </c>
      <c r="D790" s="9" t="s">
        <v>34</v>
      </c>
      <c r="E790" t="s">
        <v>188</v>
      </c>
      <c r="F790" s="9"/>
      <c r="G790" t="s">
        <v>208</v>
      </c>
      <c r="H790">
        <v>0.5</v>
      </c>
      <c r="I790" t="s">
        <v>690</v>
      </c>
    </row>
    <row r="791" spans="2:9">
      <c r="B791" s="12" t="s">
        <v>11</v>
      </c>
      <c r="C791" s="9">
        <v>2020</v>
      </c>
      <c r="D791" s="9" t="s">
        <v>34</v>
      </c>
      <c r="E791" t="s">
        <v>188</v>
      </c>
      <c r="F791" s="9"/>
      <c r="G791" t="s">
        <v>208</v>
      </c>
      <c r="H791">
        <v>0.5</v>
      </c>
      <c r="I791" t="s">
        <v>691</v>
      </c>
    </row>
    <row r="792" spans="2:9">
      <c r="B792" s="12" t="s">
        <v>11</v>
      </c>
      <c r="C792" s="9">
        <v>2020</v>
      </c>
      <c r="D792" s="9" t="s">
        <v>34</v>
      </c>
      <c r="E792" t="s">
        <v>188</v>
      </c>
      <c r="F792" s="9"/>
      <c r="G792" t="s">
        <v>208</v>
      </c>
      <c r="H792">
        <v>0.4</v>
      </c>
      <c r="I792" t="s">
        <v>692</v>
      </c>
    </row>
    <row r="793" spans="2:9">
      <c r="B793" s="12" t="s">
        <v>11</v>
      </c>
      <c r="C793" s="9">
        <v>2020</v>
      </c>
      <c r="D793" s="9" t="s">
        <v>34</v>
      </c>
      <c r="E793" t="s">
        <v>188</v>
      </c>
      <c r="F793" s="9"/>
      <c r="G793" t="s">
        <v>208</v>
      </c>
      <c r="H793">
        <v>0</v>
      </c>
      <c r="I793" t="s">
        <v>693</v>
      </c>
    </row>
    <row r="794" spans="2:9">
      <c r="B794" s="12" t="s">
        <v>11</v>
      </c>
      <c r="C794" s="9">
        <v>2020</v>
      </c>
      <c r="D794" s="9" t="s">
        <v>34</v>
      </c>
      <c r="E794" t="s">
        <v>188</v>
      </c>
      <c r="F794" s="9"/>
      <c r="G794" t="s">
        <v>208</v>
      </c>
      <c r="H794">
        <v>0.15</v>
      </c>
      <c r="I794" t="s">
        <v>694</v>
      </c>
    </row>
    <row r="795" spans="2:9">
      <c r="B795" s="12" t="s">
        <v>11</v>
      </c>
      <c r="C795" s="9">
        <v>2020</v>
      </c>
      <c r="D795" s="9" t="s">
        <v>34</v>
      </c>
      <c r="E795" t="s">
        <v>184</v>
      </c>
      <c r="F795" s="9"/>
      <c r="G795" t="s">
        <v>208</v>
      </c>
      <c r="H795">
        <v>1.1499999999999999</v>
      </c>
      <c r="I795" t="s">
        <v>695</v>
      </c>
    </row>
    <row r="796" spans="2:9">
      <c r="B796" s="12" t="s">
        <v>11</v>
      </c>
      <c r="C796" s="9">
        <v>2020</v>
      </c>
      <c r="D796" s="9" t="s">
        <v>34</v>
      </c>
      <c r="E796" t="s">
        <v>191</v>
      </c>
      <c r="F796" s="9"/>
      <c r="G796" t="s">
        <v>208</v>
      </c>
      <c r="H796">
        <v>0.75</v>
      </c>
      <c r="I796" t="s">
        <v>696</v>
      </c>
    </row>
    <row r="797" spans="2:9">
      <c r="B797" s="12" t="s">
        <v>11</v>
      </c>
      <c r="C797" s="9">
        <v>2020</v>
      </c>
      <c r="D797" s="9" t="s">
        <v>34</v>
      </c>
      <c r="E797" t="s">
        <v>188</v>
      </c>
      <c r="F797" s="9"/>
      <c r="G797" t="s">
        <v>208</v>
      </c>
      <c r="H797">
        <v>0.5</v>
      </c>
      <c r="I797" t="s">
        <v>697</v>
      </c>
    </row>
    <row r="798" spans="2:9">
      <c r="B798" s="12" t="s">
        <v>11</v>
      </c>
      <c r="C798" s="9">
        <v>2020</v>
      </c>
      <c r="D798" s="9" t="s">
        <v>34</v>
      </c>
      <c r="E798" t="s">
        <v>188</v>
      </c>
      <c r="F798" s="9"/>
      <c r="G798" t="s">
        <v>208</v>
      </c>
      <c r="H798">
        <v>0.25</v>
      </c>
      <c r="I798" t="s">
        <v>698</v>
      </c>
    </row>
    <row r="799" spans="2:9">
      <c r="B799" s="12" t="s">
        <v>11</v>
      </c>
      <c r="C799" s="9">
        <v>2020</v>
      </c>
      <c r="D799" s="9" t="s">
        <v>34</v>
      </c>
      <c r="E799" t="s">
        <v>188</v>
      </c>
      <c r="F799" s="9"/>
      <c r="G799" t="s">
        <v>208</v>
      </c>
      <c r="H799">
        <v>3.7</v>
      </c>
      <c r="I799" t="s">
        <v>699</v>
      </c>
    </row>
    <row r="800" spans="2:9">
      <c r="B800" s="12" t="s">
        <v>11</v>
      </c>
      <c r="C800" s="9">
        <v>2020</v>
      </c>
      <c r="D800" s="9" t="s">
        <v>34</v>
      </c>
      <c r="E800" t="s">
        <v>191</v>
      </c>
      <c r="F800" s="9"/>
      <c r="G800" t="s">
        <v>208</v>
      </c>
      <c r="H800">
        <v>4.25</v>
      </c>
      <c r="I800" t="s">
        <v>700</v>
      </c>
    </row>
    <row r="801" spans="2:9">
      <c r="B801" s="12" t="s">
        <v>11</v>
      </c>
      <c r="C801" s="9">
        <v>2020</v>
      </c>
      <c r="D801" s="9" t="s">
        <v>34</v>
      </c>
      <c r="E801" t="s">
        <v>191</v>
      </c>
      <c r="F801" s="9"/>
      <c r="G801" t="s">
        <v>208</v>
      </c>
      <c r="H801">
        <v>1</v>
      </c>
      <c r="I801" t="s">
        <v>701</v>
      </c>
    </row>
    <row r="802" spans="2:9">
      <c r="B802" s="12" t="s">
        <v>11</v>
      </c>
      <c r="C802" s="9">
        <v>2020</v>
      </c>
      <c r="D802" s="9" t="s">
        <v>34</v>
      </c>
      <c r="E802" t="s">
        <v>188</v>
      </c>
      <c r="F802" s="9"/>
      <c r="G802" t="s">
        <v>208</v>
      </c>
      <c r="H802">
        <v>1.3</v>
      </c>
      <c r="I802" t="s">
        <v>702</v>
      </c>
    </row>
    <row r="803" spans="2:9">
      <c r="B803" s="12" t="s">
        <v>11</v>
      </c>
      <c r="C803" s="9">
        <v>2020</v>
      </c>
      <c r="D803" s="9" t="s">
        <v>34</v>
      </c>
      <c r="E803" t="s">
        <v>197</v>
      </c>
      <c r="F803" s="9"/>
      <c r="G803" t="s">
        <v>208</v>
      </c>
      <c r="H803">
        <v>1.45</v>
      </c>
      <c r="I803" t="s">
        <v>703</v>
      </c>
    </row>
    <row r="804" spans="2:9">
      <c r="B804" s="12" t="s">
        <v>11</v>
      </c>
      <c r="C804" s="9">
        <v>2020</v>
      </c>
      <c r="D804" s="9" t="s">
        <v>34</v>
      </c>
      <c r="E804" t="s">
        <v>188</v>
      </c>
      <c r="F804" s="9"/>
      <c r="G804" t="s">
        <v>208</v>
      </c>
      <c r="H804">
        <v>1</v>
      </c>
      <c r="I804" t="s">
        <v>704</v>
      </c>
    </row>
    <row r="805" spans="2:9">
      <c r="B805" s="12" t="s">
        <v>11</v>
      </c>
      <c r="C805" s="9">
        <v>2020</v>
      </c>
      <c r="D805" s="9" t="s">
        <v>34</v>
      </c>
      <c r="E805" t="s">
        <v>188</v>
      </c>
      <c r="F805" s="9"/>
      <c r="G805" t="s">
        <v>208</v>
      </c>
      <c r="H805">
        <v>0.75</v>
      </c>
      <c r="I805" t="s">
        <v>705</v>
      </c>
    </row>
    <row r="806" spans="2:9">
      <c r="B806" s="12" t="s">
        <v>11</v>
      </c>
      <c r="C806" s="9">
        <v>2020</v>
      </c>
      <c r="D806" s="9" t="s">
        <v>34</v>
      </c>
      <c r="E806" t="s">
        <v>193</v>
      </c>
      <c r="F806" s="9"/>
      <c r="G806" t="s">
        <v>208</v>
      </c>
      <c r="H806">
        <v>0.5</v>
      </c>
      <c r="I806" t="s">
        <v>706</v>
      </c>
    </row>
    <row r="807" spans="2:9">
      <c r="B807" s="12" t="s">
        <v>11</v>
      </c>
      <c r="C807" s="9">
        <v>2020</v>
      </c>
      <c r="D807" s="9" t="s">
        <v>34</v>
      </c>
      <c r="E807" t="s">
        <v>188</v>
      </c>
      <c r="F807" s="9"/>
      <c r="G807" t="s">
        <v>208</v>
      </c>
      <c r="H807">
        <v>1.5</v>
      </c>
      <c r="I807" t="s">
        <v>707</v>
      </c>
    </row>
    <row r="808" spans="2:9">
      <c r="B808" s="12" t="s">
        <v>11</v>
      </c>
      <c r="C808" s="35">
        <v>2020</v>
      </c>
      <c r="D808" s="35" t="s">
        <v>34</v>
      </c>
      <c r="E808" t="s">
        <v>188</v>
      </c>
      <c r="F808" s="35"/>
      <c r="G808" t="s">
        <v>208</v>
      </c>
      <c r="H808">
        <v>0.4</v>
      </c>
      <c r="I808" t="s">
        <v>708</v>
      </c>
    </row>
    <row r="809" spans="2:9">
      <c r="B809" s="12" t="s">
        <v>11</v>
      </c>
      <c r="C809" s="9">
        <v>2020</v>
      </c>
      <c r="D809" s="9" t="s">
        <v>38</v>
      </c>
      <c r="E809" t="s">
        <v>180</v>
      </c>
      <c r="F809" s="9"/>
      <c r="G809" t="s">
        <v>181</v>
      </c>
      <c r="H809">
        <v>6</v>
      </c>
      <c r="I809" t="s">
        <v>214</v>
      </c>
    </row>
    <row r="810" spans="2:9">
      <c r="B810" s="12" t="s">
        <v>11</v>
      </c>
      <c r="C810" s="9">
        <v>2020</v>
      </c>
      <c r="D810" s="9" t="s">
        <v>38</v>
      </c>
      <c r="E810" t="s">
        <v>180</v>
      </c>
      <c r="F810" s="9"/>
      <c r="G810" t="s">
        <v>181</v>
      </c>
      <c r="H810">
        <v>2</v>
      </c>
      <c r="I810" t="s">
        <v>533</v>
      </c>
    </row>
    <row r="811" spans="2:9">
      <c r="B811" s="12" t="s">
        <v>11</v>
      </c>
      <c r="C811" s="9">
        <v>2020</v>
      </c>
      <c r="D811" s="9" t="s">
        <v>38</v>
      </c>
      <c r="E811" t="s">
        <v>184</v>
      </c>
      <c r="F811" s="9"/>
      <c r="G811" t="s">
        <v>181</v>
      </c>
      <c r="H811">
        <v>2</v>
      </c>
      <c r="I811" t="s">
        <v>234</v>
      </c>
    </row>
    <row r="812" spans="2:9">
      <c r="B812" s="12" t="s">
        <v>11</v>
      </c>
      <c r="C812" s="9">
        <v>2020</v>
      </c>
      <c r="D812" s="9" t="s">
        <v>38</v>
      </c>
      <c r="E812" t="s">
        <v>188</v>
      </c>
      <c r="F812" s="9"/>
      <c r="G812" t="s">
        <v>181</v>
      </c>
      <c r="H812">
        <v>4</v>
      </c>
      <c r="I812" t="s">
        <v>709</v>
      </c>
    </row>
    <row r="813" spans="2:9">
      <c r="B813" s="12" t="s">
        <v>11</v>
      </c>
      <c r="C813" s="9">
        <v>2020</v>
      </c>
      <c r="D813" s="9" t="s">
        <v>38</v>
      </c>
      <c r="E813" t="s">
        <v>259</v>
      </c>
      <c r="F813" s="9"/>
      <c r="G813" t="s">
        <v>181</v>
      </c>
      <c r="H813">
        <v>0.75</v>
      </c>
      <c r="I813" t="s">
        <v>710</v>
      </c>
    </row>
    <row r="814" spans="2:9">
      <c r="B814" s="12" t="s">
        <v>11</v>
      </c>
      <c r="C814" s="9">
        <v>2020</v>
      </c>
      <c r="D814" s="9" t="s">
        <v>38</v>
      </c>
      <c r="E814" t="s">
        <v>259</v>
      </c>
      <c r="F814" s="9"/>
      <c r="G814" t="s">
        <v>181</v>
      </c>
      <c r="H814">
        <v>2.9</v>
      </c>
      <c r="I814" t="s">
        <v>711</v>
      </c>
    </row>
    <row r="815" spans="2:9">
      <c r="B815" s="12" t="s">
        <v>11</v>
      </c>
      <c r="C815" s="9">
        <v>2020</v>
      </c>
      <c r="D815" s="9" t="s">
        <v>38</v>
      </c>
      <c r="E815" t="s">
        <v>259</v>
      </c>
      <c r="F815" s="9"/>
      <c r="G815" t="s">
        <v>181</v>
      </c>
      <c r="H815">
        <v>3.25</v>
      </c>
      <c r="I815" t="s">
        <v>712</v>
      </c>
    </row>
    <row r="816" spans="2:9">
      <c r="B816" s="12" t="s">
        <v>11</v>
      </c>
      <c r="C816" s="35">
        <v>2020</v>
      </c>
      <c r="D816" s="35" t="s">
        <v>38</v>
      </c>
      <c r="E816" t="s">
        <v>259</v>
      </c>
      <c r="F816" s="35"/>
      <c r="G816" t="s">
        <v>181</v>
      </c>
      <c r="H816">
        <v>0.45</v>
      </c>
      <c r="I816" t="s">
        <v>713</v>
      </c>
    </row>
    <row r="817" spans="2:9">
      <c r="B817" s="12" t="s">
        <v>11</v>
      </c>
      <c r="C817" s="9">
        <v>2020</v>
      </c>
      <c r="D817" s="9" t="s">
        <v>38</v>
      </c>
      <c r="E817" t="s">
        <v>188</v>
      </c>
      <c r="F817" s="9"/>
      <c r="G817" t="s">
        <v>208</v>
      </c>
      <c r="H817">
        <v>0.95</v>
      </c>
      <c r="I817" t="s">
        <v>714</v>
      </c>
    </row>
    <row r="818" spans="2:9">
      <c r="B818" s="12" t="s">
        <v>11</v>
      </c>
      <c r="C818" s="9">
        <v>2020</v>
      </c>
      <c r="D818" s="9" t="s">
        <v>38</v>
      </c>
      <c r="E818" t="s">
        <v>259</v>
      </c>
      <c r="F818" s="9"/>
      <c r="G818" t="s">
        <v>208</v>
      </c>
      <c r="H818">
        <v>1.45</v>
      </c>
      <c r="I818" t="s">
        <v>715</v>
      </c>
    </row>
    <row r="819" spans="2:9">
      <c r="B819" s="12" t="s">
        <v>11</v>
      </c>
      <c r="C819" s="9">
        <v>2020</v>
      </c>
      <c r="D819" s="9" t="s">
        <v>38</v>
      </c>
      <c r="E819" t="s">
        <v>259</v>
      </c>
      <c r="F819" s="9"/>
      <c r="G819" t="s">
        <v>208</v>
      </c>
      <c r="H819">
        <v>0.4</v>
      </c>
      <c r="I819" t="s">
        <v>716</v>
      </c>
    </row>
    <row r="820" spans="2:9">
      <c r="B820" s="12" t="s">
        <v>11</v>
      </c>
      <c r="C820" s="9">
        <v>2020</v>
      </c>
      <c r="D820" s="9" t="s">
        <v>38</v>
      </c>
      <c r="E820" t="s">
        <v>259</v>
      </c>
      <c r="F820" s="9"/>
      <c r="G820" t="s">
        <v>208</v>
      </c>
      <c r="H820">
        <v>0.4</v>
      </c>
      <c r="I820" t="s">
        <v>717</v>
      </c>
    </row>
    <row r="821" spans="2:9">
      <c r="B821" s="12" t="s">
        <v>11</v>
      </c>
      <c r="C821" s="9">
        <v>2020</v>
      </c>
      <c r="D821" s="9" t="s">
        <v>38</v>
      </c>
      <c r="E821" t="s">
        <v>259</v>
      </c>
      <c r="F821" s="9"/>
      <c r="G821" t="s">
        <v>208</v>
      </c>
      <c r="H821">
        <v>0.25</v>
      </c>
      <c r="I821" t="s">
        <v>718</v>
      </c>
    </row>
    <row r="822" spans="2:9">
      <c r="B822" s="12" t="s">
        <v>11</v>
      </c>
      <c r="C822" s="9">
        <v>2020</v>
      </c>
      <c r="D822" s="9" t="s">
        <v>38</v>
      </c>
      <c r="E822" t="s">
        <v>188</v>
      </c>
      <c r="F822" s="9"/>
      <c r="G822" t="s">
        <v>208</v>
      </c>
      <c r="H822">
        <v>0.5</v>
      </c>
      <c r="I822" t="s">
        <v>717</v>
      </c>
    </row>
    <row r="823" spans="2:9">
      <c r="B823" s="12" t="s">
        <v>11</v>
      </c>
      <c r="C823" s="9">
        <v>2020</v>
      </c>
      <c r="D823" s="9" t="s">
        <v>38</v>
      </c>
      <c r="E823" t="s">
        <v>191</v>
      </c>
      <c r="F823" s="9"/>
      <c r="G823" t="s">
        <v>208</v>
      </c>
      <c r="H823">
        <v>1.6</v>
      </c>
      <c r="I823" t="s">
        <v>719</v>
      </c>
    </row>
    <row r="824" spans="2:9">
      <c r="B824" s="12" t="s">
        <v>11</v>
      </c>
      <c r="C824" s="9">
        <v>2020</v>
      </c>
      <c r="D824" s="9" t="s">
        <v>38</v>
      </c>
      <c r="E824" t="s">
        <v>188</v>
      </c>
      <c r="F824" s="9"/>
      <c r="G824" t="s">
        <v>208</v>
      </c>
      <c r="H824">
        <v>8.75</v>
      </c>
      <c r="I824" t="s">
        <v>720</v>
      </c>
    </row>
    <row r="825" spans="2:9">
      <c r="B825" s="12" t="s">
        <v>11</v>
      </c>
      <c r="C825" s="9">
        <v>2020</v>
      </c>
      <c r="D825" s="9" t="s">
        <v>38</v>
      </c>
      <c r="E825" t="s">
        <v>188</v>
      </c>
      <c r="F825" s="9"/>
      <c r="G825" t="s">
        <v>208</v>
      </c>
      <c r="H825">
        <v>0.7</v>
      </c>
      <c r="I825" t="s">
        <v>721</v>
      </c>
    </row>
    <row r="826" spans="2:9">
      <c r="B826" s="12" t="s">
        <v>11</v>
      </c>
      <c r="C826" s="9">
        <v>2020</v>
      </c>
      <c r="D826" s="9" t="s">
        <v>38</v>
      </c>
      <c r="E826" t="s">
        <v>191</v>
      </c>
      <c r="F826" s="9"/>
      <c r="G826" t="s">
        <v>208</v>
      </c>
      <c r="H826">
        <v>2.1</v>
      </c>
      <c r="I826" t="s">
        <v>722</v>
      </c>
    </row>
    <row r="827" spans="2:9">
      <c r="B827" s="12" t="s">
        <v>11</v>
      </c>
      <c r="C827" s="9">
        <v>2020</v>
      </c>
      <c r="D827" s="9" t="s">
        <v>38</v>
      </c>
      <c r="E827" t="s">
        <v>180</v>
      </c>
      <c r="F827" s="9"/>
      <c r="G827" t="s">
        <v>208</v>
      </c>
      <c r="H827">
        <v>0.25</v>
      </c>
      <c r="I827" t="s">
        <v>723</v>
      </c>
    </row>
    <row r="828" spans="2:9">
      <c r="B828" s="12" t="s">
        <v>11</v>
      </c>
      <c r="C828" s="9">
        <v>2020</v>
      </c>
      <c r="D828" s="9" t="s">
        <v>38</v>
      </c>
      <c r="E828" t="s">
        <v>191</v>
      </c>
      <c r="F828" s="9"/>
      <c r="G828" t="s">
        <v>208</v>
      </c>
      <c r="H828">
        <v>2</v>
      </c>
      <c r="I828" t="s">
        <v>724</v>
      </c>
    </row>
    <row r="829" spans="2:9">
      <c r="B829" s="12" t="s">
        <v>11</v>
      </c>
      <c r="C829" s="35">
        <v>2020</v>
      </c>
      <c r="D829" s="35" t="s">
        <v>38</v>
      </c>
      <c r="E829" t="s">
        <v>191</v>
      </c>
      <c r="F829" s="35"/>
      <c r="G829" t="s">
        <v>208</v>
      </c>
      <c r="H829">
        <v>4</v>
      </c>
      <c r="I829" t="s">
        <v>725</v>
      </c>
    </row>
    <row r="830" spans="2:9">
      <c r="B830" s="12" t="s">
        <v>11</v>
      </c>
      <c r="C830" s="9">
        <v>2020</v>
      </c>
      <c r="D830" s="9" t="s">
        <v>43</v>
      </c>
      <c r="E830" t="s">
        <v>180</v>
      </c>
      <c r="F830" s="9"/>
      <c r="G830" t="s">
        <v>181</v>
      </c>
      <c r="H830">
        <v>6</v>
      </c>
      <c r="I830" t="s">
        <v>214</v>
      </c>
    </row>
    <row r="831" spans="2:9">
      <c r="B831" s="12" t="s">
        <v>11</v>
      </c>
      <c r="C831" s="9">
        <v>2020</v>
      </c>
      <c r="D831" s="9" t="s">
        <v>43</v>
      </c>
      <c r="E831" t="s">
        <v>180</v>
      </c>
      <c r="F831" s="9"/>
      <c r="G831" t="s">
        <v>181</v>
      </c>
      <c r="H831">
        <v>3</v>
      </c>
      <c r="I831" t="s">
        <v>215</v>
      </c>
    </row>
    <row r="832" spans="2:9">
      <c r="B832" s="12" t="s">
        <v>11</v>
      </c>
      <c r="C832" s="9">
        <v>2020</v>
      </c>
      <c r="D832" s="9" t="s">
        <v>43</v>
      </c>
      <c r="E832" t="s">
        <v>184</v>
      </c>
      <c r="F832" s="9"/>
      <c r="G832" t="s">
        <v>181</v>
      </c>
      <c r="H832">
        <v>2</v>
      </c>
      <c r="I832" t="s">
        <v>216</v>
      </c>
    </row>
    <row r="833" spans="2:9">
      <c r="B833" s="12" t="s">
        <v>11</v>
      </c>
      <c r="C833" s="9">
        <v>2020</v>
      </c>
      <c r="D833" s="9" t="s">
        <v>43</v>
      </c>
      <c r="E833" t="s">
        <v>188</v>
      </c>
      <c r="F833" s="9"/>
      <c r="G833" t="s">
        <v>181</v>
      </c>
      <c r="H833">
        <v>16</v>
      </c>
      <c r="I833" t="s">
        <v>726</v>
      </c>
    </row>
    <row r="834" spans="2:9">
      <c r="B834" s="12" t="s">
        <v>11</v>
      </c>
      <c r="C834" s="35">
        <v>2020</v>
      </c>
      <c r="D834" s="35" t="s">
        <v>43</v>
      </c>
      <c r="E834" t="s">
        <v>191</v>
      </c>
      <c r="F834" s="35"/>
      <c r="G834" t="s">
        <v>181</v>
      </c>
      <c r="H834">
        <v>3</v>
      </c>
      <c r="I834" t="s">
        <v>727</v>
      </c>
    </row>
    <row r="835" spans="2:9">
      <c r="B835" s="12" t="s">
        <v>11</v>
      </c>
      <c r="C835" s="9">
        <v>2020</v>
      </c>
      <c r="D835" s="9" t="s">
        <v>43</v>
      </c>
      <c r="E835" t="s">
        <v>191</v>
      </c>
      <c r="F835" s="9"/>
      <c r="G835" t="s">
        <v>181</v>
      </c>
      <c r="H835">
        <v>1.5</v>
      </c>
      <c r="I835" t="s">
        <v>728</v>
      </c>
    </row>
    <row r="836" spans="2:9">
      <c r="B836" s="12" t="s">
        <v>11</v>
      </c>
      <c r="C836" s="9">
        <v>2020</v>
      </c>
      <c r="D836" s="9" t="s">
        <v>43</v>
      </c>
      <c r="E836" t="s">
        <v>180</v>
      </c>
      <c r="F836" s="9"/>
      <c r="G836" t="s">
        <v>181</v>
      </c>
      <c r="H836">
        <v>1</v>
      </c>
      <c r="I836" t="s">
        <v>729</v>
      </c>
    </row>
    <row r="837" spans="2:9">
      <c r="B837" s="12" t="s">
        <v>11</v>
      </c>
      <c r="C837" s="9">
        <v>2020</v>
      </c>
      <c r="D837" s="9" t="s">
        <v>43</v>
      </c>
      <c r="E837" t="s">
        <v>180</v>
      </c>
      <c r="F837" s="9"/>
      <c r="G837" t="s">
        <v>181</v>
      </c>
      <c r="H837">
        <v>1.05</v>
      </c>
      <c r="I837" t="s">
        <v>483</v>
      </c>
    </row>
    <row r="838" spans="2:9">
      <c r="B838" s="12" t="s">
        <v>11</v>
      </c>
      <c r="C838" s="9">
        <v>2020</v>
      </c>
      <c r="D838" s="9" t="s">
        <v>43</v>
      </c>
      <c r="E838" t="s">
        <v>203</v>
      </c>
      <c r="F838" s="9"/>
      <c r="G838" t="s">
        <v>181</v>
      </c>
      <c r="H838">
        <v>2</v>
      </c>
      <c r="I838" t="s">
        <v>730</v>
      </c>
    </row>
    <row r="839" spans="2:9">
      <c r="B839" s="12" t="s">
        <v>11</v>
      </c>
      <c r="C839" s="9">
        <v>2020</v>
      </c>
      <c r="D839" s="9" t="s">
        <v>43</v>
      </c>
      <c r="E839" t="s">
        <v>199</v>
      </c>
      <c r="F839" s="9"/>
      <c r="G839" t="s">
        <v>181</v>
      </c>
      <c r="H839">
        <v>1.05</v>
      </c>
      <c r="I839" t="s">
        <v>731</v>
      </c>
    </row>
    <row r="840" spans="2:9">
      <c r="B840" s="12" t="s">
        <v>11</v>
      </c>
      <c r="C840" s="9">
        <v>2020</v>
      </c>
      <c r="D840" s="9" t="s">
        <v>43</v>
      </c>
      <c r="E840" t="s">
        <v>199</v>
      </c>
      <c r="F840" s="9"/>
      <c r="G840" t="s">
        <v>181</v>
      </c>
      <c r="H840">
        <v>1</v>
      </c>
      <c r="I840" t="s">
        <v>732</v>
      </c>
    </row>
    <row r="841" spans="2:9">
      <c r="B841" s="12" t="s">
        <v>11</v>
      </c>
      <c r="C841" s="35">
        <v>2020</v>
      </c>
      <c r="D841" s="35" t="s">
        <v>43</v>
      </c>
      <c r="E841" t="s">
        <v>317</v>
      </c>
      <c r="F841" s="35"/>
      <c r="G841" t="s">
        <v>181</v>
      </c>
      <c r="H841">
        <v>6</v>
      </c>
      <c r="I841" t="s">
        <v>733</v>
      </c>
    </row>
    <row r="842" spans="2:9">
      <c r="B842" s="12" t="s">
        <v>11</v>
      </c>
      <c r="C842" s="9">
        <v>2020</v>
      </c>
      <c r="D842" s="9" t="s">
        <v>43</v>
      </c>
      <c r="E842" t="s">
        <v>188</v>
      </c>
      <c r="F842" s="9"/>
      <c r="G842" t="s">
        <v>208</v>
      </c>
      <c r="H842">
        <v>1.1499999999999999</v>
      </c>
      <c r="I842" t="s">
        <v>389</v>
      </c>
    </row>
    <row r="843" spans="2:9">
      <c r="B843" s="12" t="s">
        <v>11</v>
      </c>
      <c r="C843" s="9">
        <v>2020</v>
      </c>
      <c r="D843" s="9" t="s">
        <v>43</v>
      </c>
      <c r="E843" t="s">
        <v>188</v>
      </c>
      <c r="F843" s="9"/>
      <c r="G843" t="s">
        <v>208</v>
      </c>
      <c r="H843">
        <v>0.95</v>
      </c>
      <c r="I843" t="s">
        <v>734</v>
      </c>
    </row>
    <row r="844" spans="2:9">
      <c r="B844" s="12" t="s">
        <v>11</v>
      </c>
      <c r="C844" s="9">
        <v>2020</v>
      </c>
      <c r="D844" s="9" t="s">
        <v>43</v>
      </c>
      <c r="E844" t="s">
        <v>188</v>
      </c>
      <c r="F844" s="9"/>
      <c r="G844" t="s">
        <v>208</v>
      </c>
      <c r="H844">
        <v>3.5</v>
      </c>
      <c r="I844" t="s">
        <v>735</v>
      </c>
    </row>
    <row r="845" spans="2:9">
      <c r="B845" s="12" t="s">
        <v>11</v>
      </c>
      <c r="C845" s="9">
        <v>2020</v>
      </c>
      <c r="D845" s="9" t="s">
        <v>43</v>
      </c>
      <c r="E845" t="s">
        <v>191</v>
      </c>
      <c r="F845" s="9"/>
      <c r="G845" t="s">
        <v>208</v>
      </c>
      <c r="H845">
        <v>0.55000000000000004</v>
      </c>
      <c r="I845" t="s">
        <v>736</v>
      </c>
    </row>
    <row r="846" spans="2:9">
      <c r="B846" s="12" t="s">
        <v>11</v>
      </c>
      <c r="C846" s="9">
        <v>2020</v>
      </c>
      <c r="D846" s="9" t="s">
        <v>43</v>
      </c>
      <c r="E846" t="s">
        <v>188</v>
      </c>
      <c r="F846" s="9"/>
      <c r="G846" t="s">
        <v>208</v>
      </c>
      <c r="H846">
        <v>1</v>
      </c>
      <c r="I846" t="s">
        <v>737</v>
      </c>
    </row>
    <row r="847" spans="2:9">
      <c r="B847" s="12" t="s">
        <v>11</v>
      </c>
      <c r="C847" s="9">
        <v>2020</v>
      </c>
      <c r="D847" s="9" t="s">
        <v>43</v>
      </c>
      <c r="E847" t="s">
        <v>188</v>
      </c>
      <c r="F847" s="9"/>
      <c r="G847" t="s">
        <v>208</v>
      </c>
      <c r="H847">
        <v>0.55000000000000004</v>
      </c>
      <c r="I847" t="s">
        <v>738</v>
      </c>
    </row>
    <row r="848" spans="2:9">
      <c r="B848" s="12" t="s">
        <v>11</v>
      </c>
      <c r="C848" s="35">
        <v>2020</v>
      </c>
      <c r="D848" s="35" t="s">
        <v>43</v>
      </c>
      <c r="E848" t="s">
        <v>188</v>
      </c>
      <c r="F848" s="35"/>
      <c r="G848" t="s">
        <v>208</v>
      </c>
      <c r="H848">
        <v>0.5</v>
      </c>
      <c r="I848" t="s">
        <v>739</v>
      </c>
    </row>
    <row r="849" spans="2:9">
      <c r="B849" s="12" t="s">
        <v>11</v>
      </c>
      <c r="C849" s="9">
        <v>2020</v>
      </c>
      <c r="D849" s="9" t="s">
        <v>45</v>
      </c>
      <c r="E849" t="s">
        <v>180</v>
      </c>
      <c r="F849" s="9"/>
      <c r="G849" t="s">
        <v>181</v>
      </c>
      <c r="H849">
        <v>6</v>
      </c>
      <c r="I849" t="s">
        <v>273</v>
      </c>
    </row>
    <row r="850" spans="2:9">
      <c r="B850" s="12" t="s">
        <v>11</v>
      </c>
      <c r="C850" s="9">
        <v>2020</v>
      </c>
      <c r="D850" s="9" t="s">
        <v>45</v>
      </c>
      <c r="E850" t="s">
        <v>180</v>
      </c>
      <c r="F850" s="9"/>
      <c r="G850" t="s">
        <v>181</v>
      </c>
      <c r="H850">
        <v>2</v>
      </c>
      <c r="I850" t="s">
        <v>437</v>
      </c>
    </row>
    <row r="851" spans="2:9">
      <c r="B851" s="12" t="s">
        <v>11</v>
      </c>
      <c r="C851" s="9">
        <v>2020</v>
      </c>
      <c r="D851" s="9" t="s">
        <v>45</v>
      </c>
      <c r="E851" t="s">
        <v>184</v>
      </c>
      <c r="F851" s="9"/>
      <c r="G851" t="s">
        <v>181</v>
      </c>
      <c r="H851">
        <v>2</v>
      </c>
      <c r="I851" t="s">
        <v>185</v>
      </c>
    </row>
    <row r="852" spans="2:9">
      <c r="B852" s="12" t="s">
        <v>11</v>
      </c>
      <c r="C852" s="9">
        <v>2020</v>
      </c>
      <c r="D852" s="9" t="s">
        <v>45</v>
      </c>
      <c r="E852" t="s">
        <v>188</v>
      </c>
      <c r="F852" s="9"/>
      <c r="G852" t="s">
        <v>181</v>
      </c>
      <c r="H852">
        <v>4</v>
      </c>
      <c r="I852" t="s">
        <v>185</v>
      </c>
    </row>
    <row r="853" spans="2:9">
      <c r="B853" s="12" t="s">
        <v>11</v>
      </c>
      <c r="C853" s="9">
        <v>2020</v>
      </c>
      <c r="D853" s="9" t="s">
        <v>45</v>
      </c>
      <c r="E853" t="s">
        <v>197</v>
      </c>
      <c r="F853" s="9"/>
      <c r="G853" t="s">
        <v>181</v>
      </c>
      <c r="H853">
        <v>0.5</v>
      </c>
      <c r="I853" t="s">
        <v>740</v>
      </c>
    </row>
    <row r="854" spans="2:9">
      <c r="B854" s="12" t="s">
        <v>11</v>
      </c>
      <c r="C854" s="35">
        <v>2020</v>
      </c>
      <c r="D854" s="35" t="s">
        <v>45</v>
      </c>
      <c r="E854" t="s">
        <v>199</v>
      </c>
      <c r="F854" s="35"/>
      <c r="G854" t="s">
        <v>181</v>
      </c>
      <c r="H854">
        <v>0.5</v>
      </c>
      <c r="I854" t="s">
        <v>740</v>
      </c>
    </row>
    <row r="855" spans="2:9">
      <c r="B855" s="12" t="s">
        <v>11</v>
      </c>
      <c r="C855" s="9">
        <v>2020</v>
      </c>
      <c r="D855" s="9" t="s">
        <v>45</v>
      </c>
      <c r="E855" t="s">
        <v>188</v>
      </c>
      <c r="F855" s="9"/>
      <c r="G855" t="s">
        <v>208</v>
      </c>
      <c r="H855">
        <v>2.4</v>
      </c>
      <c r="I855" t="s">
        <v>741</v>
      </c>
    </row>
    <row r="856" spans="2:9">
      <c r="B856" s="12" t="s">
        <v>11</v>
      </c>
      <c r="C856" s="9">
        <v>2020</v>
      </c>
      <c r="D856" s="9" t="s">
        <v>45</v>
      </c>
      <c r="E856" t="s">
        <v>188</v>
      </c>
      <c r="F856" s="9"/>
      <c r="G856" t="s">
        <v>208</v>
      </c>
      <c r="H856">
        <v>0</v>
      </c>
      <c r="I856" t="s">
        <v>742</v>
      </c>
    </row>
    <row r="857" spans="2:9">
      <c r="B857" s="12" t="s">
        <v>11</v>
      </c>
      <c r="C857" s="9">
        <v>2020</v>
      </c>
      <c r="D857" s="9" t="s">
        <v>45</v>
      </c>
      <c r="E857" t="s">
        <v>188</v>
      </c>
      <c r="F857" s="9"/>
      <c r="G857" t="s">
        <v>208</v>
      </c>
      <c r="H857">
        <v>0.45</v>
      </c>
      <c r="I857" t="s">
        <v>743</v>
      </c>
    </row>
    <row r="858" spans="2:9">
      <c r="B858" s="12" t="s">
        <v>11</v>
      </c>
      <c r="C858" s="9">
        <v>2020</v>
      </c>
      <c r="D858" s="9" t="s">
        <v>45</v>
      </c>
      <c r="E858" t="s">
        <v>188</v>
      </c>
      <c r="F858" s="9"/>
      <c r="G858" t="s">
        <v>208</v>
      </c>
      <c r="H858">
        <v>1.9</v>
      </c>
      <c r="I858" t="s">
        <v>744</v>
      </c>
    </row>
    <row r="859" spans="2:9">
      <c r="B859" s="12" t="s">
        <v>11</v>
      </c>
      <c r="C859" s="9">
        <v>2020</v>
      </c>
      <c r="D859" s="9" t="s">
        <v>45</v>
      </c>
      <c r="E859" t="s">
        <v>188</v>
      </c>
      <c r="F859" s="9"/>
      <c r="G859" t="s">
        <v>208</v>
      </c>
      <c r="H859">
        <v>0.5</v>
      </c>
      <c r="I859" t="s">
        <v>745</v>
      </c>
    </row>
    <row r="860" spans="2:9">
      <c r="B860" s="12" t="s">
        <v>11</v>
      </c>
      <c r="C860" s="9">
        <v>2020</v>
      </c>
      <c r="D860" s="9" t="s">
        <v>45</v>
      </c>
      <c r="E860" t="s">
        <v>188</v>
      </c>
      <c r="F860" s="9"/>
      <c r="G860" t="s">
        <v>208</v>
      </c>
      <c r="H860">
        <v>0.4</v>
      </c>
      <c r="I860" t="s">
        <v>746</v>
      </c>
    </row>
    <row r="861" spans="2:9">
      <c r="B861" s="12" t="s">
        <v>11</v>
      </c>
      <c r="C861" s="9">
        <v>2020</v>
      </c>
      <c r="D861" s="9" t="s">
        <v>45</v>
      </c>
      <c r="E861" t="s">
        <v>317</v>
      </c>
      <c r="F861" s="9"/>
      <c r="G861" t="s">
        <v>208</v>
      </c>
      <c r="H861">
        <v>8.5</v>
      </c>
    </row>
    <row r="862" spans="2:9">
      <c r="B862" s="12" t="s">
        <v>11</v>
      </c>
      <c r="C862" s="9">
        <v>2020</v>
      </c>
      <c r="D862" s="9" t="s">
        <v>45</v>
      </c>
      <c r="E862" t="s">
        <v>199</v>
      </c>
      <c r="F862" s="9"/>
      <c r="G862" t="s">
        <v>208</v>
      </c>
      <c r="H862">
        <v>15.4</v>
      </c>
      <c r="I862" t="s">
        <v>747</v>
      </c>
    </row>
    <row r="863" spans="2:9">
      <c r="B863" s="12" t="s">
        <v>11</v>
      </c>
      <c r="C863" s="9">
        <v>2020</v>
      </c>
      <c r="D863" s="9" t="s">
        <v>45</v>
      </c>
      <c r="E863" t="s">
        <v>197</v>
      </c>
      <c r="F863" s="9"/>
      <c r="G863" t="s">
        <v>208</v>
      </c>
      <c r="H863">
        <v>1.5</v>
      </c>
      <c r="I863" t="s">
        <v>748</v>
      </c>
    </row>
    <row r="864" spans="2:9">
      <c r="B864" s="12" t="s">
        <v>11</v>
      </c>
      <c r="C864" s="9">
        <v>2020</v>
      </c>
      <c r="D864" s="9" t="s">
        <v>45</v>
      </c>
      <c r="E864" t="s">
        <v>188</v>
      </c>
      <c r="F864" s="9"/>
      <c r="G864" t="s">
        <v>208</v>
      </c>
      <c r="H864">
        <v>1.95</v>
      </c>
      <c r="I864" t="s">
        <v>749</v>
      </c>
    </row>
    <row r="865" spans="2:9">
      <c r="B865" s="12" t="s">
        <v>11</v>
      </c>
      <c r="C865" s="35">
        <v>2020</v>
      </c>
      <c r="D865" s="35" t="s">
        <v>45</v>
      </c>
      <c r="E865" t="s">
        <v>200</v>
      </c>
      <c r="F865" s="35"/>
      <c r="G865" t="s">
        <v>208</v>
      </c>
      <c r="H865">
        <v>4</v>
      </c>
      <c r="I865" t="s">
        <v>750</v>
      </c>
    </row>
    <row r="866" spans="2:9">
      <c r="B866" s="12" t="s">
        <v>11</v>
      </c>
      <c r="C866" s="9">
        <v>2020</v>
      </c>
      <c r="D866" s="9" t="s">
        <v>47</v>
      </c>
      <c r="E866" t="s">
        <v>188</v>
      </c>
      <c r="F866" s="9"/>
      <c r="G866" t="s">
        <v>181</v>
      </c>
      <c r="H866">
        <v>1.1499999999999999</v>
      </c>
      <c r="I866" t="s">
        <v>751</v>
      </c>
    </row>
    <row r="867" spans="2:9">
      <c r="B867" s="12" t="s">
        <v>11</v>
      </c>
      <c r="C867" s="9">
        <v>2020</v>
      </c>
      <c r="D867" s="9" t="s">
        <v>47</v>
      </c>
      <c r="E867" t="s">
        <v>199</v>
      </c>
      <c r="F867" s="9"/>
      <c r="G867" t="s">
        <v>181</v>
      </c>
      <c r="H867">
        <v>0.4</v>
      </c>
      <c r="I867" t="s">
        <v>752</v>
      </c>
    </row>
    <row r="868" spans="2:9">
      <c r="B868" s="12" t="s">
        <v>11</v>
      </c>
      <c r="C868" s="9">
        <v>2020</v>
      </c>
      <c r="D868" s="9" t="s">
        <v>47</v>
      </c>
      <c r="E868" t="s">
        <v>199</v>
      </c>
      <c r="F868" s="9"/>
      <c r="G868" t="s">
        <v>181</v>
      </c>
      <c r="H868">
        <v>0.4</v>
      </c>
      <c r="I868" t="s">
        <v>753</v>
      </c>
    </row>
    <row r="869" spans="2:9">
      <c r="B869" s="12" t="s">
        <v>11</v>
      </c>
      <c r="C869" s="9">
        <v>2020</v>
      </c>
      <c r="D869" s="9" t="s">
        <v>47</v>
      </c>
      <c r="E869" t="s">
        <v>197</v>
      </c>
      <c r="F869" s="9"/>
      <c r="G869" t="s">
        <v>181</v>
      </c>
      <c r="H869">
        <v>0.4</v>
      </c>
      <c r="I869" t="s">
        <v>754</v>
      </c>
    </row>
    <row r="870" spans="2:9">
      <c r="B870" s="12" t="s">
        <v>11</v>
      </c>
      <c r="C870" s="9">
        <v>2020</v>
      </c>
      <c r="D870" s="9" t="s">
        <v>47</v>
      </c>
      <c r="E870" t="s">
        <v>184</v>
      </c>
      <c r="F870" s="9"/>
      <c r="G870" t="s">
        <v>181</v>
      </c>
      <c r="H870">
        <v>4</v>
      </c>
      <c r="I870" t="s">
        <v>216</v>
      </c>
    </row>
    <row r="871" spans="2:9">
      <c r="B871" s="12" t="s">
        <v>11</v>
      </c>
      <c r="C871" s="9">
        <v>2020</v>
      </c>
      <c r="D871" s="9" t="s">
        <v>47</v>
      </c>
      <c r="E871" t="s">
        <v>200</v>
      </c>
      <c r="F871" s="9"/>
      <c r="G871" t="s">
        <v>181</v>
      </c>
      <c r="H871">
        <v>0.4</v>
      </c>
      <c r="I871" t="s">
        <v>216</v>
      </c>
    </row>
    <row r="872" spans="2:9">
      <c r="B872" s="12" t="s">
        <v>11</v>
      </c>
      <c r="C872" s="9">
        <v>2020</v>
      </c>
      <c r="D872" s="9" t="s">
        <v>47</v>
      </c>
      <c r="E872" t="s">
        <v>180</v>
      </c>
      <c r="F872" s="9"/>
      <c r="G872" t="s">
        <v>181</v>
      </c>
      <c r="H872">
        <v>6</v>
      </c>
      <c r="I872" t="s">
        <v>755</v>
      </c>
    </row>
    <row r="873" spans="2:9">
      <c r="B873" s="12" t="s">
        <v>11</v>
      </c>
      <c r="C873" s="9">
        <v>2020</v>
      </c>
      <c r="D873" s="9" t="s">
        <v>47</v>
      </c>
      <c r="E873" t="s">
        <v>191</v>
      </c>
      <c r="F873" s="9"/>
      <c r="G873" t="s">
        <v>181</v>
      </c>
      <c r="H873">
        <v>0.5</v>
      </c>
      <c r="I873" t="s">
        <v>756</v>
      </c>
    </row>
    <row r="874" spans="2:9">
      <c r="B874" s="12" t="s">
        <v>11</v>
      </c>
      <c r="C874" s="9">
        <v>2020</v>
      </c>
      <c r="D874" s="9" t="s">
        <v>47</v>
      </c>
      <c r="E874" t="s">
        <v>191</v>
      </c>
      <c r="F874" s="9"/>
      <c r="G874" t="s">
        <v>181</v>
      </c>
      <c r="H874">
        <v>0.5</v>
      </c>
      <c r="I874" t="s">
        <v>757</v>
      </c>
    </row>
    <row r="875" spans="2:9">
      <c r="B875" s="12" t="s">
        <v>11</v>
      </c>
      <c r="C875" s="9">
        <v>2020</v>
      </c>
      <c r="D875" s="9" t="s">
        <v>47</v>
      </c>
      <c r="E875" t="s">
        <v>180</v>
      </c>
      <c r="F875" s="9"/>
      <c r="G875" t="s">
        <v>181</v>
      </c>
      <c r="H875">
        <v>0.1</v>
      </c>
      <c r="I875" t="s">
        <v>758</v>
      </c>
    </row>
    <row r="876" spans="2:9">
      <c r="B876" s="12" t="s">
        <v>11</v>
      </c>
      <c r="C876" s="9">
        <v>2020</v>
      </c>
      <c r="D876" s="9" t="s">
        <v>47</v>
      </c>
      <c r="E876" t="s">
        <v>180</v>
      </c>
      <c r="F876" s="9"/>
      <c r="G876" t="s">
        <v>181</v>
      </c>
      <c r="H876">
        <v>0.1</v>
      </c>
      <c r="I876" t="s">
        <v>758</v>
      </c>
    </row>
    <row r="877" spans="2:9">
      <c r="B877" s="12" t="s">
        <v>11</v>
      </c>
      <c r="C877" s="9">
        <v>2020</v>
      </c>
      <c r="D877" s="9" t="s">
        <v>47</v>
      </c>
      <c r="E877" t="s">
        <v>180</v>
      </c>
      <c r="F877" s="9"/>
      <c r="G877" t="s">
        <v>181</v>
      </c>
      <c r="H877">
        <v>4</v>
      </c>
      <c r="I877" t="s">
        <v>759</v>
      </c>
    </row>
    <row r="878" spans="2:9">
      <c r="B878" s="12" t="s">
        <v>11</v>
      </c>
      <c r="C878" s="9">
        <v>2020</v>
      </c>
      <c r="D878" s="9" t="s">
        <v>47</v>
      </c>
      <c r="E878" t="s">
        <v>188</v>
      </c>
      <c r="F878" s="9"/>
      <c r="G878" t="s">
        <v>181</v>
      </c>
      <c r="H878">
        <v>3</v>
      </c>
      <c r="I878" t="s">
        <v>758</v>
      </c>
    </row>
    <row r="879" spans="2:9">
      <c r="B879" s="12" t="s">
        <v>11</v>
      </c>
      <c r="C879" s="9">
        <v>2020</v>
      </c>
      <c r="D879" s="9" t="s">
        <v>47</v>
      </c>
      <c r="E879" t="s">
        <v>188</v>
      </c>
      <c r="F879" s="9"/>
      <c r="G879" t="s">
        <v>181</v>
      </c>
      <c r="H879">
        <v>3</v>
      </c>
      <c r="I879" t="s">
        <v>760</v>
      </c>
    </row>
    <row r="880" spans="2:9">
      <c r="B880" s="12" t="s">
        <v>11</v>
      </c>
      <c r="C880" s="9">
        <v>2020</v>
      </c>
      <c r="D880" s="9" t="s">
        <v>47</v>
      </c>
      <c r="E880" t="s">
        <v>180</v>
      </c>
      <c r="F880" s="9"/>
      <c r="G880" t="s">
        <v>181</v>
      </c>
      <c r="H880">
        <v>1.5</v>
      </c>
      <c r="I880" t="s">
        <v>761</v>
      </c>
    </row>
    <row r="881" spans="2:9">
      <c r="B881" s="12" t="s">
        <v>11</v>
      </c>
      <c r="C881" s="9">
        <v>2020</v>
      </c>
      <c r="D881" s="9" t="s">
        <v>47</v>
      </c>
      <c r="E881" t="s">
        <v>199</v>
      </c>
      <c r="F881" s="9"/>
      <c r="G881" t="s">
        <v>181</v>
      </c>
      <c r="H881">
        <v>1</v>
      </c>
      <c r="I881" t="s">
        <v>762</v>
      </c>
    </row>
    <row r="882" spans="2:9">
      <c r="B882" s="12" t="s">
        <v>11</v>
      </c>
      <c r="C882" s="9">
        <v>2020</v>
      </c>
      <c r="D882" s="9" t="s">
        <v>47</v>
      </c>
      <c r="E882" t="s">
        <v>197</v>
      </c>
      <c r="F882" s="9"/>
      <c r="G882" t="s">
        <v>181</v>
      </c>
      <c r="H882">
        <v>1</v>
      </c>
      <c r="I882" t="s">
        <v>762</v>
      </c>
    </row>
    <row r="883" spans="2:9">
      <c r="B883" s="12" t="s">
        <v>11</v>
      </c>
      <c r="C883" s="35">
        <v>2020</v>
      </c>
      <c r="D883" s="35" t="s">
        <v>47</v>
      </c>
      <c r="E883" t="s">
        <v>188</v>
      </c>
      <c r="F883" s="35"/>
      <c r="G883" t="s">
        <v>181</v>
      </c>
      <c r="H883">
        <v>0.6</v>
      </c>
      <c r="I883" t="s">
        <v>763</v>
      </c>
    </row>
    <row r="884" spans="2:9">
      <c r="B884" s="12" t="s">
        <v>11</v>
      </c>
      <c r="C884" s="9">
        <v>2020</v>
      </c>
      <c r="D884" s="9" t="s">
        <v>47</v>
      </c>
      <c r="E884" t="s">
        <v>199</v>
      </c>
      <c r="F884" s="9"/>
      <c r="G884" t="s">
        <v>208</v>
      </c>
      <c r="H884">
        <v>0.5</v>
      </c>
      <c r="I884" t="s">
        <v>764</v>
      </c>
    </row>
    <row r="885" spans="2:9">
      <c r="B885" s="12" t="s">
        <v>11</v>
      </c>
      <c r="C885" s="9">
        <v>2020</v>
      </c>
      <c r="D885" s="9" t="s">
        <v>47</v>
      </c>
      <c r="E885" t="s">
        <v>180</v>
      </c>
      <c r="F885" s="9"/>
      <c r="G885" t="s">
        <v>208</v>
      </c>
      <c r="H885">
        <v>1</v>
      </c>
      <c r="I885" t="s">
        <v>765</v>
      </c>
    </row>
    <row r="886" spans="2:9">
      <c r="B886" s="12" t="s">
        <v>11</v>
      </c>
      <c r="C886" s="9">
        <v>2020</v>
      </c>
      <c r="D886" s="9" t="s">
        <v>47</v>
      </c>
      <c r="E886" t="s">
        <v>191</v>
      </c>
      <c r="F886" s="9"/>
      <c r="G886" t="s">
        <v>208</v>
      </c>
      <c r="H886">
        <v>2</v>
      </c>
      <c r="I886" t="s">
        <v>766</v>
      </c>
    </row>
    <row r="887" spans="2:9">
      <c r="B887" s="12" t="s">
        <v>11</v>
      </c>
      <c r="C887" s="9">
        <v>2020</v>
      </c>
      <c r="D887" s="9" t="s">
        <v>47</v>
      </c>
      <c r="E887" t="s">
        <v>184</v>
      </c>
      <c r="F887" s="9"/>
      <c r="G887" t="s">
        <v>208</v>
      </c>
      <c r="H887">
        <v>1</v>
      </c>
      <c r="I887" t="s">
        <v>767</v>
      </c>
    </row>
    <row r="888" spans="2:9">
      <c r="B888" s="12" t="s">
        <v>11</v>
      </c>
      <c r="C888" s="9">
        <v>2020</v>
      </c>
      <c r="D888" s="9" t="s">
        <v>47</v>
      </c>
      <c r="E888" t="s">
        <v>188</v>
      </c>
      <c r="F888" s="9"/>
      <c r="G888" t="s">
        <v>208</v>
      </c>
      <c r="H888">
        <v>1.45</v>
      </c>
      <c r="I888" t="s">
        <v>768</v>
      </c>
    </row>
    <row r="889" spans="2:9">
      <c r="B889" s="12" t="s">
        <v>11</v>
      </c>
      <c r="C889" s="9">
        <v>2020</v>
      </c>
      <c r="D889" s="9" t="s">
        <v>47</v>
      </c>
      <c r="E889" t="s">
        <v>188</v>
      </c>
      <c r="F889" s="9"/>
      <c r="G889" t="s">
        <v>208</v>
      </c>
      <c r="H889">
        <v>3.5</v>
      </c>
      <c r="I889" t="s">
        <v>769</v>
      </c>
    </row>
    <row r="890" spans="2:9">
      <c r="B890" s="12" t="s">
        <v>11</v>
      </c>
      <c r="C890" s="9">
        <v>2020</v>
      </c>
      <c r="D890" s="9" t="s">
        <v>47</v>
      </c>
      <c r="E890" t="s">
        <v>188</v>
      </c>
      <c r="F890" s="9"/>
      <c r="G890" t="s">
        <v>208</v>
      </c>
      <c r="H890">
        <v>3.2</v>
      </c>
      <c r="I890" t="s">
        <v>770</v>
      </c>
    </row>
    <row r="891" spans="2:9">
      <c r="B891" s="12" t="s">
        <v>11</v>
      </c>
      <c r="C891" s="9">
        <v>2020</v>
      </c>
      <c r="D891" s="9" t="s">
        <v>47</v>
      </c>
      <c r="E891" t="s">
        <v>188</v>
      </c>
      <c r="F891" s="9"/>
      <c r="G891" t="s">
        <v>208</v>
      </c>
      <c r="H891">
        <v>0.05</v>
      </c>
      <c r="I891" t="s">
        <v>771</v>
      </c>
    </row>
    <row r="892" spans="2:9">
      <c r="B892" s="12" t="s">
        <v>11</v>
      </c>
      <c r="C892" s="9">
        <v>2020</v>
      </c>
      <c r="D892" s="9" t="s">
        <v>47</v>
      </c>
      <c r="E892" t="s">
        <v>188</v>
      </c>
      <c r="F892" s="9"/>
      <c r="G892" t="s">
        <v>208</v>
      </c>
      <c r="H892">
        <v>1</v>
      </c>
      <c r="I892" t="s">
        <v>772</v>
      </c>
    </row>
    <row r="893" spans="2:9">
      <c r="B893" s="12" t="s">
        <v>11</v>
      </c>
      <c r="C893" s="9">
        <v>2020</v>
      </c>
      <c r="D893" s="9" t="s">
        <v>47</v>
      </c>
      <c r="E893" t="s">
        <v>191</v>
      </c>
      <c r="F893" s="9"/>
      <c r="G893" t="s">
        <v>208</v>
      </c>
      <c r="H893">
        <v>0.75</v>
      </c>
      <c r="I893" t="s">
        <v>773</v>
      </c>
    </row>
    <row r="894" spans="2:9">
      <c r="B894" s="12" t="s">
        <v>11</v>
      </c>
      <c r="C894" s="9">
        <v>2020</v>
      </c>
      <c r="D894" s="9" t="s">
        <v>47</v>
      </c>
      <c r="E894" t="s">
        <v>188</v>
      </c>
      <c r="F894" s="9"/>
      <c r="G894" t="s">
        <v>208</v>
      </c>
      <c r="H894">
        <v>0.65</v>
      </c>
      <c r="I894" t="s">
        <v>774</v>
      </c>
    </row>
    <row r="895" spans="2:9">
      <c r="B895" s="12" t="s">
        <v>11</v>
      </c>
      <c r="C895" s="35">
        <v>2020</v>
      </c>
      <c r="D895" s="35" t="s">
        <v>47</v>
      </c>
      <c r="E895" t="s">
        <v>193</v>
      </c>
      <c r="F895" s="35"/>
      <c r="G895" t="s">
        <v>208</v>
      </c>
      <c r="H895">
        <v>0.4</v>
      </c>
      <c r="I895" t="s">
        <v>775</v>
      </c>
    </row>
    <row r="896" spans="2:9">
      <c r="B896" s="12" t="s">
        <v>11</v>
      </c>
      <c r="C896" s="9">
        <v>2020</v>
      </c>
      <c r="D896" s="9" t="s">
        <v>49</v>
      </c>
      <c r="E896" t="s">
        <v>180</v>
      </c>
      <c r="F896" s="9"/>
      <c r="G896" t="s">
        <v>181</v>
      </c>
      <c r="H896">
        <v>6</v>
      </c>
      <c r="I896" t="s">
        <v>273</v>
      </c>
    </row>
    <row r="897" spans="2:9">
      <c r="B897" s="12" t="s">
        <v>11</v>
      </c>
      <c r="C897" s="9">
        <v>2020</v>
      </c>
      <c r="D897" s="9" t="s">
        <v>49</v>
      </c>
      <c r="E897" t="s">
        <v>180</v>
      </c>
      <c r="F897" s="9"/>
      <c r="G897" t="s">
        <v>181</v>
      </c>
      <c r="H897">
        <v>2</v>
      </c>
      <c r="I897" t="s">
        <v>776</v>
      </c>
    </row>
    <row r="898" spans="2:9">
      <c r="B898" s="12" t="s">
        <v>11</v>
      </c>
      <c r="C898" s="9">
        <v>2020</v>
      </c>
      <c r="D898" s="9" t="s">
        <v>49</v>
      </c>
      <c r="E898" t="s">
        <v>184</v>
      </c>
      <c r="F898" s="9"/>
      <c r="G898" t="s">
        <v>181</v>
      </c>
      <c r="H898">
        <v>3</v>
      </c>
      <c r="I898" t="s">
        <v>185</v>
      </c>
    </row>
    <row r="899" spans="2:9">
      <c r="B899" s="12" t="s">
        <v>11</v>
      </c>
      <c r="C899">
        <v>2022</v>
      </c>
      <c r="D899" t="s">
        <v>49</v>
      </c>
      <c r="E899" t="s">
        <v>180</v>
      </c>
      <c r="F899" s="9"/>
      <c r="G899" t="s">
        <v>181</v>
      </c>
      <c r="H899">
        <v>1</v>
      </c>
      <c r="I899" t="s">
        <v>235</v>
      </c>
    </row>
    <row r="900" spans="2:9">
      <c r="B900" s="12" t="s">
        <v>11</v>
      </c>
      <c r="C900">
        <v>2022</v>
      </c>
      <c r="D900" t="s">
        <v>49</v>
      </c>
      <c r="E900" t="s">
        <v>180</v>
      </c>
      <c r="F900" s="9"/>
      <c r="G900" t="s">
        <v>181</v>
      </c>
      <c r="H900">
        <v>1</v>
      </c>
      <c r="I900" t="s">
        <v>236</v>
      </c>
    </row>
    <row r="901" spans="2:9">
      <c r="B901" s="12" t="s">
        <v>11</v>
      </c>
      <c r="C901">
        <v>2022</v>
      </c>
      <c r="D901" t="s">
        <v>49</v>
      </c>
      <c r="E901" t="s">
        <v>188</v>
      </c>
      <c r="F901" s="9"/>
      <c r="G901" t="s">
        <v>181</v>
      </c>
      <c r="H901">
        <v>6</v>
      </c>
      <c r="I901" t="s">
        <v>334</v>
      </c>
    </row>
    <row r="902" spans="2:9">
      <c r="B902" s="12" t="s">
        <v>11</v>
      </c>
      <c r="C902">
        <v>2022</v>
      </c>
      <c r="D902" t="s">
        <v>49</v>
      </c>
      <c r="E902" t="s">
        <v>180</v>
      </c>
      <c r="F902" s="9"/>
      <c r="G902" t="s">
        <v>181</v>
      </c>
      <c r="H902">
        <v>1</v>
      </c>
      <c r="I902" t="s">
        <v>283</v>
      </c>
    </row>
    <row r="903" spans="2:9">
      <c r="B903" s="12" t="s">
        <v>11</v>
      </c>
      <c r="C903">
        <v>2022</v>
      </c>
      <c r="D903" t="s">
        <v>49</v>
      </c>
      <c r="E903" t="s">
        <v>180</v>
      </c>
      <c r="F903" s="9"/>
      <c r="G903" t="s">
        <v>181</v>
      </c>
      <c r="H903">
        <v>3</v>
      </c>
      <c r="I903" t="s">
        <v>777</v>
      </c>
    </row>
    <row r="904" spans="2:9">
      <c r="B904" s="12" t="s">
        <v>11</v>
      </c>
      <c r="C904">
        <v>2022</v>
      </c>
      <c r="D904" t="s">
        <v>49</v>
      </c>
      <c r="E904" t="s">
        <v>191</v>
      </c>
      <c r="F904" s="9"/>
      <c r="G904" t="s">
        <v>181</v>
      </c>
      <c r="H904">
        <v>3</v>
      </c>
      <c r="I904" t="s">
        <v>778</v>
      </c>
    </row>
    <row r="905" spans="2:9">
      <c r="B905" s="12" t="s">
        <v>11</v>
      </c>
      <c r="C905">
        <v>2022</v>
      </c>
      <c r="D905" t="s">
        <v>49</v>
      </c>
      <c r="E905" t="s">
        <v>200</v>
      </c>
      <c r="F905" s="9"/>
      <c r="G905" t="s">
        <v>181</v>
      </c>
      <c r="H905">
        <v>1</v>
      </c>
      <c r="I905" t="s">
        <v>201</v>
      </c>
    </row>
    <row r="906" spans="2:9">
      <c r="B906" s="12" t="s">
        <v>11</v>
      </c>
      <c r="C906">
        <v>2022</v>
      </c>
      <c r="D906" t="s">
        <v>49</v>
      </c>
      <c r="E906" t="s">
        <v>199</v>
      </c>
      <c r="F906" s="9"/>
      <c r="G906" t="s">
        <v>181</v>
      </c>
      <c r="H906">
        <v>0.25</v>
      </c>
      <c r="I906" t="s">
        <v>202</v>
      </c>
    </row>
    <row r="907" spans="2:9">
      <c r="B907" s="12" t="s">
        <v>11</v>
      </c>
      <c r="C907">
        <v>2022</v>
      </c>
      <c r="D907" t="s">
        <v>49</v>
      </c>
      <c r="E907" t="s">
        <v>197</v>
      </c>
      <c r="F907" s="9"/>
      <c r="G907" t="s">
        <v>181</v>
      </c>
      <c r="H907">
        <v>0.25</v>
      </c>
      <c r="I907" t="s">
        <v>202</v>
      </c>
    </row>
    <row r="908" spans="2:9">
      <c r="B908" s="12" t="s">
        <v>11</v>
      </c>
      <c r="C908">
        <v>2022</v>
      </c>
      <c r="D908" t="s">
        <v>49</v>
      </c>
      <c r="E908" t="s">
        <v>203</v>
      </c>
      <c r="F908" s="9"/>
      <c r="G908" t="s">
        <v>181</v>
      </c>
      <c r="H908">
        <v>1</v>
      </c>
      <c r="I908" t="s">
        <v>241</v>
      </c>
    </row>
    <row r="909" spans="2:9">
      <c r="B909" s="12" t="s">
        <v>11</v>
      </c>
      <c r="C909">
        <v>2022</v>
      </c>
      <c r="D909" t="s">
        <v>49</v>
      </c>
      <c r="E909" t="s">
        <v>199</v>
      </c>
      <c r="F909" s="9"/>
      <c r="G909" t="s">
        <v>181</v>
      </c>
      <c r="H909">
        <v>0.75</v>
      </c>
      <c r="I909" t="s">
        <v>198</v>
      </c>
    </row>
    <row r="910" spans="2:9">
      <c r="B910" s="12" t="s">
        <v>11</v>
      </c>
      <c r="C910">
        <v>2022</v>
      </c>
      <c r="D910" t="s">
        <v>49</v>
      </c>
      <c r="E910" t="s">
        <v>197</v>
      </c>
      <c r="F910" s="9"/>
      <c r="G910" t="s">
        <v>181</v>
      </c>
      <c r="H910">
        <v>0.75</v>
      </c>
      <c r="I910" t="s">
        <v>198</v>
      </c>
    </row>
    <row r="911" spans="2:9">
      <c r="B911" s="12" t="s">
        <v>11</v>
      </c>
      <c r="C911">
        <v>2022</v>
      </c>
      <c r="D911" t="s">
        <v>49</v>
      </c>
      <c r="E911" t="s">
        <v>180</v>
      </c>
      <c r="F911" s="9"/>
      <c r="G911" t="s">
        <v>181</v>
      </c>
      <c r="H911">
        <v>1</v>
      </c>
      <c r="I911" t="s">
        <v>242</v>
      </c>
    </row>
    <row r="912" spans="2:9">
      <c r="B912" s="12" t="s">
        <v>11</v>
      </c>
      <c r="C912">
        <v>2022</v>
      </c>
      <c r="D912" t="s">
        <v>49</v>
      </c>
      <c r="E912" t="s">
        <v>180</v>
      </c>
      <c r="F912" s="35"/>
      <c r="G912" t="s">
        <v>181</v>
      </c>
      <c r="H912">
        <v>1</v>
      </c>
      <c r="I912" t="s">
        <v>243</v>
      </c>
    </row>
    <row r="913" spans="2:9">
      <c r="B913" s="12" t="s">
        <v>11</v>
      </c>
      <c r="C913">
        <v>2022</v>
      </c>
      <c r="D913" t="s">
        <v>49</v>
      </c>
      <c r="E913" t="s">
        <v>199</v>
      </c>
      <c r="F913" s="9"/>
      <c r="G913" t="s">
        <v>181</v>
      </c>
      <c r="H913">
        <v>1</v>
      </c>
      <c r="I913" t="s">
        <v>274</v>
      </c>
    </row>
    <row r="914" spans="2:9">
      <c r="B914" s="12" t="s">
        <v>11</v>
      </c>
      <c r="C914">
        <v>2022</v>
      </c>
      <c r="D914" t="s">
        <v>49</v>
      </c>
      <c r="E914" t="s">
        <v>180</v>
      </c>
      <c r="F914" s="9"/>
      <c r="G914" t="s">
        <v>181</v>
      </c>
      <c r="H914">
        <v>4</v>
      </c>
      <c r="I914" t="s">
        <v>285</v>
      </c>
    </row>
    <row r="915" spans="2:9">
      <c r="B915" s="12" t="s">
        <v>11</v>
      </c>
      <c r="C915">
        <v>2022</v>
      </c>
      <c r="D915" t="s">
        <v>49</v>
      </c>
      <c r="E915" t="s">
        <v>180</v>
      </c>
      <c r="F915" s="9"/>
      <c r="G915" t="s">
        <v>181</v>
      </c>
      <c r="H915">
        <v>1</v>
      </c>
      <c r="I915" t="s">
        <v>291</v>
      </c>
    </row>
    <row r="916" spans="2:9">
      <c r="B916" s="12" t="s">
        <v>11</v>
      </c>
      <c r="C916">
        <v>2022</v>
      </c>
      <c r="D916" t="s">
        <v>49</v>
      </c>
      <c r="E916" t="s">
        <v>180</v>
      </c>
      <c r="F916" s="9"/>
      <c r="G916" t="s">
        <v>181</v>
      </c>
      <c r="H916">
        <v>1</v>
      </c>
      <c r="I916" t="s">
        <v>292</v>
      </c>
    </row>
    <row r="917" spans="2:9">
      <c r="B917" s="12" t="s">
        <v>11</v>
      </c>
      <c r="C917">
        <v>2022</v>
      </c>
      <c r="D917" t="s">
        <v>49</v>
      </c>
      <c r="E917" t="s">
        <v>180</v>
      </c>
      <c r="F917" s="35"/>
      <c r="G917" t="s">
        <v>181</v>
      </c>
      <c r="H917">
        <v>1.6</v>
      </c>
      <c r="I917" t="s">
        <v>779</v>
      </c>
    </row>
    <row r="918" spans="2:9">
      <c r="B918" s="12" t="s">
        <v>11</v>
      </c>
      <c r="C918">
        <v>2022</v>
      </c>
      <c r="D918" t="s">
        <v>49</v>
      </c>
      <c r="E918" t="s">
        <v>180</v>
      </c>
      <c r="F918" s="9"/>
      <c r="G918" t="s">
        <v>181</v>
      </c>
      <c r="H918">
        <v>2</v>
      </c>
      <c r="I918" t="s">
        <v>294</v>
      </c>
    </row>
    <row r="919" spans="2:9">
      <c r="B919" s="12" t="s">
        <v>11</v>
      </c>
      <c r="C919">
        <v>2022</v>
      </c>
      <c r="D919" t="s">
        <v>49</v>
      </c>
      <c r="E919" t="s">
        <v>180</v>
      </c>
      <c r="F919" s="9"/>
      <c r="G919" t="s">
        <v>181</v>
      </c>
      <c r="H919">
        <v>1</v>
      </c>
      <c r="I919" t="s">
        <v>295</v>
      </c>
    </row>
    <row r="920" spans="2:9">
      <c r="B920" s="12" t="s">
        <v>11</v>
      </c>
      <c r="C920">
        <v>2022</v>
      </c>
      <c r="D920" t="s">
        <v>49</v>
      </c>
      <c r="E920" t="s">
        <v>180</v>
      </c>
      <c r="F920" s="9"/>
      <c r="G920" t="s">
        <v>181</v>
      </c>
      <c r="H920">
        <v>1</v>
      </c>
      <c r="I920" t="s">
        <v>296</v>
      </c>
    </row>
    <row r="921" spans="2:9">
      <c r="B921" s="12" t="s">
        <v>11</v>
      </c>
      <c r="C921">
        <v>2022</v>
      </c>
      <c r="D921" t="s">
        <v>49</v>
      </c>
      <c r="E921" t="s">
        <v>180</v>
      </c>
      <c r="F921" s="9"/>
      <c r="G921" t="s">
        <v>181</v>
      </c>
      <c r="H921">
        <v>1</v>
      </c>
      <c r="I921" t="s">
        <v>318</v>
      </c>
    </row>
    <row r="922" spans="2:9">
      <c r="B922" s="12" t="s">
        <v>11</v>
      </c>
      <c r="C922">
        <v>2022</v>
      </c>
      <c r="D922" t="s">
        <v>49</v>
      </c>
      <c r="E922" t="s">
        <v>199</v>
      </c>
      <c r="F922" s="9"/>
      <c r="G922" t="s">
        <v>181</v>
      </c>
      <c r="H922">
        <v>6</v>
      </c>
      <c r="I922" t="s">
        <v>780</v>
      </c>
    </row>
    <row r="923" spans="2:9">
      <c r="B923" s="12" t="s">
        <v>11</v>
      </c>
      <c r="C923">
        <v>2022</v>
      </c>
      <c r="D923" t="s">
        <v>49</v>
      </c>
      <c r="E923" t="s">
        <v>199</v>
      </c>
      <c r="F923" s="9"/>
      <c r="G923" t="s">
        <v>181</v>
      </c>
      <c r="H923">
        <v>5</v>
      </c>
      <c r="I923" t="s">
        <v>781</v>
      </c>
    </row>
    <row r="924" spans="2:9">
      <c r="B924" s="12" t="s">
        <v>11</v>
      </c>
      <c r="C924">
        <v>2022</v>
      </c>
      <c r="D924" t="s">
        <v>49</v>
      </c>
      <c r="E924" t="s">
        <v>184</v>
      </c>
      <c r="F924" s="9"/>
      <c r="G924" t="s">
        <v>181</v>
      </c>
      <c r="H924">
        <v>12</v>
      </c>
      <c r="I924" t="s">
        <v>782</v>
      </c>
    </row>
    <row r="925" spans="2:9">
      <c r="B925" s="12" t="s">
        <v>11</v>
      </c>
      <c r="C925">
        <v>2022</v>
      </c>
      <c r="D925" t="s">
        <v>49</v>
      </c>
      <c r="E925" t="s">
        <v>188</v>
      </c>
      <c r="F925" s="9"/>
      <c r="G925" t="s">
        <v>181</v>
      </c>
      <c r="H925">
        <v>3</v>
      </c>
      <c r="I925" t="s">
        <v>783</v>
      </c>
    </row>
    <row r="926" spans="2:9">
      <c r="B926" s="12" t="s">
        <v>11</v>
      </c>
      <c r="C926">
        <v>2022</v>
      </c>
      <c r="D926" t="s">
        <v>49</v>
      </c>
      <c r="E926" t="s">
        <v>188</v>
      </c>
      <c r="F926" s="9"/>
      <c r="G926" t="s">
        <v>181</v>
      </c>
      <c r="H926">
        <v>2</v>
      </c>
      <c r="I926" t="s">
        <v>784</v>
      </c>
    </row>
    <row r="927" spans="2:9">
      <c r="B927" s="12" t="s">
        <v>11</v>
      </c>
      <c r="C927">
        <v>2022</v>
      </c>
      <c r="D927" t="s">
        <v>49</v>
      </c>
      <c r="E927" t="s">
        <v>188</v>
      </c>
      <c r="F927" s="9"/>
      <c r="G927" t="s">
        <v>181</v>
      </c>
      <c r="H927">
        <v>3.5</v>
      </c>
      <c r="I927" t="s">
        <v>785</v>
      </c>
    </row>
    <row r="928" spans="2:9">
      <c r="B928" s="12" t="s">
        <v>11</v>
      </c>
      <c r="C928">
        <v>2022</v>
      </c>
      <c r="D928" t="s">
        <v>49</v>
      </c>
      <c r="E928" t="s">
        <v>200</v>
      </c>
      <c r="F928" s="9"/>
      <c r="G928" t="s">
        <v>181</v>
      </c>
      <c r="H928">
        <v>2.25</v>
      </c>
      <c r="I928" t="s">
        <v>786</v>
      </c>
    </row>
    <row r="929" spans="2:9">
      <c r="B929" s="12" t="s">
        <v>11</v>
      </c>
      <c r="C929">
        <v>2022</v>
      </c>
      <c r="D929" t="s">
        <v>49</v>
      </c>
      <c r="E929" t="s">
        <v>184</v>
      </c>
      <c r="F929" s="9"/>
      <c r="G929" t="s">
        <v>208</v>
      </c>
      <c r="H929">
        <v>0.55000000000000004</v>
      </c>
      <c r="I929" t="s">
        <v>787</v>
      </c>
    </row>
    <row r="930" spans="2:9">
      <c r="B930" s="12" t="s">
        <v>11</v>
      </c>
      <c r="C930">
        <v>2022</v>
      </c>
      <c r="D930" t="s">
        <v>49</v>
      </c>
      <c r="E930" t="s">
        <v>193</v>
      </c>
      <c r="F930" s="9"/>
      <c r="G930" t="s">
        <v>208</v>
      </c>
      <c r="H930">
        <v>1</v>
      </c>
      <c r="I930" t="s">
        <v>788</v>
      </c>
    </row>
    <row r="931" spans="2:9">
      <c r="B931" s="9" t="s">
        <v>11</v>
      </c>
      <c r="C931">
        <v>2023</v>
      </c>
      <c r="D931" t="s">
        <v>12</v>
      </c>
      <c r="E931" t="s">
        <v>180</v>
      </c>
      <c r="F931" s="9"/>
      <c r="G931" t="s">
        <v>181</v>
      </c>
      <c r="H931">
        <v>6</v>
      </c>
      <c r="I931" t="s">
        <v>273</v>
      </c>
    </row>
    <row r="932" spans="2:9">
      <c r="B932" s="9" t="s">
        <v>11</v>
      </c>
      <c r="C932">
        <v>2023</v>
      </c>
      <c r="D932" t="s">
        <v>12</v>
      </c>
      <c r="E932" t="s">
        <v>180</v>
      </c>
      <c r="F932" s="9"/>
      <c r="G932" t="s">
        <v>181</v>
      </c>
      <c r="H932">
        <v>2</v>
      </c>
      <c r="I932" t="s">
        <v>233</v>
      </c>
    </row>
    <row r="933" spans="2:9">
      <c r="B933" s="9" t="s">
        <v>11</v>
      </c>
      <c r="C933">
        <v>2023</v>
      </c>
      <c r="D933" t="s">
        <v>12</v>
      </c>
      <c r="E933" t="s">
        <v>259</v>
      </c>
      <c r="F933" s="9"/>
      <c r="G933" t="s">
        <v>181</v>
      </c>
      <c r="H933">
        <v>3</v>
      </c>
      <c r="I933" t="s">
        <v>789</v>
      </c>
    </row>
    <row r="934" spans="2:9">
      <c r="B934" s="9" t="s">
        <v>11</v>
      </c>
      <c r="C934">
        <v>2023</v>
      </c>
      <c r="D934" t="s">
        <v>12</v>
      </c>
      <c r="E934" t="s">
        <v>180</v>
      </c>
      <c r="F934" s="9"/>
      <c r="G934" t="s">
        <v>181</v>
      </c>
      <c r="H934">
        <v>1</v>
      </c>
      <c r="I934" t="s">
        <v>235</v>
      </c>
    </row>
    <row r="935" spans="2:9">
      <c r="B935" s="9" t="s">
        <v>11</v>
      </c>
      <c r="C935">
        <v>2023</v>
      </c>
      <c r="D935" t="s">
        <v>12</v>
      </c>
      <c r="E935" t="s">
        <v>180</v>
      </c>
      <c r="F935" s="9"/>
      <c r="G935" t="s">
        <v>181</v>
      </c>
      <c r="H935">
        <v>1</v>
      </c>
      <c r="I935" t="s">
        <v>236</v>
      </c>
    </row>
    <row r="936" spans="2:9">
      <c r="B936" s="9" t="s">
        <v>11</v>
      </c>
      <c r="C936">
        <v>2023</v>
      </c>
      <c r="D936" t="s">
        <v>12</v>
      </c>
      <c r="E936" t="s">
        <v>188</v>
      </c>
      <c r="F936" s="9"/>
      <c r="G936" t="s">
        <v>181</v>
      </c>
      <c r="H936">
        <v>3</v>
      </c>
      <c r="I936" t="s">
        <v>334</v>
      </c>
    </row>
    <row r="937" spans="2:9">
      <c r="B937" s="9" t="s">
        <v>11</v>
      </c>
      <c r="C937">
        <v>2023</v>
      </c>
      <c r="D937" t="s">
        <v>12</v>
      </c>
      <c r="E937" t="s">
        <v>180</v>
      </c>
      <c r="F937" s="9"/>
      <c r="G937" t="s">
        <v>181</v>
      </c>
      <c r="H937">
        <v>1</v>
      </c>
      <c r="I937" t="s">
        <v>283</v>
      </c>
    </row>
    <row r="938" spans="2:9">
      <c r="B938" s="9" t="s">
        <v>11</v>
      </c>
      <c r="C938">
        <v>2023</v>
      </c>
      <c r="D938" t="s">
        <v>12</v>
      </c>
      <c r="E938" t="s">
        <v>180</v>
      </c>
      <c r="F938" s="9"/>
      <c r="G938" t="s">
        <v>181</v>
      </c>
      <c r="H938">
        <v>3</v>
      </c>
      <c r="I938" t="s">
        <v>777</v>
      </c>
    </row>
    <row r="939" spans="2:9">
      <c r="B939" s="9" t="s">
        <v>11</v>
      </c>
      <c r="C939">
        <v>2023</v>
      </c>
      <c r="D939" t="s">
        <v>12</v>
      </c>
      <c r="E939" t="s">
        <v>191</v>
      </c>
      <c r="F939" s="9"/>
      <c r="G939" t="s">
        <v>181</v>
      </c>
      <c r="H939">
        <v>3</v>
      </c>
      <c r="I939" t="s">
        <v>778</v>
      </c>
    </row>
    <row r="940" spans="2:9">
      <c r="B940" s="9" t="s">
        <v>11</v>
      </c>
      <c r="C940">
        <v>2023</v>
      </c>
      <c r="D940" t="s">
        <v>12</v>
      </c>
      <c r="E940" t="s">
        <v>200</v>
      </c>
      <c r="F940" s="9"/>
      <c r="G940" t="s">
        <v>181</v>
      </c>
      <c r="H940">
        <v>1</v>
      </c>
      <c r="I940" t="s">
        <v>790</v>
      </c>
    </row>
    <row r="941" spans="2:9">
      <c r="B941" s="9" t="s">
        <v>11</v>
      </c>
      <c r="C941">
        <v>2023</v>
      </c>
      <c r="D941" t="s">
        <v>12</v>
      </c>
      <c r="E941" t="s">
        <v>199</v>
      </c>
      <c r="F941" s="9"/>
      <c r="G941" t="s">
        <v>181</v>
      </c>
      <c r="H941">
        <v>0.25</v>
      </c>
      <c r="I941" t="s">
        <v>202</v>
      </c>
    </row>
    <row r="942" spans="2:9">
      <c r="B942" s="9" t="s">
        <v>11</v>
      </c>
      <c r="C942">
        <v>2023</v>
      </c>
      <c r="D942" t="s">
        <v>12</v>
      </c>
      <c r="E942" t="s">
        <v>197</v>
      </c>
      <c r="F942" s="9"/>
      <c r="G942" t="s">
        <v>181</v>
      </c>
      <c r="H942">
        <v>0.25</v>
      </c>
      <c r="I942" t="s">
        <v>202</v>
      </c>
    </row>
    <row r="943" spans="2:9">
      <c r="B943" s="9" t="s">
        <v>11</v>
      </c>
      <c r="C943">
        <v>2023</v>
      </c>
      <c r="D943" t="s">
        <v>12</v>
      </c>
      <c r="E943" t="s">
        <v>203</v>
      </c>
      <c r="F943" s="9"/>
      <c r="G943" t="s">
        <v>181</v>
      </c>
      <c r="H943">
        <v>1</v>
      </c>
      <c r="I943" t="s">
        <v>241</v>
      </c>
    </row>
    <row r="944" spans="2:9">
      <c r="B944" s="9" t="s">
        <v>11</v>
      </c>
      <c r="C944">
        <v>2023</v>
      </c>
      <c r="D944" t="s">
        <v>12</v>
      </c>
      <c r="E944" t="s">
        <v>197</v>
      </c>
      <c r="F944" s="9"/>
      <c r="G944" t="s">
        <v>181</v>
      </c>
      <c r="H944">
        <v>0.75</v>
      </c>
      <c r="I944" t="s">
        <v>198</v>
      </c>
    </row>
    <row r="945" spans="2:9">
      <c r="B945" s="9" t="s">
        <v>11</v>
      </c>
      <c r="C945">
        <v>2023</v>
      </c>
      <c r="D945" t="s">
        <v>12</v>
      </c>
      <c r="E945" t="s">
        <v>199</v>
      </c>
      <c r="F945" s="9"/>
      <c r="G945" t="s">
        <v>181</v>
      </c>
      <c r="H945">
        <v>0.75</v>
      </c>
      <c r="I945" t="s">
        <v>198</v>
      </c>
    </row>
    <row r="946" spans="2:9">
      <c r="B946" s="9" t="s">
        <v>11</v>
      </c>
      <c r="C946">
        <v>2023</v>
      </c>
      <c r="D946" t="s">
        <v>12</v>
      </c>
      <c r="E946" t="s">
        <v>180</v>
      </c>
      <c r="F946" s="9"/>
      <c r="G946" t="s">
        <v>181</v>
      </c>
      <c r="H946">
        <v>1</v>
      </c>
      <c r="I946" t="s">
        <v>242</v>
      </c>
    </row>
    <row r="947" spans="2:9">
      <c r="B947" s="9" t="s">
        <v>11</v>
      </c>
      <c r="C947">
        <v>2023</v>
      </c>
      <c r="D947" t="s">
        <v>12</v>
      </c>
      <c r="E947" t="s">
        <v>180</v>
      </c>
      <c r="F947" s="9"/>
      <c r="G947" t="s">
        <v>181</v>
      </c>
      <c r="H947">
        <v>1</v>
      </c>
      <c r="I947" t="s">
        <v>274</v>
      </c>
    </row>
    <row r="948" spans="2:9">
      <c r="B948" s="9" t="s">
        <v>11</v>
      </c>
      <c r="C948">
        <v>2023</v>
      </c>
      <c r="D948" t="s">
        <v>12</v>
      </c>
      <c r="E948" t="s">
        <v>180</v>
      </c>
      <c r="F948" s="9"/>
      <c r="G948" t="s">
        <v>181</v>
      </c>
      <c r="H948">
        <v>1</v>
      </c>
      <c r="I948" t="s">
        <v>285</v>
      </c>
    </row>
    <row r="949" spans="2:9">
      <c r="B949" s="9" t="s">
        <v>11</v>
      </c>
      <c r="C949">
        <v>2023</v>
      </c>
      <c r="D949" t="s">
        <v>12</v>
      </c>
      <c r="E949" t="s">
        <v>324</v>
      </c>
      <c r="F949" s="9"/>
      <c r="G949" t="s">
        <v>181</v>
      </c>
      <c r="H949">
        <v>1</v>
      </c>
      <c r="I949" t="s">
        <v>291</v>
      </c>
    </row>
    <row r="950" spans="2:9">
      <c r="B950" s="9" t="s">
        <v>11</v>
      </c>
      <c r="C950">
        <v>2023</v>
      </c>
      <c r="D950" t="s">
        <v>12</v>
      </c>
      <c r="E950" t="s">
        <v>180</v>
      </c>
      <c r="F950" s="9"/>
      <c r="G950" t="s">
        <v>181</v>
      </c>
      <c r="H950">
        <v>1</v>
      </c>
      <c r="I950" t="s">
        <v>292</v>
      </c>
    </row>
    <row r="951" spans="2:9">
      <c r="B951" s="9" t="s">
        <v>11</v>
      </c>
      <c r="C951">
        <v>2023</v>
      </c>
      <c r="D951" t="s">
        <v>12</v>
      </c>
      <c r="E951" t="s">
        <v>180</v>
      </c>
      <c r="F951" s="9"/>
      <c r="G951" t="s">
        <v>181</v>
      </c>
      <c r="H951">
        <v>1.6</v>
      </c>
      <c r="I951" t="s">
        <v>293</v>
      </c>
    </row>
    <row r="952" spans="2:9">
      <c r="B952" s="9" t="s">
        <v>11</v>
      </c>
      <c r="C952">
        <v>2023</v>
      </c>
      <c r="D952" t="s">
        <v>12</v>
      </c>
      <c r="E952" t="s">
        <v>180</v>
      </c>
      <c r="F952" s="9"/>
      <c r="G952" t="s">
        <v>181</v>
      </c>
      <c r="H952">
        <v>2</v>
      </c>
      <c r="I952" t="s">
        <v>294</v>
      </c>
    </row>
    <row r="953" spans="2:9">
      <c r="B953" s="9" t="s">
        <v>11</v>
      </c>
      <c r="C953">
        <v>2023</v>
      </c>
      <c r="D953" t="s">
        <v>12</v>
      </c>
      <c r="E953" t="s">
        <v>180</v>
      </c>
      <c r="F953" s="9"/>
      <c r="G953" t="s">
        <v>181</v>
      </c>
      <c r="H953">
        <v>1</v>
      </c>
      <c r="I953" t="s">
        <v>295</v>
      </c>
    </row>
    <row r="954" spans="2:9">
      <c r="B954" s="9" t="s">
        <v>11</v>
      </c>
      <c r="C954">
        <v>2023</v>
      </c>
      <c r="D954" t="s">
        <v>12</v>
      </c>
      <c r="E954" t="s">
        <v>180</v>
      </c>
      <c r="F954" s="9"/>
      <c r="G954" t="s">
        <v>181</v>
      </c>
      <c r="H954">
        <v>1</v>
      </c>
      <c r="I954" t="s">
        <v>296</v>
      </c>
    </row>
    <row r="955" spans="2:9">
      <c r="B955" s="9" t="s">
        <v>11</v>
      </c>
      <c r="C955">
        <v>2023</v>
      </c>
      <c r="D955" t="s">
        <v>12</v>
      </c>
      <c r="E955" t="s">
        <v>180</v>
      </c>
      <c r="F955" s="9"/>
      <c r="G955" t="s">
        <v>181</v>
      </c>
      <c r="H955">
        <v>1</v>
      </c>
      <c r="I955" t="s">
        <v>318</v>
      </c>
    </row>
    <row r="956" spans="2:9">
      <c r="B956" s="9" t="s">
        <v>11</v>
      </c>
      <c r="C956">
        <v>2023</v>
      </c>
      <c r="D956" t="s">
        <v>12</v>
      </c>
      <c r="E956" t="s">
        <v>184</v>
      </c>
      <c r="F956" s="9"/>
      <c r="G956" t="s">
        <v>181</v>
      </c>
      <c r="H956">
        <v>3</v>
      </c>
      <c r="I956" t="s">
        <v>791</v>
      </c>
    </row>
    <row r="957" spans="2:9">
      <c r="B957" s="9" t="s">
        <v>11</v>
      </c>
      <c r="C957">
        <v>2023</v>
      </c>
      <c r="D957" t="s">
        <v>12</v>
      </c>
      <c r="E957" t="s">
        <v>193</v>
      </c>
      <c r="F957" s="9"/>
      <c r="G957" t="s">
        <v>181</v>
      </c>
      <c r="H957">
        <v>1</v>
      </c>
      <c r="I957" t="s">
        <v>792</v>
      </c>
    </row>
    <row r="958" spans="2:9">
      <c r="B958" s="9" t="s">
        <v>11</v>
      </c>
      <c r="C958">
        <v>2023</v>
      </c>
      <c r="D958" t="s">
        <v>12</v>
      </c>
      <c r="E958" t="s">
        <v>184</v>
      </c>
      <c r="F958" s="9"/>
      <c r="G958" t="s">
        <v>181</v>
      </c>
      <c r="H958">
        <v>0.5</v>
      </c>
      <c r="I958" t="s">
        <v>793</v>
      </c>
    </row>
    <row r="959" spans="2:9">
      <c r="B959" s="9" t="s">
        <v>11</v>
      </c>
      <c r="C959">
        <v>2023</v>
      </c>
      <c r="D959" t="s">
        <v>12</v>
      </c>
      <c r="E959" t="s">
        <v>188</v>
      </c>
      <c r="F959" s="9"/>
      <c r="G959" t="s">
        <v>208</v>
      </c>
      <c r="H959">
        <v>4</v>
      </c>
      <c r="I959" t="s">
        <v>794</v>
      </c>
    </row>
    <row r="960" spans="2:9">
      <c r="B960" s="35" t="s">
        <v>11</v>
      </c>
      <c r="C960">
        <v>2023</v>
      </c>
      <c r="D960" t="s">
        <v>12</v>
      </c>
      <c r="E960" t="s">
        <v>188</v>
      </c>
      <c r="F960" s="35"/>
      <c r="G960" t="s">
        <v>208</v>
      </c>
      <c r="H960">
        <v>5.3</v>
      </c>
      <c r="I960" t="s">
        <v>795</v>
      </c>
    </row>
    <row r="961" spans="2:9">
      <c r="B961" s="9" t="s">
        <v>11</v>
      </c>
      <c r="C961">
        <v>2023</v>
      </c>
      <c r="D961" t="s">
        <v>12</v>
      </c>
      <c r="E961" t="s">
        <v>188</v>
      </c>
      <c r="F961" s="9"/>
      <c r="G961" t="s">
        <v>208</v>
      </c>
      <c r="H961">
        <v>2.2999999999999998</v>
      </c>
      <c r="I961" t="s">
        <v>796</v>
      </c>
    </row>
    <row r="962" spans="2:9">
      <c r="B962" s="9" t="s">
        <v>11</v>
      </c>
      <c r="C962">
        <v>2023</v>
      </c>
      <c r="D962" t="s">
        <v>12</v>
      </c>
      <c r="E962" t="s">
        <v>180</v>
      </c>
      <c r="F962" s="9"/>
      <c r="G962" t="s">
        <v>208</v>
      </c>
      <c r="H962">
        <v>0.75</v>
      </c>
      <c r="I962" t="s">
        <v>797</v>
      </c>
    </row>
    <row r="963" spans="2:9">
      <c r="B963" s="35" t="s">
        <v>11</v>
      </c>
      <c r="C963">
        <v>2023</v>
      </c>
      <c r="D963" t="s">
        <v>12</v>
      </c>
      <c r="E963" t="s">
        <v>191</v>
      </c>
      <c r="F963" s="35"/>
      <c r="G963" t="s">
        <v>208</v>
      </c>
      <c r="H963">
        <v>0.25</v>
      </c>
      <c r="I963" t="s">
        <v>798</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9435A-D926-45C5-8C90-562956FBE64F}">
  <sheetPr>
    <tabColor theme="8"/>
  </sheetPr>
  <dimension ref="B2:F113"/>
  <sheetViews>
    <sheetView topLeftCell="A20" workbookViewId="0">
      <selection activeCell="E32" sqref="E32"/>
    </sheetView>
  </sheetViews>
  <sheetFormatPr baseColWidth="10" defaultColWidth="11.44140625" defaultRowHeight="14.4"/>
  <cols>
    <col min="5" max="5" width="31.88671875" bestFit="1" customWidth="1"/>
    <col min="6" max="6" width="26.109375" customWidth="1"/>
  </cols>
  <sheetData>
    <row r="2" spans="2:6">
      <c r="B2" s="22" t="s">
        <v>0</v>
      </c>
      <c r="C2" s="22" t="s">
        <v>1</v>
      </c>
      <c r="D2" s="22" t="s">
        <v>2</v>
      </c>
      <c r="E2" s="22" t="s">
        <v>880</v>
      </c>
      <c r="F2" s="22" t="s">
        <v>881</v>
      </c>
    </row>
    <row r="3" spans="2:6">
      <c r="B3" s="12" t="s">
        <v>11</v>
      </c>
      <c r="C3" s="9">
        <v>2020</v>
      </c>
      <c r="D3" s="9" t="s">
        <v>12</v>
      </c>
      <c r="E3" s="23" t="s">
        <v>882</v>
      </c>
      <c r="F3">
        <v>11</v>
      </c>
    </row>
    <row r="4" spans="2:6">
      <c r="B4" s="12" t="s">
        <v>11</v>
      </c>
      <c r="C4" s="10">
        <v>2020</v>
      </c>
      <c r="D4" s="10" t="s">
        <v>21</v>
      </c>
      <c r="E4" s="23" t="s">
        <v>882</v>
      </c>
      <c r="F4">
        <v>11</v>
      </c>
    </row>
    <row r="5" spans="2:6">
      <c r="B5" s="12" t="s">
        <v>11</v>
      </c>
      <c r="C5" s="9">
        <v>2020</v>
      </c>
      <c r="D5" s="9" t="s">
        <v>27</v>
      </c>
      <c r="E5" s="23" t="s">
        <v>882</v>
      </c>
      <c r="F5">
        <v>13</v>
      </c>
    </row>
    <row r="6" spans="2:6">
      <c r="B6" s="12" t="s">
        <v>11</v>
      </c>
      <c r="C6" s="10">
        <v>2020</v>
      </c>
      <c r="D6" s="10" t="s">
        <v>28</v>
      </c>
      <c r="E6" s="23" t="s">
        <v>882</v>
      </c>
      <c r="F6">
        <v>14</v>
      </c>
    </row>
    <row r="7" spans="2:6">
      <c r="B7" s="12" t="s">
        <v>11</v>
      </c>
      <c r="C7" s="9">
        <v>2020</v>
      </c>
      <c r="D7" s="9" t="s">
        <v>31</v>
      </c>
      <c r="E7" s="23" t="s">
        <v>882</v>
      </c>
      <c r="F7">
        <v>14</v>
      </c>
    </row>
    <row r="8" spans="2:6">
      <c r="B8" s="12" t="s">
        <v>11</v>
      </c>
      <c r="C8" s="10">
        <v>2020</v>
      </c>
      <c r="D8" s="10" t="s">
        <v>33</v>
      </c>
      <c r="E8" s="23" t="s">
        <v>882</v>
      </c>
      <c r="F8">
        <v>16</v>
      </c>
    </row>
    <row r="9" spans="2:6">
      <c r="B9" s="12" t="s">
        <v>11</v>
      </c>
      <c r="C9" s="9">
        <v>2020</v>
      </c>
      <c r="D9" s="9" t="s">
        <v>34</v>
      </c>
      <c r="E9" s="23" t="s">
        <v>882</v>
      </c>
      <c r="F9">
        <v>18</v>
      </c>
    </row>
    <row r="10" spans="2:6">
      <c r="B10" s="12" t="s">
        <v>11</v>
      </c>
      <c r="C10" s="10">
        <v>2020</v>
      </c>
      <c r="D10" s="10" t="s">
        <v>38</v>
      </c>
      <c r="E10" s="23" t="s">
        <v>882</v>
      </c>
      <c r="F10">
        <v>18</v>
      </c>
    </row>
    <row r="11" spans="2:6">
      <c r="B11" s="12" t="s">
        <v>11</v>
      </c>
      <c r="C11" s="9">
        <v>2020</v>
      </c>
      <c r="D11" s="9" t="s">
        <v>43</v>
      </c>
      <c r="E11" s="23" t="s">
        <v>882</v>
      </c>
      <c r="F11">
        <v>18</v>
      </c>
    </row>
    <row r="12" spans="2:6">
      <c r="B12" s="12" t="s">
        <v>11</v>
      </c>
      <c r="C12" s="10">
        <v>2020</v>
      </c>
      <c r="D12" s="10" t="s">
        <v>45</v>
      </c>
      <c r="E12" s="23" t="s">
        <v>882</v>
      </c>
      <c r="F12">
        <v>18</v>
      </c>
    </row>
    <row r="13" spans="2:6">
      <c r="B13" s="12" t="s">
        <v>11</v>
      </c>
      <c r="C13" s="9">
        <v>2020</v>
      </c>
      <c r="D13" s="9" t="s">
        <v>47</v>
      </c>
      <c r="E13" s="23" t="s">
        <v>882</v>
      </c>
      <c r="F13">
        <v>18</v>
      </c>
    </row>
    <row r="14" spans="2:6">
      <c r="B14" s="12" t="s">
        <v>11</v>
      </c>
      <c r="C14" s="10">
        <v>2020</v>
      </c>
      <c r="D14" s="10" t="s">
        <v>49</v>
      </c>
      <c r="E14" s="23" t="s">
        <v>882</v>
      </c>
      <c r="F14">
        <v>19</v>
      </c>
    </row>
    <row r="15" spans="2:6">
      <c r="B15" s="12" t="s">
        <v>11</v>
      </c>
      <c r="C15" s="9">
        <v>2020</v>
      </c>
      <c r="D15" s="9" t="s">
        <v>12</v>
      </c>
      <c r="E15" s="24" t="s">
        <v>883</v>
      </c>
      <c r="F15">
        <v>23</v>
      </c>
    </row>
    <row r="16" spans="2:6">
      <c r="B16" s="12" t="s">
        <v>11</v>
      </c>
      <c r="C16" s="10">
        <v>2020</v>
      </c>
      <c r="D16" s="10" t="s">
        <v>21</v>
      </c>
      <c r="E16" s="24" t="s">
        <v>883</v>
      </c>
      <c r="F16">
        <v>23</v>
      </c>
    </row>
    <row r="17" spans="2:6">
      <c r="B17" s="12" t="s">
        <v>11</v>
      </c>
      <c r="C17" s="9">
        <v>2020</v>
      </c>
      <c r="D17" s="9" t="s">
        <v>27</v>
      </c>
      <c r="E17" s="24" t="s">
        <v>883</v>
      </c>
      <c r="F17">
        <v>23</v>
      </c>
    </row>
    <row r="18" spans="2:6">
      <c r="B18" s="12" t="s">
        <v>11</v>
      </c>
      <c r="C18" s="10">
        <v>2020</v>
      </c>
      <c r="D18" s="10" t="s">
        <v>28</v>
      </c>
      <c r="E18" s="24" t="s">
        <v>883</v>
      </c>
      <c r="F18">
        <v>23</v>
      </c>
    </row>
    <row r="19" spans="2:6">
      <c r="B19" s="12" t="s">
        <v>11</v>
      </c>
      <c r="C19" s="9">
        <v>2020</v>
      </c>
      <c r="D19" s="9" t="s">
        <v>31</v>
      </c>
      <c r="E19" s="24" t="s">
        <v>883</v>
      </c>
      <c r="F19">
        <v>23</v>
      </c>
    </row>
    <row r="20" spans="2:6">
      <c r="B20" s="12" t="s">
        <v>11</v>
      </c>
      <c r="C20" s="10">
        <v>2020</v>
      </c>
      <c r="D20" s="10" t="s">
        <v>33</v>
      </c>
      <c r="E20" s="24" t="s">
        <v>883</v>
      </c>
      <c r="F20">
        <v>23</v>
      </c>
    </row>
    <row r="21" spans="2:6">
      <c r="B21" s="12" t="s">
        <v>11</v>
      </c>
      <c r="C21" s="9">
        <v>2020</v>
      </c>
      <c r="D21" s="9" t="s">
        <v>34</v>
      </c>
      <c r="E21" s="24" t="s">
        <v>883</v>
      </c>
      <c r="F21">
        <v>23</v>
      </c>
    </row>
    <row r="22" spans="2:6">
      <c r="B22" s="12" t="s">
        <v>11</v>
      </c>
      <c r="C22" s="10">
        <v>2020</v>
      </c>
      <c r="D22" s="10" t="s">
        <v>38</v>
      </c>
      <c r="E22" s="24" t="s">
        <v>883</v>
      </c>
      <c r="F22">
        <v>23</v>
      </c>
    </row>
    <row r="23" spans="2:6">
      <c r="B23" s="12" t="s">
        <v>11</v>
      </c>
      <c r="C23" s="9">
        <v>2020</v>
      </c>
      <c r="D23" s="9" t="s">
        <v>43</v>
      </c>
      <c r="E23" s="24" t="s">
        <v>883</v>
      </c>
      <c r="F23">
        <v>23</v>
      </c>
    </row>
    <row r="24" spans="2:6">
      <c r="B24" s="12" t="s">
        <v>11</v>
      </c>
      <c r="C24" s="10">
        <v>2020</v>
      </c>
      <c r="D24" s="10" t="s">
        <v>45</v>
      </c>
      <c r="E24" s="24" t="s">
        <v>883</v>
      </c>
      <c r="F24">
        <v>23</v>
      </c>
    </row>
    <row r="25" spans="2:6">
      <c r="B25" s="12" t="s">
        <v>11</v>
      </c>
      <c r="C25" s="9">
        <v>2020</v>
      </c>
      <c r="D25" s="9" t="s">
        <v>47</v>
      </c>
      <c r="E25" s="24" t="s">
        <v>883</v>
      </c>
      <c r="F25">
        <v>23</v>
      </c>
    </row>
    <row r="26" spans="2:6">
      <c r="B26" s="12" t="s">
        <v>11</v>
      </c>
      <c r="C26" s="10">
        <v>2020</v>
      </c>
      <c r="D26" s="10" t="s">
        <v>49</v>
      </c>
      <c r="E26" s="24" t="s">
        <v>883</v>
      </c>
      <c r="F26">
        <v>16</v>
      </c>
    </row>
    <row r="27" spans="2:6">
      <c r="B27" s="12" t="s">
        <v>11</v>
      </c>
      <c r="C27" s="9">
        <v>2020</v>
      </c>
      <c r="D27" s="9" t="s">
        <v>12</v>
      </c>
      <c r="E27" s="23" t="s">
        <v>884</v>
      </c>
      <c r="F27">
        <v>37</v>
      </c>
    </row>
    <row r="28" spans="2:6">
      <c r="B28" s="12" t="s">
        <v>11</v>
      </c>
      <c r="C28" s="10">
        <v>2020</v>
      </c>
      <c r="D28" s="10" t="s">
        <v>21</v>
      </c>
      <c r="E28" s="23" t="s">
        <v>884</v>
      </c>
      <c r="F28">
        <v>43</v>
      </c>
    </row>
    <row r="29" spans="2:6">
      <c r="B29" s="12" t="s">
        <v>11</v>
      </c>
      <c r="C29" s="9">
        <v>2020</v>
      </c>
      <c r="D29" s="9" t="s">
        <v>27</v>
      </c>
      <c r="E29" s="23" t="s">
        <v>884</v>
      </c>
      <c r="F29">
        <v>39</v>
      </c>
    </row>
    <row r="30" spans="2:6">
      <c r="B30" s="12" t="s">
        <v>11</v>
      </c>
      <c r="C30" s="10">
        <v>2020</v>
      </c>
      <c r="D30" s="10" t="s">
        <v>28</v>
      </c>
      <c r="E30" s="23" t="s">
        <v>884</v>
      </c>
      <c r="F30">
        <v>42</v>
      </c>
    </row>
    <row r="31" spans="2:6">
      <c r="B31" s="12" t="s">
        <v>11</v>
      </c>
      <c r="C31" s="9">
        <v>2020</v>
      </c>
      <c r="D31" s="9" t="s">
        <v>31</v>
      </c>
      <c r="E31" s="23" t="s">
        <v>884</v>
      </c>
      <c r="F31">
        <v>40</v>
      </c>
    </row>
    <row r="32" spans="2:6">
      <c r="B32" s="12" t="s">
        <v>11</v>
      </c>
      <c r="C32" s="10">
        <v>2020</v>
      </c>
      <c r="D32" s="10" t="s">
        <v>33</v>
      </c>
      <c r="E32" s="23" t="s">
        <v>884</v>
      </c>
      <c r="F32">
        <v>31</v>
      </c>
    </row>
    <row r="33" spans="2:6">
      <c r="B33" s="12" t="s">
        <v>11</v>
      </c>
      <c r="C33" s="9">
        <v>2020</v>
      </c>
      <c r="D33" s="9" t="s">
        <v>34</v>
      </c>
      <c r="E33" s="23" t="s">
        <v>884</v>
      </c>
      <c r="F33">
        <v>37</v>
      </c>
    </row>
    <row r="34" spans="2:6">
      <c r="B34" s="12" t="s">
        <v>11</v>
      </c>
      <c r="C34" s="10">
        <v>2020</v>
      </c>
      <c r="D34" s="10" t="s">
        <v>38</v>
      </c>
      <c r="E34" s="23" t="s">
        <v>884</v>
      </c>
      <c r="F34">
        <v>38</v>
      </c>
    </row>
    <row r="35" spans="2:6">
      <c r="B35" s="12" t="s">
        <v>11</v>
      </c>
      <c r="C35" s="9">
        <v>2020</v>
      </c>
      <c r="D35" s="9" t="s">
        <v>43</v>
      </c>
      <c r="E35" s="23" t="s">
        <v>884</v>
      </c>
      <c r="F35">
        <v>37</v>
      </c>
    </row>
    <row r="36" spans="2:6">
      <c r="B36" s="12" t="s">
        <v>11</v>
      </c>
      <c r="C36" s="10">
        <v>2020</v>
      </c>
      <c r="D36" s="10" t="s">
        <v>45</v>
      </c>
      <c r="E36" s="23" t="s">
        <v>884</v>
      </c>
      <c r="F36">
        <v>37</v>
      </c>
    </row>
    <row r="37" spans="2:6">
      <c r="B37" s="12" t="s">
        <v>11</v>
      </c>
      <c r="C37" s="9">
        <v>2020</v>
      </c>
      <c r="D37" s="9" t="s">
        <v>47</v>
      </c>
      <c r="E37" s="23" t="s">
        <v>884</v>
      </c>
      <c r="F37">
        <v>37</v>
      </c>
    </row>
    <row r="38" spans="2:6">
      <c r="B38" s="12" t="s">
        <v>11</v>
      </c>
      <c r="C38" s="10">
        <v>2020</v>
      </c>
      <c r="D38" s="10" t="s">
        <v>49</v>
      </c>
      <c r="E38" s="23" t="s">
        <v>884</v>
      </c>
      <c r="F38">
        <v>35</v>
      </c>
    </row>
    <row r="39" spans="2:6">
      <c r="B39" s="12" t="s">
        <v>11</v>
      </c>
      <c r="C39" s="9">
        <v>2021</v>
      </c>
      <c r="D39" s="9" t="s">
        <v>12</v>
      </c>
      <c r="E39" s="23" t="s">
        <v>882</v>
      </c>
      <c r="F39">
        <v>19</v>
      </c>
    </row>
    <row r="40" spans="2:6">
      <c r="B40" s="12" t="s">
        <v>11</v>
      </c>
      <c r="C40" s="10">
        <v>2021</v>
      </c>
      <c r="D40" s="10" t="s">
        <v>21</v>
      </c>
      <c r="E40" s="23" t="s">
        <v>882</v>
      </c>
      <c r="F40">
        <v>19</v>
      </c>
    </row>
    <row r="41" spans="2:6">
      <c r="B41" s="12" t="s">
        <v>11</v>
      </c>
      <c r="C41" s="9">
        <v>2021</v>
      </c>
      <c r="D41" s="9" t="s">
        <v>27</v>
      </c>
      <c r="E41" s="23" t="s">
        <v>882</v>
      </c>
      <c r="F41">
        <v>19</v>
      </c>
    </row>
    <row r="42" spans="2:6">
      <c r="B42" s="12" t="s">
        <v>11</v>
      </c>
      <c r="C42" s="10">
        <v>2021</v>
      </c>
      <c r="D42" s="10" t="s">
        <v>28</v>
      </c>
      <c r="E42" s="23" t="s">
        <v>882</v>
      </c>
      <c r="F42">
        <v>19</v>
      </c>
    </row>
    <row r="43" spans="2:6">
      <c r="B43" s="12" t="s">
        <v>11</v>
      </c>
      <c r="C43" s="9">
        <v>2021</v>
      </c>
      <c r="D43" s="9" t="s">
        <v>31</v>
      </c>
      <c r="E43" s="23" t="s">
        <v>882</v>
      </c>
      <c r="F43">
        <v>19</v>
      </c>
    </row>
    <row r="44" spans="2:6">
      <c r="B44" s="12" t="s">
        <v>11</v>
      </c>
      <c r="C44" s="10">
        <v>2021</v>
      </c>
      <c r="D44" s="10" t="s">
        <v>33</v>
      </c>
      <c r="E44" s="23" t="s">
        <v>882</v>
      </c>
      <c r="F44">
        <v>19</v>
      </c>
    </row>
    <row r="45" spans="2:6">
      <c r="B45" s="12" t="s">
        <v>11</v>
      </c>
      <c r="C45" s="9">
        <v>2021</v>
      </c>
      <c r="D45" s="9" t="s">
        <v>34</v>
      </c>
      <c r="E45" s="23" t="s">
        <v>882</v>
      </c>
      <c r="F45">
        <v>19</v>
      </c>
    </row>
    <row r="46" spans="2:6">
      <c r="B46" s="12" t="s">
        <v>11</v>
      </c>
      <c r="C46" s="10">
        <v>2021</v>
      </c>
      <c r="D46" s="10" t="s">
        <v>38</v>
      </c>
      <c r="E46" s="23" t="s">
        <v>882</v>
      </c>
      <c r="F46">
        <v>19</v>
      </c>
    </row>
    <row r="47" spans="2:6">
      <c r="B47" s="12" t="s">
        <v>11</v>
      </c>
      <c r="C47" s="9">
        <v>2021</v>
      </c>
      <c r="D47" s="9" t="s">
        <v>43</v>
      </c>
      <c r="E47" s="23" t="s">
        <v>882</v>
      </c>
      <c r="F47">
        <v>19</v>
      </c>
    </row>
    <row r="48" spans="2:6">
      <c r="B48" s="12" t="s">
        <v>11</v>
      </c>
      <c r="C48" s="10">
        <v>2021</v>
      </c>
      <c r="D48" s="10" t="s">
        <v>45</v>
      </c>
      <c r="E48" s="23" t="s">
        <v>882</v>
      </c>
      <c r="F48">
        <v>19</v>
      </c>
    </row>
    <row r="49" spans="2:6">
      <c r="B49" s="12" t="s">
        <v>11</v>
      </c>
      <c r="C49" s="9">
        <v>2021</v>
      </c>
      <c r="D49" s="9" t="s">
        <v>47</v>
      </c>
      <c r="E49" s="23" t="s">
        <v>882</v>
      </c>
      <c r="F49">
        <v>19</v>
      </c>
    </row>
    <row r="50" spans="2:6">
      <c r="B50" s="12" t="s">
        <v>11</v>
      </c>
      <c r="C50" s="10">
        <v>2021</v>
      </c>
      <c r="D50" s="10" t="s">
        <v>49</v>
      </c>
      <c r="E50" s="23" t="s">
        <v>882</v>
      </c>
      <c r="F50">
        <v>19</v>
      </c>
    </row>
    <row r="51" spans="2:6">
      <c r="B51" s="12" t="s">
        <v>11</v>
      </c>
      <c r="C51" s="9">
        <v>2021</v>
      </c>
      <c r="D51" s="9" t="s">
        <v>12</v>
      </c>
      <c r="E51" s="23" t="s">
        <v>883</v>
      </c>
      <c r="F51">
        <v>16</v>
      </c>
    </row>
    <row r="52" spans="2:6">
      <c r="B52" s="12" t="s">
        <v>11</v>
      </c>
      <c r="C52" s="10">
        <v>2021</v>
      </c>
      <c r="D52" s="10" t="s">
        <v>21</v>
      </c>
      <c r="E52" s="23" t="s">
        <v>883</v>
      </c>
      <c r="F52">
        <v>16</v>
      </c>
    </row>
    <row r="53" spans="2:6">
      <c r="B53" s="12" t="s">
        <v>11</v>
      </c>
      <c r="C53" s="9">
        <v>2021</v>
      </c>
      <c r="D53" s="9" t="s">
        <v>27</v>
      </c>
      <c r="E53" s="23" t="s">
        <v>883</v>
      </c>
      <c r="F53">
        <v>16</v>
      </c>
    </row>
    <row r="54" spans="2:6">
      <c r="B54" s="12" t="s">
        <v>11</v>
      </c>
      <c r="C54" s="10">
        <v>2021</v>
      </c>
      <c r="D54" s="10" t="s">
        <v>28</v>
      </c>
      <c r="E54" s="23" t="s">
        <v>883</v>
      </c>
      <c r="F54">
        <v>16</v>
      </c>
    </row>
    <row r="55" spans="2:6">
      <c r="B55" s="12" t="s">
        <v>11</v>
      </c>
      <c r="C55" s="9">
        <v>2021</v>
      </c>
      <c r="D55" s="9" t="s">
        <v>31</v>
      </c>
      <c r="E55" s="23" t="s">
        <v>883</v>
      </c>
      <c r="F55">
        <v>16</v>
      </c>
    </row>
    <row r="56" spans="2:6">
      <c r="B56" s="12" t="s">
        <v>11</v>
      </c>
      <c r="C56" s="10">
        <v>2021</v>
      </c>
      <c r="D56" s="10" t="s">
        <v>33</v>
      </c>
      <c r="E56" s="23" t="s">
        <v>883</v>
      </c>
      <c r="F56">
        <v>16</v>
      </c>
    </row>
    <row r="57" spans="2:6">
      <c r="B57" s="12" t="s">
        <v>11</v>
      </c>
      <c r="C57" s="9">
        <v>2021</v>
      </c>
      <c r="D57" s="9" t="s">
        <v>34</v>
      </c>
      <c r="E57" s="23" t="s">
        <v>883</v>
      </c>
      <c r="F57">
        <v>16</v>
      </c>
    </row>
    <row r="58" spans="2:6">
      <c r="B58" s="12" t="s">
        <v>11</v>
      </c>
      <c r="C58" s="10">
        <v>2021</v>
      </c>
      <c r="D58" s="10" t="s">
        <v>38</v>
      </c>
      <c r="E58" s="23" t="s">
        <v>883</v>
      </c>
      <c r="F58">
        <v>16</v>
      </c>
    </row>
    <row r="59" spans="2:6">
      <c r="B59" s="12" t="s">
        <v>11</v>
      </c>
      <c r="C59" s="9">
        <v>2021</v>
      </c>
      <c r="D59" s="9" t="s">
        <v>43</v>
      </c>
      <c r="E59" s="23" t="s">
        <v>883</v>
      </c>
      <c r="F59">
        <v>16</v>
      </c>
    </row>
    <row r="60" spans="2:6">
      <c r="B60" s="12" t="s">
        <v>11</v>
      </c>
      <c r="C60" s="10">
        <v>2021</v>
      </c>
      <c r="D60" s="10" t="s">
        <v>45</v>
      </c>
      <c r="E60" s="23" t="s">
        <v>883</v>
      </c>
      <c r="F60">
        <v>16</v>
      </c>
    </row>
    <row r="61" spans="2:6">
      <c r="B61" s="12" t="s">
        <v>11</v>
      </c>
      <c r="C61" s="9">
        <v>2021</v>
      </c>
      <c r="D61" s="9" t="s">
        <v>47</v>
      </c>
      <c r="E61" s="23" t="s">
        <v>883</v>
      </c>
      <c r="F61">
        <v>16</v>
      </c>
    </row>
    <row r="62" spans="2:6">
      <c r="B62" s="12" t="s">
        <v>11</v>
      </c>
      <c r="C62" s="10">
        <v>2021</v>
      </c>
      <c r="D62" s="10" t="s">
        <v>49</v>
      </c>
      <c r="E62" s="23" t="s">
        <v>883</v>
      </c>
      <c r="F62">
        <v>16</v>
      </c>
    </row>
    <row r="63" spans="2:6">
      <c r="B63" s="12" t="s">
        <v>11</v>
      </c>
      <c r="C63" s="9">
        <v>2021</v>
      </c>
      <c r="D63" s="9" t="s">
        <v>12</v>
      </c>
      <c r="E63" s="23" t="s">
        <v>884</v>
      </c>
      <c r="F63">
        <v>35</v>
      </c>
    </row>
    <row r="64" spans="2:6">
      <c r="B64" s="12" t="s">
        <v>11</v>
      </c>
      <c r="C64" s="10">
        <v>2021</v>
      </c>
      <c r="D64" s="10" t="s">
        <v>21</v>
      </c>
      <c r="E64" s="23" t="s">
        <v>884</v>
      </c>
      <c r="F64">
        <v>32</v>
      </c>
    </row>
    <row r="65" spans="2:6">
      <c r="B65" s="12" t="s">
        <v>11</v>
      </c>
      <c r="C65" s="9">
        <v>2021</v>
      </c>
      <c r="D65" s="9" t="s">
        <v>27</v>
      </c>
      <c r="E65" s="23" t="s">
        <v>884</v>
      </c>
      <c r="F65">
        <v>31</v>
      </c>
    </row>
    <row r="66" spans="2:6">
      <c r="B66" s="12" t="s">
        <v>11</v>
      </c>
      <c r="C66" s="10">
        <v>2021</v>
      </c>
      <c r="D66" s="10" t="s">
        <v>28</v>
      </c>
      <c r="E66" s="23" t="s">
        <v>884</v>
      </c>
      <c r="F66">
        <v>16</v>
      </c>
    </row>
    <row r="67" spans="2:6">
      <c r="B67" s="12" t="s">
        <v>11</v>
      </c>
      <c r="C67" s="9">
        <v>2021</v>
      </c>
      <c r="D67" s="9" t="s">
        <v>31</v>
      </c>
      <c r="E67" s="23" t="s">
        <v>884</v>
      </c>
      <c r="F67">
        <v>29</v>
      </c>
    </row>
    <row r="68" spans="2:6">
      <c r="B68" s="12" t="s">
        <v>11</v>
      </c>
      <c r="C68" s="10">
        <v>2021</v>
      </c>
      <c r="D68" s="10" t="s">
        <v>33</v>
      </c>
      <c r="E68" s="23" t="s">
        <v>884</v>
      </c>
      <c r="F68">
        <v>32</v>
      </c>
    </row>
    <row r="69" spans="2:6">
      <c r="B69" s="12" t="s">
        <v>11</v>
      </c>
      <c r="C69" s="9">
        <v>2021</v>
      </c>
      <c r="D69" s="9" t="s">
        <v>34</v>
      </c>
      <c r="E69" s="23" t="s">
        <v>884</v>
      </c>
      <c r="F69">
        <v>43</v>
      </c>
    </row>
    <row r="70" spans="2:6">
      <c r="B70" s="12" t="s">
        <v>11</v>
      </c>
      <c r="C70" s="10">
        <v>2021</v>
      </c>
      <c r="D70" s="10" t="s">
        <v>38</v>
      </c>
      <c r="E70" s="23" t="s">
        <v>884</v>
      </c>
      <c r="F70">
        <v>44</v>
      </c>
    </row>
    <row r="71" spans="2:6">
      <c r="B71" s="12" t="s">
        <v>11</v>
      </c>
      <c r="C71" s="9">
        <v>2021</v>
      </c>
      <c r="D71" s="9" t="s">
        <v>43</v>
      </c>
      <c r="E71" s="23" t="s">
        <v>884</v>
      </c>
      <c r="F71">
        <v>47</v>
      </c>
    </row>
    <row r="72" spans="2:6">
      <c r="B72" s="12" t="s">
        <v>11</v>
      </c>
      <c r="C72" s="10">
        <v>2021</v>
      </c>
      <c r="D72" s="10" t="s">
        <v>45</v>
      </c>
      <c r="E72" s="23" t="s">
        <v>884</v>
      </c>
      <c r="F72">
        <v>48</v>
      </c>
    </row>
    <row r="73" spans="2:6">
      <c r="B73" s="12" t="s">
        <v>11</v>
      </c>
      <c r="C73" s="9">
        <v>2021</v>
      </c>
      <c r="D73" s="9" t="s">
        <v>47</v>
      </c>
      <c r="E73" s="23" t="s">
        <v>884</v>
      </c>
      <c r="F73">
        <v>48</v>
      </c>
    </row>
    <row r="74" spans="2:6">
      <c r="B74" s="12" t="s">
        <v>11</v>
      </c>
      <c r="C74" s="21">
        <v>2021</v>
      </c>
      <c r="D74" s="21" t="s">
        <v>49</v>
      </c>
      <c r="E74" s="25" t="s">
        <v>884</v>
      </c>
      <c r="F74">
        <v>48</v>
      </c>
    </row>
    <row r="75" spans="2:6">
      <c r="B75" s="12" t="s">
        <v>11</v>
      </c>
      <c r="C75" s="9">
        <v>2022</v>
      </c>
      <c r="D75" s="9" t="s">
        <v>12</v>
      </c>
      <c r="E75" s="23" t="s">
        <v>882</v>
      </c>
      <c r="F75">
        <v>19</v>
      </c>
    </row>
    <row r="76" spans="2:6">
      <c r="B76" s="12" t="s">
        <v>11</v>
      </c>
      <c r="C76" s="10">
        <v>2022</v>
      </c>
      <c r="D76" s="10" t="s">
        <v>21</v>
      </c>
      <c r="E76" s="23" t="s">
        <v>882</v>
      </c>
      <c r="F76">
        <v>19</v>
      </c>
    </row>
    <row r="77" spans="2:6">
      <c r="B77" s="12" t="s">
        <v>11</v>
      </c>
      <c r="C77" s="9">
        <v>2022</v>
      </c>
      <c r="D77" s="9" t="s">
        <v>27</v>
      </c>
      <c r="E77" s="23" t="s">
        <v>882</v>
      </c>
      <c r="F77">
        <v>19</v>
      </c>
    </row>
    <row r="78" spans="2:6">
      <c r="B78" s="12" t="s">
        <v>11</v>
      </c>
      <c r="C78" s="10">
        <v>2022</v>
      </c>
      <c r="D78" s="10" t="s">
        <v>28</v>
      </c>
      <c r="E78" s="23" t="s">
        <v>882</v>
      </c>
      <c r="F78">
        <v>19</v>
      </c>
    </row>
    <row r="79" spans="2:6">
      <c r="B79" s="12" t="s">
        <v>11</v>
      </c>
      <c r="C79" s="9">
        <v>2022</v>
      </c>
      <c r="D79" s="9" t="s">
        <v>31</v>
      </c>
      <c r="E79" s="23" t="s">
        <v>882</v>
      </c>
      <c r="F79">
        <v>19</v>
      </c>
    </row>
    <row r="80" spans="2:6">
      <c r="B80" s="12" t="s">
        <v>11</v>
      </c>
      <c r="C80" s="10">
        <v>2022</v>
      </c>
      <c r="D80" s="10" t="s">
        <v>33</v>
      </c>
      <c r="E80" s="23" t="s">
        <v>882</v>
      </c>
      <c r="F80">
        <v>19</v>
      </c>
    </row>
    <row r="81" spans="2:6">
      <c r="B81" s="12" t="s">
        <v>11</v>
      </c>
      <c r="C81" s="9">
        <v>2022</v>
      </c>
      <c r="D81" s="9" t="s">
        <v>34</v>
      </c>
      <c r="E81" s="23" t="s">
        <v>882</v>
      </c>
      <c r="F81">
        <v>19</v>
      </c>
    </row>
    <row r="82" spans="2:6">
      <c r="B82" s="12" t="s">
        <v>11</v>
      </c>
      <c r="C82" s="10">
        <v>2022</v>
      </c>
      <c r="D82" s="10" t="s">
        <v>38</v>
      </c>
      <c r="E82" s="23" t="s">
        <v>882</v>
      </c>
      <c r="F82">
        <v>18</v>
      </c>
    </row>
    <row r="83" spans="2:6">
      <c r="B83" s="12" t="s">
        <v>11</v>
      </c>
      <c r="C83" s="9">
        <v>2022</v>
      </c>
      <c r="D83" s="9" t="s">
        <v>43</v>
      </c>
      <c r="E83" s="23" t="s">
        <v>882</v>
      </c>
      <c r="F83">
        <v>18</v>
      </c>
    </row>
    <row r="84" spans="2:6">
      <c r="B84" s="12" t="s">
        <v>11</v>
      </c>
      <c r="C84" s="10">
        <v>2022</v>
      </c>
      <c r="D84" s="10" t="s">
        <v>45</v>
      </c>
      <c r="E84" s="23" t="s">
        <v>882</v>
      </c>
      <c r="F84">
        <v>15</v>
      </c>
    </row>
    <row r="85" spans="2:6">
      <c r="B85" s="12" t="s">
        <v>11</v>
      </c>
      <c r="C85" s="9">
        <v>2022</v>
      </c>
      <c r="D85" s="9" t="s">
        <v>47</v>
      </c>
      <c r="E85" s="23" t="s">
        <v>882</v>
      </c>
      <c r="F85">
        <v>15</v>
      </c>
    </row>
    <row r="86" spans="2:6">
      <c r="B86" s="12" t="s">
        <v>11</v>
      </c>
      <c r="C86" s="9">
        <v>2022</v>
      </c>
      <c r="D86" s="9" t="s">
        <v>49</v>
      </c>
      <c r="E86" s="23" t="s">
        <v>882</v>
      </c>
      <c r="F86">
        <v>16</v>
      </c>
    </row>
    <row r="87" spans="2:6">
      <c r="B87" s="12" t="s">
        <v>11</v>
      </c>
      <c r="C87" s="9">
        <v>2022</v>
      </c>
      <c r="D87" s="9" t="s">
        <v>12</v>
      </c>
      <c r="E87" s="23" t="s">
        <v>883</v>
      </c>
      <c r="F87">
        <v>16</v>
      </c>
    </row>
    <row r="88" spans="2:6">
      <c r="B88" s="12" t="s">
        <v>11</v>
      </c>
      <c r="C88" s="10">
        <v>2022</v>
      </c>
      <c r="D88" s="10" t="s">
        <v>21</v>
      </c>
      <c r="E88" s="23" t="s">
        <v>883</v>
      </c>
      <c r="F88">
        <v>16</v>
      </c>
    </row>
    <row r="89" spans="2:6">
      <c r="B89" s="12" t="s">
        <v>11</v>
      </c>
      <c r="C89" s="9">
        <v>2022</v>
      </c>
      <c r="D89" s="9" t="s">
        <v>27</v>
      </c>
      <c r="E89" s="23" t="s">
        <v>883</v>
      </c>
      <c r="F89">
        <v>16</v>
      </c>
    </row>
    <row r="90" spans="2:6">
      <c r="B90" s="12" t="s">
        <v>11</v>
      </c>
      <c r="C90" s="10">
        <v>2022</v>
      </c>
      <c r="D90" s="10" t="s">
        <v>28</v>
      </c>
      <c r="E90" s="23" t="s">
        <v>883</v>
      </c>
      <c r="F90">
        <v>16</v>
      </c>
    </row>
    <row r="91" spans="2:6">
      <c r="B91" s="12" t="s">
        <v>11</v>
      </c>
      <c r="C91" s="9">
        <v>2022</v>
      </c>
      <c r="D91" s="9" t="s">
        <v>31</v>
      </c>
      <c r="E91" s="23" t="s">
        <v>883</v>
      </c>
      <c r="F91">
        <v>16</v>
      </c>
    </row>
    <row r="92" spans="2:6">
      <c r="B92" s="12" t="s">
        <v>11</v>
      </c>
      <c r="C92" s="10">
        <v>2022</v>
      </c>
      <c r="D92" s="10" t="s">
        <v>33</v>
      </c>
      <c r="E92" s="23" t="s">
        <v>883</v>
      </c>
      <c r="F92">
        <v>16</v>
      </c>
    </row>
    <row r="93" spans="2:6">
      <c r="B93" s="12" t="s">
        <v>11</v>
      </c>
      <c r="C93" s="9">
        <v>2022</v>
      </c>
      <c r="D93" s="9" t="s">
        <v>34</v>
      </c>
      <c r="E93" s="23" t="s">
        <v>883</v>
      </c>
      <c r="F93">
        <v>16</v>
      </c>
    </row>
    <row r="94" spans="2:6">
      <c r="B94" s="12" t="s">
        <v>11</v>
      </c>
      <c r="C94" s="10">
        <v>2022</v>
      </c>
      <c r="D94" s="10" t="s">
        <v>38</v>
      </c>
      <c r="E94" s="23" t="s">
        <v>883</v>
      </c>
      <c r="F94">
        <v>9</v>
      </c>
    </row>
    <row r="95" spans="2:6">
      <c r="B95" s="12" t="s">
        <v>11</v>
      </c>
      <c r="C95" s="9">
        <v>2022</v>
      </c>
      <c r="D95" s="9" t="s">
        <v>43</v>
      </c>
      <c r="E95" s="23" t="s">
        <v>883</v>
      </c>
      <c r="F95">
        <v>9</v>
      </c>
    </row>
    <row r="96" spans="2:6">
      <c r="B96" s="12" t="s">
        <v>11</v>
      </c>
      <c r="C96" s="10">
        <v>2022</v>
      </c>
      <c r="D96" s="10" t="s">
        <v>45</v>
      </c>
      <c r="E96" s="23" t="s">
        <v>883</v>
      </c>
      <c r="F96">
        <v>8</v>
      </c>
    </row>
    <row r="97" spans="2:6">
      <c r="B97" s="12" t="s">
        <v>11</v>
      </c>
      <c r="C97" s="9">
        <v>2022</v>
      </c>
      <c r="D97" s="9" t="s">
        <v>47</v>
      </c>
      <c r="E97" s="23" t="s">
        <v>883</v>
      </c>
      <c r="F97">
        <v>8</v>
      </c>
    </row>
    <row r="98" spans="2:6">
      <c r="B98" s="12" t="s">
        <v>11</v>
      </c>
      <c r="C98" s="9">
        <v>2022</v>
      </c>
      <c r="D98" s="9" t="s">
        <v>49</v>
      </c>
      <c r="E98" s="23" t="s">
        <v>883</v>
      </c>
      <c r="F98">
        <v>8</v>
      </c>
    </row>
    <row r="99" spans="2:6">
      <c r="B99" s="12" t="s">
        <v>11</v>
      </c>
      <c r="C99" s="9">
        <v>2022</v>
      </c>
      <c r="D99" s="9" t="s">
        <v>12</v>
      </c>
      <c r="E99" s="23" t="s">
        <v>884</v>
      </c>
      <c r="F99">
        <v>29</v>
      </c>
    </row>
    <row r="100" spans="2:6">
      <c r="B100" s="12" t="s">
        <v>11</v>
      </c>
      <c r="C100" s="10">
        <v>2022</v>
      </c>
      <c r="D100" s="10" t="s">
        <v>21</v>
      </c>
      <c r="E100" s="23" t="s">
        <v>884</v>
      </c>
      <c r="F100">
        <v>30</v>
      </c>
    </row>
    <row r="101" spans="2:6">
      <c r="B101" s="12" t="s">
        <v>11</v>
      </c>
      <c r="C101" s="9">
        <v>2022</v>
      </c>
      <c r="D101" s="9" t="s">
        <v>27</v>
      </c>
      <c r="E101" s="23" t="s">
        <v>884</v>
      </c>
      <c r="F101">
        <v>30</v>
      </c>
    </row>
    <row r="102" spans="2:6">
      <c r="B102" s="12" t="s">
        <v>11</v>
      </c>
      <c r="C102" s="10">
        <v>2022</v>
      </c>
      <c r="D102" s="10" t="s">
        <v>28</v>
      </c>
      <c r="E102" s="23" t="s">
        <v>884</v>
      </c>
      <c r="F102">
        <v>30</v>
      </c>
    </row>
    <row r="103" spans="2:6">
      <c r="B103" s="12" t="s">
        <v>11</v>
      </c>
      <c r="C103" s="9">
        <v>2022</v>
      </c>
      <c r="D103" s="9" t="s">
        <v>31</v>
      </c>
      <c r="E103" s="23" t="s">
        <v>884</v>
      </c>
      <c r="F103">
        <v>36</v>
      </c>
    </row>
    <row r="104" spans="2:6">
      <c r="B104" s="12" t="s">
        <v>11</v>
      </c>
      <c r="C104" s="10">
        <v>2022</v>
      </c>
      <c r="D104" s="10" t="s">
        <v>33</v>
      </c>
      <c r="E104" s="23" t="s">
        <v>884</v>
      </c>
      <c r="F104">
        <v>48</v>
      </c>
    </row>
    <row r="105" spans="2:6">
      <c r="B105" s="12" t="s">
        <v>11</v>
      </c>
      <c r="C105" s="9">
        <v>2022</v>
      </c>
      <c r="D105" s="9" t="s">
        <v>34</v>
      </c>
      <c r="E105" s="23" t="s">
        <v>884</v>
      </c>
      <c r="F105">
        <v>51</v>
      </c>
    </row>
    <row r="106" spans="2:6">
      <c r="B106" s="12" t="s">
        <v>11</v>
      </c>
      <c r="C106" s="10">
        <v>2022</v>
      </c>
      <c r="D106" s="10" t="s">
        <v>38</v>
      </c>
      <c r="E106" s="23" t="s">
        <v>884</v>
      </c>
      <c r="F106">
        <v>60</v>
      </c>
    </row>
    <row r="107" spans="2:6">
      <c r="B107" s="12" t="s">
        <v>11</v>
      </c>
      <c r="C107" s="9">
        <v>2022</v>
      </c>
      <c r="D107" s="9" t="s">
        <v>43</v>
      </c>
      <c r="E107" s="23" t="s">
        <v>884</v>
      </c>
      <c r="F107">
        <v>60</v>
      </c>
    </row>
    <row r="108" spans="2:6">
      <c r="B108" s="12" t="s">
        <v>11</v>
      </c>
      <c r="C108" s="10">
        <v>2022</v>
      </c>
      <c r="D108" s="10" t="s">
        <v>45</v>
      </c>
      <c r="E108" s="23" t="s">
        <v>884</v>
      </c>
      <c r="F108">
        <v>60</v>
      </c>
    </row>
    <row r="109" spans="2:6">
      <c r="B109" s="12" t="s">
        <v>11</v>
      </c>
      <c r="C109" s="9">
        <v>2022</v>
      </c>
      <c r="D109" s="9" t="s">
        <v>47</v>
      </c>
      <c r="E109" s="23" t="s">
        <v>884</v>
      </c>
      <c r="F109">
        <v>74</v>
      </c>
    </row>
    <row r="110" spans="2:6">
      <c r="B110" s="12" t="s">
        <v>11</v>
      </c>
      <c r="C110" s="9">
        <v>2022</v>
      </c>
      <c r="D110" s="9" t="s">
        <v>49</v>
      </c>
      <c r="E110" s="23" t="s">
        <v>884</v>
      </c>
      <c r="F110">
        <v>75</v>
      </c>
    </row>
    <row r="111" spans="2:6">
      <c r="B111" s="60" t="s">
        <v>11</v>
      </c>
      <c r="C111" s="35">
        <v>2023</v>
      </c>
      <c r="D111" s="35" t="s">
        <v>12</v>
      </c>
      <c r="E111" s="25" t="s">
        <v>882</v>
      </c>
      <c r="F111" s="59">
        <v>16</v>
      </c>
    </row>
    <row r="112" spans="2:6">
      <c r="B112" s="60" t="s">
        <v>11</v>
      </c>
      <c r="C112" s="35">
        <v>2023</v>
      </c>
      <c r="D112" s="35" t="s">
        <v>12</v>
      </c>
      <c r="E112" s="25" t="s">
        <v>883</v>
      </c>
      <c r="F112" s="59">
        <v>8</v>
      </c>
    </row>
    <row r="113" spans="2:6">
      <c r="B113" s="60" t="s">
        <v>11</v>
      </c>
      <c r="C113" s="35">
        <v>2023</v>
      </c>
      <c r="D113" s="35" t="s">
        <v>12</v>
      </c>
      <c r="E113" s="25" t="s">
        <v>884</v>
      </c>
      <c r="F113" s="59">
        <v>75</v>
      </c>
    </row>
  </sheetData>
  <sheetProtection algorithmName="SHA-512" hashValue="xc/Q61Kk1PK+s415R8qIrWgnaUuiCh5+bamnyA2y2G69HHGZ+X0vSbGWhEohS8NtfMOmA3Cw4VJmIUMcPbkVCg==" saltValue="1mbxg/89c4Tx3lceNhDg2Q==" spinCount="100000" sheet="1" objects="1" scenarios="1"/>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353B8-014A-412B-B9E3-DC5BB1435FEC}">
  <sheetPr>
    <tabColor theme="8"/>
  </sheetPr>
  <dimension ref="B2:G356"/>
  <sheetViews>
    <sheetView topLeftCell="A334" workbookViewId="0">
      <selection activeCell="E330" sqref="E330"/>
    </sheetView>
  </sheetViews>
  <sheetFormatPr baseColWidth="10" defaultColWidth="11.44140625" defaultRowHeight="14.4"/>
  <cols>
    <col min="5" max="5" width="34.33203125" bestFit="1" customWidth="1"/>
    <col min="6" max="6" width="59.44140625" customWidth="1"/>
    <col min="7" max="7" width="18.109375" customWidth="1"/>
  </cols>
  <sheetData>
    <row r="2" spans="2:7">
      <c r="B2" t="s">
        <v>0</v>
      </c>
      <c r="C2" t="s">
        <v>1</v>
      </c>
      <c r="D2" t="s">
        <v>2</v>
      </c>
      <c r="E2" t="s">
        <v>885</v>
      </c>
      <c r="F2" t="s">
        <v>886</v>
      </c>
      <c r="G2" t="s">
        <v>887</v>
      </c>
    </row>
    <row r="3" spans="2:7">
      <c r="B3" s="12" t="s">
        <v>11</v>
      </c>
      <c r="C3">
        <v>2020</v>
      </c>
      <c r="D3" t="s">
        <v>12</v>
      </c>
      <c r="E3" t="s">
        <v>888</v>
      </c>
      <c r="F3" t="s">
        <v>889</v>
      </c>
      <c r="G3">
        <v>12</v>
      </c>
    </row>
    <row r="4" spans="2:7">
      <c r="B4" s="12" t="s">
        <v>11</v>
      </c>
      <c r="C4">
        <v>2020</v>
      </c>
      <c r="D4" t="s">
        <v>12</v>
      </c>
      <c r="E4" t="s">
        <v>888</v>
      </c>
      <c r="F4" t="s">
        <v>890</v>
      </c>
      <c r="G4">
        <v>12</v>
      </c>
    </row>
    <row r="5" spans="2:7">
      <c r="B5" s="12" t="s">
        <v>11</v>
      </c>
      <c r="C5">
        <v>2020</v>
      </c>
      <c r="D5" t="s">
        <v>12</v>
      </c>
      <c r="E5" t="s">
        <v>888</v>
      </c>
      <c r="F5" t="s">
        <v>891</v>
      </c>
      <c r="G5">
        <v>12</v>
      </c>
    </row>
    <row r="6" spans="2:7">
      <c r="B6" s="12" t="s">
        <v>11</v>
      </c>
      <c r="C6">
        <v>2020</v>
      </c>
      <c r="D6" t="s">
        <v>12</v>
      </c>
      <c r="E6" t="s">
        <v>888</v>
      </c>
      <c r="F6" t="s">
        <v>892</v>
      </c>
      <c r="G6">
        <v>12</v>
      </c>
    </row>
    <row r="7" spans="2:7">
      <c r="B7" s="12" t="s">
        <v>11</v>
      </c>
      <c r="C7">
        <v>2020</v>
      </c>
      <c r="D7" t="s">
        <v>27</v>
      </c>
      <c r="E7" t="s">
        <v>893</v>
      </c>
      <c r="F7" t="s">
        <v>894</v>
      </c>
      <c r="G7">
        <v>3</v>
      </c>
    </row>
    <row r="8" spans="2:7">
      <c r="B8" s="12" t="s">
        <v>11</v>
      </c>
      <c r="C8">
        <v>2020</v>
      </c>
      <c r="D8" t="s">
        <v>27</v>
      </c>
      <c r="E8" t="s">
        <v>893</v>
      </c>
      <c r="F8" t="s">
        <v>895</v>
      </c>
      <c r="G8">
        <v>3</v>
      </c>
    </row>
    <row r="9" spans="2:7">
      <c r="B9" s="12" t="s">
        <v>11</v>
      </c>
      <c r="C9">
        <v>2020</v>
      </c>
      <c r="D9" t="s">
        <v>27</v>
      </c>
      <c r="E9" t="s">
        <v>893</v>
      </c>
      <c r="F9" t="s">
        <v>896</v>
      </c>
      <c r="G9">
        <v>3</v>
      </c>
    </row>
    <row r="10" spans="2:7">
      <c r="B10" s="12" t="s">
        <v>11</v>
      </c>
      <c r="C10">
        <v>2020</v>
      </c>
      <c r="D10" t="s">
        <v>27</v>
      </c>
      <c r="E10" t="s">
        <v>893</v>
      </c>
      <c r="F10" t="s">
        <v>897</v>
      </c>
      <c r="G10">
        <v>3</v>
      </c>
    </row>
    <row r="11" spans="2:7">
      <c r="B11" s="12" t="s">
        <v>11</v>
      </c>
      <c r="C11">
        <v>2020</v>
      </c>
      <c r="D11" t="s">
        <v>27</v>
      </c>
      <c r="E11" t="s">
        <v>893</v>
      </c>
      <c r="F11" t="s">
        <v>898</v>
      </c>
      <c r="G11">
        <v>3</v>
      </c>
    </row>
    <row r="12" spans="2:7">
      <c r="B12" s="12" t="s">
        <v>11</v>
      </c>
      <c r="C12">
        <v>2020</v>
      </c>
      <c r="D12" t="s">
        <v>27</v>
      </c>
      <c r="E12" t="s">
        <v>893</v>
      </c>
      <c r="F12" t="s">
        <v>899</v>
      </c>
      <c r="G12">
        <v>3</v>
      </c>
    </row>
    <row r="13" spans="2:7">
      <c r="B13" s="12" t="s">
        <v>11</v>
      </c>
      <c r="C13">
        <v>2020</v>
      </c>
      <c r="D13" t="s">
        <v>27</v>
      </c>
      <c r="E13" t="s">
        <v>893</v>
      </c>
      <c r="F13" t="s">
        <v>900</v>
      </c>
      <c r="G13">
        <v>3</v>
      </c>
    </row>
    <row r="14" spans="2:7">
      <c r="B14" s="12" t="s">
        <v>11</v>
      </c>
      <c r="C14">
        <v>2020</v>
      </c>
      <c r="D14" t="s">
        <v>27</v>
      </c>
      <c r="E14" t="s">
        <v>893</v>
      </c>
      <c r="F14" t="s">
        <v>901</v>
      </c>
      <c r="G14">
        <v>3</v>
      </c>
    </row>
    <row r="15" spans="2:7">
      <c r="B15" s="12" t="s">
        <v>11</v>
      </c>
      <c r="C15">
        <v>2020</v>
      </c>
      <c r="D15" t="s">
        <v>27</v>
      </c>
      <c r="E15" t="s">
        <v>893</v>
      </c>
      <c r="F15" t="s">
        <v>902</v>
      </c>
      <c r="G15">
        <v>3</v>
      </c>
    </row>
    <row r="16" spans="2:7">
      <c r="B16" s="12" t="s">
        <v>11</v>
      </c>
      <c r="C16">
        <v>2020</v>
      </c>
      <c r="D16" t="s">
        <v>27</v>
      </c>
      <c r="E16" t="s">
        <v>893</v>
      </c>
      <c r="F16" t="s">
        <v>903</v>
      </c>
      <c r="G16">
        <v>3</v>
      </c>
    </row>
    <row r="17" spans="2:7">
      <c r="B17" s="12" t="s">
        <v>11</v>
      </c>
      <c r="C17">
        <v>2020</v>
      </c>
      <c r="D17" t="s">
        <v>27</v>
      </c>
      <c r="E17" t="s">
        <v>893</v>
      </c>
      <c r="F17" t="s">
        <v>904</v>
      </c>
      <c r="G17">
        <v>3</v>
      </c>
    </row>
    <row r="18" spans="2:7">
      <c r="B18" s="12" t="s">
        <v>11</v>
      </c>
      <c r="C18">
        <v>2020</v>
      </c>
      <c r="D18" t="s">
        <v>27</v>
      </c>
      <c r="E18" t="s">
        <v>893</v>
      </c>
      <c r="F18" t="s">
        <v>905</v>
      </c>
      <c r="G18">
        <v>3</v>
      </c>
    </row>
    <row r="19" spans="2:7">
      <c r="B19" s="12" t="s">
        <v>11</v>
      </c>
      <c r="C19">
        <v>2020</v>
      </c>
      <c r="D19" t="s">
        <v>27</v>
      </c>
      <c r="E19" t="s">
        <v>893</v>
      </c>
      <c r="F19" t="s">
        <v>906</v>
      </c>
      <c r="G19">
        <v>3</v>
      </c>
    </row>
    <row r="20" spans="2:7">
      <c r="B20" s="12" t="s">
        <v>11</v>
      </c>
      <c r="C20">
        <v>2020</v>
      </c>
      <c r="D20" t="s">
        <v>27</v>
      </c>
      <c r="E20" t="s">
        <v>893</v>
      </c>
      <c r="F20" t="s">
        <v>907</v>
      </c>
      <c r="G20">
        <v>3</v>
      </c>
    </row>
    <row r="21" spans="2:7">
      <c r="B21" s="12" t="s">
        <v>11</v>
      </c>
      <c r="C21">
        <v>2020</v>
      </c>
      <c r="D21" t="s">
        <v>27</v>
      </c>
      <c r="E21" t="s">
        <v>893</v>
      </c>
      <c r="F21" t="s">
        <v>908</v>
      </c>
      <c r="G21">
        <v>3</v>
      </c>
    </row>
    <row r="22" spans="2:7">
      <c r="B22" s="12" t="s">
        <v>11</v>
      </c>
      <c r="C22">
        <v>2020</v>
      </c>
      <c r="D22" t="s">
        <v>27</v>
      </c>
      <c r="E22" t="s">
        <v>893</v>
      </c>
      <c r="F22" t="s">
        <v>909</v>
      </c>
      <c r="G22">
        <v>3</v>
      </c>
    </row>
    <row r="23" spans="2:7">
      <c r="B23" s="12" t="s">
        <v>11</v>
      </c>
      <c r="C23">
        <v>2020</v>
      </c>
      <c r="D23" t="s">
        <v>27</v>
      </c>
      <c r="E23" t="s">
        <v>893</v>
      </c>
      <c r="F23" t="s">
        <v>910</v>
      </c>
      <c r="G23">
        <v>3</v>
      </c>
    </row>
    <row r="24" spans="2:7">
      <c r="B24" s="12" t="s">
        <v>11</v>
      </c>
      <c r="C24">
        <v>2020</v>
      </c>
      <c r="D24" t="s">
        <v>27</v>
      </c>
      <c r="E24" t="s">
        <v>893</v>
      </c>
      <c r="F24" t="s">
        <v>911</v>
      </c>
      <c r="G24">
        <v>3</v>
      </c>
    </row>
    <row r="25" spans="2:7">
      <c r="B25" s="12" t="s">
        <v>11</v>
      </c>
      <c r="C25">
        <v>2020</v>
      </c>
      <c r="D25" t="s">
        <v>27</v>
      </c>
      <c r="E25" t="s">
        <v>893</v>
      </c>
      <c r="F25" t="s">
        <v>912</v>
      </c>
      <c r="G25">
        <v>3</v>
      </c>
    </row>
    <row r="26" spans="2:7">
      <c r="B26" s="12" t="s">
        <v>11</v>
      </c>
      <c r="C26">
        <v>2020</v>
      </c>
      <c r="D26" t="s">
        <v>27</v>
      </c>
      <c r="E26" t="s">
        <v>893</v>
      </c>
      <c r="F26" t="s">
        <v>913</v>
      </c>
      <c r="G26">
        <v>3</v>
      </c>
    </row>
    <row r="27" spans="2:7">
      <c r="B27" s="12" t="s">
        <v>11</v>
      </c>
      <c r="C27">
        <v>2020</v>
      </c>
      <c r="D27" t="s">
        <v>27</v>
      </c>
      <c r="E27" t="s">
        <v>914</v>
      </c>
      <c r="F27" t="s">
        <v>889</v>
      </c>
      <c r="G27">
        <v>10</v>
      </c>
    </row>
    <row r="28" spans="2:7">
      <c r="B28" s="12" t="s">
        <v>11</v>
      </c>
      <c r="C28">
        <v>2020</v>
      </c>
      <c r="D28" t="s">
        <v>27</v>
      </c>
      <c r="E28" t="s">
        <v>914</v>
      </c>
      <c r="F28" t="s">
        <v>915</v>
      </c>
      <c r="G28">
        <v>10</v>
      </c>
    </row>
    <row r="29" spans="2:7">
      <c r="B29" s="12" t="s">
        <v>11</v>
      </c>
      <c r="C29">
        <v>2020</v>
      </c>
      <c r="D29" t="s">
        <v>27</v>
      </c>
      <c r="E29" t="s">
        <v>914</v>
      </c>
      <c r="F29" t="s">
        <v>890</v>
      </c>
      <c r="G29">
        <v>10</v>
      </c>
    </row>
    <row r="30" spans="2:7">
      <c r="B30" s="12" t="s">
        <v>11</v>
      </c>
      <c r="C30">
        <v>2020</v>
      </c>
      <c r="D30" t="s">
        <v>31</v>
      </c>
      <c r="E30" t="s">
        <v>916</v>
      </c>
      <c r="F30" t="s">
        <v>917</v>
      </c>
      <c r="G30">
        <v>1</v>
      </c>
    </row>
    <row r="31" spans="2:7">
      <c r="B31" s="12" t="s">
        <v>11</v>
      </c>
      <c r="C31">
        <v>2020</v>
      </c>
      <c r="D31" t="s">
        <v>31</v>
      </c>
      <c r="E31" t="s">
        <v>916</v>
      </c>
      <c r="F31" t="s">
        <v>889</v>
      </c>
      <c r="G31">
        <v>1</v>
      </c>
    </row>
    <row r="32" spans="2:7">
      <c r="B32" s="12" t="s">
        <v>11</v>
      </c>
      <c r="C32">
        <v>2020</v>
      </c>
      <c r="D32" t="s">
        <v>31</v>
      </c>
      <c r="E32" t="s">
        <v>916</v>
      </c>
      <c r="F32" t="s">
        <v>918</v>
      </c>
      <c r="G32">
        <v>1</v>
      </c>
    </row>
    <row r="33" spans="2:7">
      <c r="B33" s="12" t="s">
        <v>11</v>
      </c>
      <c r="C33">
        <v>2020</v>
      </c>
      <c r="D33" t="s">
        <v>31</v>
      </c>
      <c r="E33" t="s">
        <v>916</v>
      </c>
      <c r="F33" t="s">
        <v>919</v>
      </c>
      <c r="G33">
        <v>1</v>
      </c>
    </row>
    <row r="34" spans="2:7">
      <c r="B34" s="12" t="s">
        <v>11</v>
      </c>
      <c r="C34">
        <v>2020</v>
      </c>
      <c r="D34" t="s">
        <v>31</v>
      </c>
      <c r="E34" t="s">
        <v>916</v>
      </c>
      <c r="F34" t="s">
        <v>920</v>
      </c>
      <c r="G34">
        <v>1</v>
      </c>
    </row>
    <row r="35" spans="2:7">
      <c r="B35" s="12" t="s">
        <v>11</v>
      </c>
      <c r="C35">
        <v>2020</v>
      </c>
      <c r="D35" t="s">
        <v>31</v>
      </c>
      <c r="E35" t="s">
        <v>916</v>
      </c>
      <c r="F35" t="s">
        <v>921</v>
      </c>
      <c r="G35">
        <v>1</v>
      </c>
    </row>
    <row r="36" spans="2:7">
      <c r="B36" s="12" t="s">
        <v>11</v>
      </c>
      <c r="C36">
        <v>2020</v>
      </c>
      <c r="D36" t="s">
        <v>31</v>
      </c>
      <c r="E36" t="s">
        <v>916</v>
      </c>
      <c r="F36" t="s">
        <v>922</v>
      </c>
      <c r="G36">
        <v>1</v>
      </c>
    </row>
    <row r="37" spans="2:7">
      <c r="B37" s="12" t="s">
        <v>11</v>
      </c>
      <c r="C37">
        <v>2020</v>
      </c>
      <c r="D37" t="s">
        <v>31</v>
      </c>
      <c r="E37" t="s">
        <v>916</v>
      </c>
      <c r="F37" t="s">
        <v>923</v>
      </c>
      <c r="G37">
        <v>1</v>
      </c>
    </row>
    <row r="38" spans="2:7">
      <c r="B38" s="12" t="s">
        <v>11</v>
      </c>
      <c r="C38">
        <v>2020</v>
      </c>
      <c r="D38" t="s">
        <v>31</v>
      </c>
      <c r="E38" t="s">
        <v>916</v>
      </c>
      <c r="F38" t="s">
        <v>924</v>
      </c>
      <c r="G38">
        <v>1</v>
      </c>
    </row>
    <row r="39" spans="2:7">
      <c r="B39" s="12" t="s">
        <v>11</v>
      </c>
      <c r="C39">
        <v>2020</v>
      </c>
      <c r="D39" t="s">
        <v>31</v>
      </c>
      <c r="E39" t="s">
        <v>916</v>
      </c>
      <c r="F39" t="s">
        <v>925</v>
      </c>
      <c r="G39">
        <v>1</v>
      </c>
    </row>
    <row r="40" spans="2:7">
      <c r="B40" s="12" t="s">
        <v>11</v>
      </c>
      <c r="C40">
        <v>2020</v>
      </c>
      <c r="D40" t="s">
        <v>31</v>
      </c>
      <c r="E40" t="s">
        <v>916</v>
      </c>
      <c r="F40" t="s">
        <v>926</v>
      </c>
      <c r="G40">
        <v>1</v>
      </c>
    </row>
    <row r="41" spans="2:7">
      <c r="B41" s="12" t="s">
        <v>11</v>
      </c>
      <c r="C41">
        <v>2020</v>
      </c>
      <c r="D41" t="s">
        <v>31</v>
      </c>
      <c r="E41" t="s">
        <v>916</v>
      </c>
      <c r="F41" t="s">
        <v>927</v>
      </c>
      <c r="G41">
        <v>1</v>
      </c>
    </row>
    <row r="42" spans="2:7">
      <c r="B42" s="12" t="s">
        <v>11</v>
      </c>
      <c r="C42">
        <v>2020</v>
      </c>
      <c r="D42" t="s">
        <v>31</v>
      </c>
      <c r="E42" t="s">
        <v>916</v>
      </c>
      <c r="F42" t="s">
        <v>928</v>
      </c>
      <c r="G42">
        <v>1</v>
      </c>
    </row>
    <row r="43" spans="2:7">
      <c r="B43" s="12" t="s">
        <v>11</v>
      </c>
      <c r="C43">
        <v>2020</v>
      </c>
      <c r="D43" t="s">
        <v>31</v>
      </c>
      <c r="E43" t="s">
        <v>916</v>
      </c>
      <c r="F43" t="s">
        <v>929</v>
      </c>
      <c r="G43">
        <v>1</v>
      </c>
    </row>
    <row r="44" spans="2:7">
      <c r="B44" s="12" t="s">
        <v>11</v>
      </c>
      <c r="C44">
        <v>2020</v>
      </c>
      <c r="D44" t="s">
        <v>31</v>
      </c>
      <c r="E44" t="s">
        <v>916</v>
      </c>
      <c r="F44" t="s">
        <v>930</v>
      </c>
      <c r="G44">
        <v>1</v>
      </c>
    </row>
    <row r="45" spans="2:7">
      <c r="B45" s="12" t="s">
        <v>11</v>
      </c>
      <c r="C45">
        <v>2020</v>
      </c>
      <c r="D45" t="s">
        <v>31</v>
      </c>
      <c r="E45" t="s">
        <v>916</v>
      </c>
      <c r="F45" t="s">
        <v>931</v>
      </c>
      <c r="G45">
        <v>1</v>
      </c>
    </row>
    <row r="46" spans="2:7">
      <c r="B46" s="12" t="s">
        <v>11</v>
      </c>
      <c r="C46">
        <v>2020</v>
      </c>
      <c r="D46" t="s">
        <v>31</v>
      </c>
      <c r="E46" t="s">
        <v>916</v>
      </c>
      <c r="F46" t="s">
        <v>932</v>
      </c>
      <c r="G46">
        <v>1</v>
      </c>
    </row>
    <row r="47" spans="2:7">
      <c r="B47" s="12" t="s">
        <v>11</v>
      </c>
      <c r="C47">
        <v>2020</v>
      </c>
      <c r="D47" t="s">
        <v>31</v>
      </c>
      <c r="E47" t="s">
        <v>916</v>
      </c>
      <c r="F47" t="s">
        <v>933</v>
      </c>
      <c r="G47">
        <v>1</v>
      </c>
    </row>
    <row r="48" spans="2:7">
      <c r="B48" s="12" t="s">
        <v>11</v>
      </c>
      <c r="C48">
        <v>2020</v>
      </c>
      <c r="D48" t="s">
        <v>31</v>
      </c>
      <c r="E48" t="s">
        <v>916</v>
      </c>
      <c r="F48" t="s">
        <v>934</v>
      </c>
      <c r="G48">
        <v>1</v>
      </c>
    </row>
    <row r="49" spans="2:7">
      <c r="B49" s="12" t="s">
        <v>11</v>
      </c>
      <c r="C49">
        <v>2020</v>
      </c>
      <c r="D49" t="s">
        <v>31</v>
      </c>
      <c r="E49" t="s">
        <v>916</v>
      </c>
      <c r="F49" t="s">
        <v>935</v>
      </c>
      <c r="G49">
        <v>1</v>
      </c>
    </row>
    <row r="50" spans="2:7">
      <c r="B50" s="12" t="s">
        <v>11</v>
      </c>
      <c r="C50">
        <v>2020</v>
      </c>
      <c r="D50" t="s">
        <v>31</v>
      </c>
      <c r="E50" t="s">
        <v>916</v>
      </c>
      <c r="F50" t="s">
        <v>936</v>
      </c>
      <c r="G50">
        <v>1</v>
      </c>
    </row>
    <row r="51" spans="2:7">
      <c r="B51" s="12" t="s">
        <v>11</v>
      </c>
      <c r="C51">
        <v>2020</v>
      </c>
      <c r="D51" t="s">
        <v>31</v>
      </c>
      <c r="E51" t="s">
        <v>916</v>
      </c>
      <c r="F51" t="s">
        <v>937</v>
      </c>
      <c r="G51">
        <v>1</v>
      </c>
    </row>
    <row r="52" spans="2:7">
      <c r="B52" s="12" t="s">
        <v>11</v>
      </c>
      <c r="C52">
        <v>2020</v>
      </c>
      <c r="D52" t="s">
        <v>31</v>
      </c>
      <c r="E52" t="s">
        <v>916</v>
      </c>
      <c r="F52" t="s">
        <v>938</v>
      </c>
      <c r="G52">
        <v>1</v>
      </c>
    </row>
    <row r="53" spans="2:7">
      <c r="B53" s="12" t="s">
        <v>11</v>
      </c>
      <c r="C53">
        <v>2020</v>
      </c>
      <c r="D53" t="s">
        <v>31</v>
      </c>
      <c r="E53" t="s">
        <v>916</v>
      </c>
      <c r="F53" t="s">
        <v>939</v>
      </c>
      <c r="G53">
        <v>1</v>
      </c>
    </row>
    <row r="54" spans="2:7">
      <c r="B54" s="12" t="s">
        <v>11</v>
      </c>
      <c r="C54">
        <v>2020</v>
      </c>
      <c r="D54" t="s">
        <v>31</v>
      </c>
      <c r="E54" t="s">
        <v>916</v>
      </c>
      <c r="F54" t="s">
        <v>940</v>
      </c>
      <c r="G54">
        <v>1</v>
      </c>
    </row>
    <row r="55" spans="2:7">
      <c r="B55" s="12" t="s">
        <v>11</v>
      </c>
      <c r="C55">
        <v>2020</v>
      </c>
      <c r="D55" t="s">
        <v>31</v>
      </c>
      <c r="E55" t="s">
        <v>916</v>
      </c>
      <c r="F55" t="s">
        <v>941</v>
      </c>
      <c r="G55">
        <v>1</v>
      </c>
    </row>
    <row r="56" spans="2:7">
      <c r="B56" s="12" t="s">
        <v>11</v>
      </c>
      <c r="C56">
        <v>2020</v>
      </c>
      <c r="D56" t="s">
        <v>31</v>
      </c>
      <c r="E56" t="s">
        <v>916</v>
      </c>
      <c r="F56" t="s">
        <v>942</v>
      </c>
      <c r="G56">
        <v>1</v>
      </c>
    </row>
    <row r="57" spans="2:7">
      <c r="B57" s="12" t="s">
        <v>11</v>
      </c>
      <c r="C57">
        <v>2020</v>
      </c>
      <c r="D57" t="s">
        <v>31</v>
      </c>
      <c r="E57" t="s">
        <v>916</v>
      </c>
      <c r="F57" t="s">
        <v>943</v>
      </c>
      <c r="G57">
        <v>1</v>
      </c>
    </row>
    <row r="58" spans="2:7">
      <c r="B58" s="12" t="s">
        <v>11</v>
      </c>
      <c r="C58">
        <v>2020</v>
      </c>
      <c r="D58" t="s">
        <v>31</v>
      </c>
      <c r="E58" t="s">
        <v>916</v>
      </c>
      <c r="F58" t="s">
        <v>944</v>
      </c>
      <c r="G58">
        <v>1</v>
      </c>
    </row>
    <row r="59" spans="2:7">
      <c r="B59" s="12" t="s">
        <v>11</v>
      </c>
      <c r="C59">
        <v>2020</v>
      </c>
      <c r="D59" t="s">
        <v>31</v>
      </c>
      <c r="E59" t="s">
        <v>916</v>
      </c>
      <c r="F59" t="s">
        <v>945</v>
      </c>
      <c r="G59">
        <v>1</v>
      </c>
    </row>
    <row r="60" spans="2:7">
      <c r="B60" s="12" t="s">
        <v>11</v>
      </c>
      <c r="C60">
        <v>2020</v>
      </c>
      <c r="D60" t="s">
        <v>31</v>
      </c>
      <c r="E60" t="s">
        <v>916</v>
      </c>
      <c r="F60" t="s">
        <v>946</v>
      </c>
      <c r="G60">
        <v>1</v>
      </c>
    </row>
    <row r="61" spans="2:7">
      <c r="B61" s="12" t="s">
        <v>11</v>
      </c>
      <c r="C61">
        <v>2020</v>
      </c>
      <c r="D61" t="s">
        <v>31</v>
      </c>
      <c r="E61" t="s">
        <v>916</v>
      </c>
      <c r="F61" t="s">
        <v>947</v>
      </c>
      <c r="G61">
        <v>1</v>
      </c>
    </row>
    <row r="62" spans="2:7">
      <c r="B62" s="12" t="s">
        <v>11</v>
      </c>
      <c r="C62">
        <v>2020</v>
      </c>
      <c r="D62" t="s">
        <v>31</v>
      </c>
      <c r="E62" t="s">
        <v>916</v>
      </c>
      <c r="F62" t="s">
        <v>948</v>
      </c>
      <c r="G62">
        <v>1</v>
      </c>
    </row>
    <row r="63" spans="2:7">
      <c r="B63" s="12" t="s">
        <v>11</v>
      </c>
      <c r="C63">
        <v>2020</v>
      </c>
      <c r="D63" t="s">
        <v>31</v>
      </c>
      <c r="E63" t="s">
        <v>916</v>
      </c>
      <c r="F63" t="s">
        <v>949</v>
      </c>
      <c r="G63">
        <v>1</v>
      </c>
    </row>
    <row r="64" spans="2:7">
      <c r="B64" s="12" t="s">
        <v>11</v>
      </c>
      <c r="C64">
        <v>2020</v>
      </c>
      <c r="D64" t="s">
        <v>31</v>
      </c>
      <c r="E64" t="s">
        <v>916</v>
      </c>
      <c r="F64" t="s">
        <v>950</v>
      </c>
      <c r="G64">
        <v>1</v>
      </c>
    </row>
    <row r="65" spans="2:7">
      <c r="B65" s="12" t="s">
        <v>11</v>
      </c>
      <c r="C65">
        <v>2020</v>
      </c>
      <c r="D65" t="s">
        <v>31</v>
      </c>
      <c r="E65" t="s">
        <v>916</v>
      </c>
      <c r="F65" t="s">
        <v>951</v>
      </c>
      <c r="G65">
        <v>1</v>
      </c>
    </row>
    <row r="66" spans="2:7">
      <c r="B66" s="12" t="s">
        <v>11</v>
      </c>
      <c r="C66">
        <v>2020</v>
      </c>
      <c r="D66" t="s">
        <v>31</v>
      </c>
      <c r="E66" t="s">
        <v>916</v>
      </c>
      <c r="F66" t="s">
        <v>952</v>
      </c>
      <c r="G66">
        <v>1</v>
      </c>
    </row>
    <row r="67" spans="2:7">
      <c r="B67" s="12" t="s">
        <v>11</v>
      </c>
      <c r="C67">
        <v>2020</v>
      </c>
      <c r="D67" t="s">
        <v>31</v>
      </c>
      <c r="E67" t="s">
        <v>916</v>
      </c>
      <c r="F67" t="s">
        <v>953</v>
      </c>
      <c r="G67">
        <v>1</v>
      </c>
    </row>
    <row r="68" spans="2:7">
      <c r="B68" s="12" t="s">
        <v>11</v>
      </c>
      <c r="C68">
        <v>2020</v>
      </c>
      <c r="D68" t="s">
        <v>31</v>
      </c>
      <c r="E68" t="s">
        <v>916</v>
      </c>
      <c r="F68" t="s">
        <v>953</v>
      </c>
      <c r="G68">
        <v>1</v>
      </c>
    </row>
    <row r="69" spans="2:7">
      <c r="B69" s="12" t="s">
        <v>11</v>
      </c>
      <c r="C69">
        <v>2020</v>
      </c>
      <c r="D69" t="s">
        <v>31</v>
      </c>
      <c r="E69" t="s">
        <v>916</v>
      </c>
      <c r="F69" t="s">
        <v>954</v>
      </c>
      <c r="G69">
        <v>1</v>
      </c>
    </row>
    <row r="70" spans="2:7">
      <c r="B70" s="12" t="s">
        <v>11</v>
      </c>
      <c r="C70">
        <v>2020</v>
      </c>
      <c r="D70" t="s">
        <v>31</v>
      </c>
      <c r="E70" t="s">
        <v>916</v>
      </c>
      <c r="F70" t="s">
        <v>955</v>
      </c>
      <c r="G70">
        <v>1</v>
      </c>
    </row>
    <row r="71" spans="2:7">
      <c r="B71" s="12" t="s">
        <v>11</v>
      </c>
      <c r="C71">
        <v>2020</v>
      </c>
      <c r="D71" t="s">
        <v>31</v>
      </c>
      <c r="E71" t="s">
        <v>916</v>
      </c>
      <c r="F71" t="s">
        <v>956</v>
      </c>
      <c r="G71">
        <v>1</v>
      </c>
    </row>
    <row r="72" spans="2:7">
      <c r="B72" s="12" t="s">
        <v>11</v>
      </c>
      <c r="C72">
        <v>2020</v>
      </c>
      <c r="D72" t="s">
        <v>31</v>
      </c>
      <c r="E72" t="s">
        <v>916</v>
      </c>
      <c r="F72" t="s">
        <v>957</v>
      </c>
      <c r="G72">
        <v>1</v>
      </c>
    </row>
    <row r="73" spans="2:7">
      <c r="B73" s="12" t="s">
        <v>11</v>
      </c>
      <c r="C73">
        <v>2020</v>
      </c>
      <c r="D73" t="s">
        <v>31</v>
      </c>
      <c r="E73" t="s">
        <v>916</v>
      </c>
      <c r="F73" t="s">
        <v>958</v>
      </c>
      <c r="G73">
        <v>1</v>
      </c>
    </row>
    <row r="74" spans="2:7">
      <c r="B74" s="12" t="s">
        <v>11</v>
      </c>
      <c r="C74">
        <v>2020</v>
      </c>
      <c r="D74" t="s">
        <v>31</v>
      </c>
      <c r="E74" t="s">
        <v>916</v>
      </c>
      <c r="F74" t="s">
        <v>959</v>
      </c>
      <c r="G74">
        <v>1</v>
      </c>
    </row>
    <row r="75" spans="2:7">
      <c r="B75" s="12" t="s">
        <v>11</v>
      </c>
      <c r="C75">
        <v>2020</v>
      </c>
      <c r="D75" t="s">
        <v>31</v>
      </c>
      <c r="E75" t="s">
        <v>916</v>
      </c>
      <c r="F75" t="s">
        <v>960</v>
      </c>
      <c r="G75">
        <v>1</v>
      </c>
    </row>
    <row r="76" spans="2:7">
      <c r="B76" s="12" t="s">
        <v>11</v>
      </c>
      <c r="C76">
        <v>2020</v>
      </c>
      <c r="D76" t="s">
        <v>31</v>
      </c>
      <c r="E76" t="s">
        <v>916</v>
      </c>
      <c r="F76" t="s">
        <v>961</v>
      </c>
      <c r="G76">
        <v>1</v>
      </c>
    </row>
    <row r="77" spans="2:7">
      <c r="B77" s="12" t="s">
        <v>11</v>
      </c>
      <c r="C77">
        <v>2020</v>
      </c>
      <c r="D77" t="s">
        <v>31</v>
      </c>
      <c r="E77" t="s">
        <v>916</v>
      </c>
      <c r="F77" t="s">
        <v>962</v>
      </c>
      <c r="G77">
        <v>1</v>
      </c>
    </row>
    <row r="78" spans="2:7">
      <c r="B78" s="12" t="s">
        <v>11</v>
      </c>
      <c r="C78">
        <v>2020</v>
      </c>
      <c r="D78" t="s">
        <v>31</v>
      </c>
      <c r="E78" t="s">
        <v>916</v>
      </c>
      <c r="F78" t="s">
        <v>963</v>
      </c>
      <c r="G78">
        <v>1</v>
      </c>
    </row>
    <row r="79" spans="2:7">
      <c r="B79" s="12" t="s">
        <v>11</v>
      </c>
      <c r="C79">
        <v>2020</v>
      </c>
      <c r="D79" t="s">
        <v>31</v>
      </c>
      <c r="E79" t="s">
        <v>916</v>
      </c>
      <c r="F79" t="s">
        <v>964</v>
      </c>
      <c r="G79">
        <v>1</v>
      </c>
    </row>
    <row r="80" spans="2:7">
      <c r="B80" s="12" t="s">
        <v>11</v>
      </c>
      <c r="C80">
        <v>2020</v>
      </c>
      <c r="D80" t="s">
        <v>31</v>
      </c>
      <c r="E80" t="s">
        <v>916</v>
      </c>
      <c r="F80" t="s">
        <v>965</v>
      </c>
      <c r="G80">
        <v>1</v>
      </c>
    </row>
    <row r="81" spans="2:7">
      <c r="B81" s="12" t="s">
        <v>11</v>
      </c>
      <c r="C81">
        <v>2020</v>
      </c>
      <c r="D81" t="s">
        <v>31</v>
      </c>
      <c r="E81" t="s">
        <v>916</v>
      </c>
      <c r="F81" t="s">
        <v>966</v>
      </c>
      <c r="G81">
        <v>1</v>
      </c>
    </row>
    <row r="82" spans="2:7">
      <c r="B82" s="12" t="s">
        <v>11</v>
      </c>
      <c r="C82">
        <v>2020</v>
      </c>
      <c r="D82" t="s">
        <v>31</v>
      </c>
      <c r="E82" t="s">
        <v>916</v>
      </c>
      <c r="F82" t="s">
        <v>967</v>
      </c>
      <c r="G82">
        <v>1</v>
      </c>
    </row>
    <row r="83" spans="2:7">
      <c r="B83" s="12" t="s">
        <v>11</v>
      </c>
      <c r="C83">
        <v>2020</v>
      </c>
      <c r="D83" t="s">
        <v>31</v>
      </c>
      <c r="E83" t="s">
        <v>916</v>
      </c>
      <c r="F83" t="s">
        <v>968</v>
      </c>
      <c r="G83">
        <v>1</v>
      </c>
    </row>
    <row r="84" spans="2:7">
      <c r="B84" s="12" t="s">
        <v>11</v>
      </c>
      <c r="C84">
        <v>2020</v>
      </c>
      <c r="D84" t="s">
        <v>31</v>
      </c>
      <c r="E84" t="s">
        <v>916</v>
      </c>
      <c r="F84" t="s">
        <v>969</v>
      </c>
      <c r="G84">
        <v>1</v>
      </c>
    </row>
    <row r="85" spans="2:7">
      <c r="B85" s="12" t="s">
        <v>11</v>
      </c>
      <c r="C85">
        <v>2020</v>
      </c>
      <c r="D85" t="s">
        <v>31</v>
      </c>
      <c r="E85" t="s">
        <v>916</v>
      </c>
      <c r="F85" t="s">
        <v>970</v>
      </c>
      <c r="G85">
        <v>1</v>
      </c>
    </row>
    <row r="86" spans="2:7">
      <c r="B86" s="12" t="s">
        <v>11</v>
      </c>
      <c r="C86">
        <v>2020</v>
      </c>
      <c r="D86" t="s">
        <v>31</v>
      </c>
      <c r="E86" t="s">
        <v>916</v>
      </c>
      <c r="F86" t="s">
        <v>971</v>
      </c>
      <c r="G86">
        <v>1</v>
      </c>
    </row>
    <row r="87" spans="2:7">
      <c r="B87" s="12" t="s">
        <v>11</v>
      </c>
      <c r="C87">
        <v>2020</v>
      </c>
      <c r="D87" t="s">
        <v>31</v>
      </c>
      <c r="E87" t="s">
        <v>916</v>
      </c>
      <c r="F87" t="s">
        <v>972</v>
      </c>
      <c r="G87">
        <v>1</v>
      </c>
    </row>
    <row r="88" spans="2:7">
      <c r="B88" s="12" t="s">
        <v>11</v>
      </c>
      <c r="C88">
        <v>2020</v>
      </c>
      <c r="D88" t="s">
        <v>31</v>
      </c>
      <c r="E88" t="s">
        <v>916</v>
      </c>
      <c r="F88" t="s">
        <v>973</v>
      </c>
      <c r="G88">
        <v>1</v>
      </c>
    </row>
    <row r="89" spans="2:7">
      <c r="B89" s="12" t="s">
        <v>11</v>
      </c>
      <c r="C89">
        <v>2020</v>
      </c>
      <c r="D89" t="s">
        <v>31</v>
      </c>
      <c r="E89" t="s">
        <v>916</v>
      </c>
      <c r="F89" t="s">
        <v>974</v>
      </c>
      <c r="G89">
        <v>1</v>
      </c>
    </row>
    <row r="90" spans="2:7">
      <c r="B90" s="12" t="s">
        <v>11</v>
      </c>
      <c r="C90">
        <v>2020</v>
      </c>
      <c r="D90" t="s">
        <v>31</v>
      </c>
      <c r="E90" t="s">
        <v>916</v>
      </c>
      <c r="F90" t="s">
        <v>975</v>
      </c>
      <c r="G90">
        <v>1</v>
      </c>
    </row>
    <row r="91" spans="2:7">
      <c r="B91" s="12" t="s">
        <v>11</v>
      </c>
      <c r="C91">
        <v>2020</v>
      </c>
      <c r="D91" t="s">
        <v>31</v>
      </c>
      <c r="E91" t="s">
        <v>916</v>
      </c>
      <c r="F91" t="s">
        <v>976</v>
      </c>
      <c r="G91">
        <v>1</v>
      </c>
    </row>
    <row r="92" spans="2:7">
      <c r="B92" s="12" t="s">
        <v>11</v>
      </c>
      <c r="C92">
        <v>2020</v>
      </c>
      <c r="D92" t="s">
        <v>31</v>
      </c>
      <c r="E92" t="s">
        <v>916</v>
      </c>
      <c r="F92" t="s">
        <v>977</v>
      </c>
      <c r="G92">
        <v>1</v>
      </c>
    </row>
    <row r="93" spans="2:7">
      <c r="B93" s="12" t="s">
        <v>11</v>
      </c>
      <c r="C93">
        <v>2020</v>
      </c>
      <c r="D93" t="s">
        <v>31</v>
      </c>
      <c r="E93" t="s">
        <v>916</v>
      </c>
      <c r="F93" t="s">
        <v>978</v>
      </c>
      <c r="G93">
        <v>1</v>
      </c>
    </row>
    <row r="94" spans="2:7">
      <c r="B94" s="12" t="s">
        <v>11</v>
      </c>
      <c r="C94">
        <v>2020</v>
      </c>
      <c r="D94" t="s">
        <v>43</v>
      </c>
      <c r="E94" t="s">
        <v>979</v>
      </c>
      <c r="F94" t="s">
        <v>906</v>
      </c>
      <c r="G94">
        <v>3</v>
      </c>
    </row>
    <row r="95" spans="2:7">
      <c r="B95" s="12" t="s">
        <v>11</v>
      </c>
      <c r="C95">
        <v>2020</v>
      </c>
      <c r="D95" t="s">
        <v>43</v>
      </c>
      <c r="E95" t="s">
        <v>979</v>
      </c>
      <c r="F95" t="s">
        <v>980</v>
      </c>
      <c r="G95">
        <v>3</v>
      </c>
    </row>
    <row r="96" spans="2:7">
      <c r="B96" s="12" t="s">
        <v>11</v>
      </c>
      <c r="C96">
        <v>2020</v>
      </c>
      <c r="D96" t="s">
        <v>43</v>
      </c>
      <c r="E96" t="s">
        <v>979</v>
      </c>
      <c r="F96" t="s">
        <v>981</v>
      </c>
      <c r="G96">
        <v>3</v>
      </c>
    </row>
    <row r="97" spans="2:7">
      <c r="B97" s="12" t="s">
        <v>11</v>
      </c>
      <c r="C97">
        <v>2020</v>
      </c>
      <c r="D97" t="s">
        <v>43</v>
      </c>
      <c r="E97" t="s">
        <v>979</v>
      </c>
      <c r="F97" t="s">
        <v>982</v>
      </c>
      <c r="G97">
        <v>3</v>
      </c>
    </row>
    <row r="98" spans="2:7">
      <c r="B98" s="12" t="s">
        <v>11</v>
      </c>
      <c r="C98">
        <v>2020</v>
      </c>
      <c r="D98" t="s">
        <v>43</v>
      </c>
      <c r="E98" t="s">
        <v>979</v>
      </c>
      <c r="F98" t="s">
        <v>983</v>
      </c>
      <c r="G98">
        <v>3</v>
      </c>
    </row>
    <row r="99" spans="2:7">
      <c r="B99" s="12" t="s">
        <v>11</v>
      </c>
      <c r="C99">
        <v>2020</v>
      </c>
      <c r="D99" t="s">
        <v>43</v>
      </c>
      <c r="E99" t="s">
        <v>984</v>
      </c>
      <c r="F99" t="s">
        <v>890</v>
      </c>
      <c r="G99">
        <v>3</v>
      </c>
    </row>
    <row r="100" spans="2:7">
      <c r="B100" s="12" t="s">
        <v>11</v>
      </c>
      <c r="C100">
        <v>2020</v>
      </c>
      <c r="D100" t="s">
        <v>43</v>
      </c>
      <c r="E100" t="s">
        <v>985</v>
      </c>
      <c r="F100" t="s">
        <v>920</v>
      </c>
      <c r="G100">
        <v>24</v>
      </c>
    </row>
    <row r="101" spans="2:7">
      <c r="B101" s="12" t="s">
        <v>11</v>
      </c>
      <c r="C101">
        <v>2020</v>
      </c>
      <c r="D101" t="s">
        <v>43</v>
      </c>
      <c r="E101" t="s">
        <v>985</v>
      </c>
      <c r="F101" t="s">
        <v>983</v>
      </c>
      <c r="G101">
        <v>24</v>
      </c>
    </row>
    <row r="102" spans="2:7">
      <c r="B102" s="12" t="s">
        <v>11</v>
      </c>
      <c r="C102">
        <v>2020</v>
      </c>
      <c r="D102" t="s">
        <v>43</v>
      </c>
      <c r="E102" t="s">
        <v>985</v>
      </c>
      <c r="F102" t="s">
        <v>986</v>
      </c>
      <c r="G102">
        <v>24</v>
      </c>
    </row>
    <row r="103" spans="2:7">
      <c r="B103" s="12" t="s">
        <v>11</v>
      </c>
      <c r="C103">
        <v>2020</v>
      </c>
      <c r="D103" t="s">
        <v>43</v>
      </c>
      <c r="E103" t="s">
        <v>985</v>
      </c>
      <c r="F103" t="s">
        <v>987</v>
      </c>
      <c r="G103">
        <v>24</v>
      </c>
    </row>
    <row r="104" spans="2:7">
      <c r="B104" s="12" t="s">
        <v>11</v>
      </c>
      <c r="C104">
        <v>2020</v>
      </c>
      <c r="D104" t="s">
        <v>43</v>
      </c>
      <c r="E104" t="s">
        <v>985</v>
      </c>
      <c r="F104" t="s">
        <v>923</v>
      </c>
      <c r="G104">
        <v>24</v>
      </c>
    </row>
    <row r="105" spans="2:7">
      <c r="B105" s="12" t="s">
        <v>11</v>
      </c>
      <c r="C105">
        <v>2020</v>
      </c>
      <c r="D105" t="s">
        <v>45</v>
      </c>
      <c r="E105" t="s">
        <v>988</v>
      </c>
      <c r="F105" t="s">
        <v>915</v>
      </c>
      <c r="G105">
        <v>2</v>
      </c>
    </row>
    <row r="106" spans="2:7">
      <c r="B106" s="12" t="s">
        <v>11</v>
      </c>
      <c r="C106">
        <v>2020</v>
      </c>
      <c r="D106" t="s">
        <v>45</v>
      </c>
      <c r="E106" t="s">
        <v>988</v>
      </c>
      <c r="F106" t="s">
        <v>890</v>
      </c>
      <c r="G106">
        <v>2</v>
      </c>
    </row>
    <row r="107" spans="2:7">
      <c r="B107" s="12" t="s">
        <v>11</v>
      </c>
      <c r="C107">
        <v>2021</v>
      </c>
      <c r="D107" t="s">
        <v>28</v>
      </c>
      <c r="E107" t="s">
        <v>989</v>
      </c>
      <c r="F107" t="s">
        <v>990</v>
      </c>
      <c r="G107">
        <v>2</v>
      </c>
    </row>
    <row r="108" spans="2:7">
      <c r="B108" s="12" t="s">
        <v>11</v>
      </c>
      <c r="C108">
        <v>2021</v>
      </c>
      <c r="D108" t="s">
        <v>28</v>
      </c>
      <c r="E108" t="s">
        <v>989</v>
      </c>
      <c r="F108" t="s">
        <v>991</v>
      </c>
      <c r="G108">
        <v>2</v>
      </c>
    </row>
    <row r="109" spans="2:7">
      <c r="B109" s="12" t="s">
        <v>11</v>
      </c>
      <c r="C109">
        <v>2021</v>
      </c>
      <c r="D109" t="s">
        <v>28</v>
      </c>
      <c r="E109" t="s">
        <v>989</v>
      </c>
      <c r="F109" t="s">
        <v>992</v>
      </c>
      <c r="G109">
        <v>2</v>
      </c>
    </row>
    <row r="110" spans="2:7">
      <c r="B110" s="12" t="s">
        <v>11</v>
      </c>
      <c r="C110">
        <v>2021</v>
      </c>
      <c r="D110" t="s">
        <v>28</v>
      </c>
      <c r="E110" t="s">
        <v>989</v>
      </c>
      <c r="F110" t="s">
        <v>993</v>
      </c>
      <c r="G110">
        <v>2</v>
      </c>
    </row>
    <row r="111" spans="2:7">
      <c r="B111" s="12" t="s">
        <v>11</v>
      </c>
      <c r="C111">
        <v>2021</v>
      </c>
      <c r="D111" t="s">
        <v>28</v>
      </c>
      <c r="E111" t="s">
        <v>989</v>
      </c>
      <c r="F111" t="s">
        <v>982</v>
      </c>
      <c r="G111">
        <v>2</v>
      </c>
    </row>
    <row r="112" spans="2:7">
      <c r="B112" s="12" t="s">
        <v>11</v>
      </c>
      <c r="C112">
        <v>2021</v>
      </c>
      <c r="D112" t="s">
        <v>28</v>
      </c>
      <c r="E112" t="s">
        <v>989</v>
      </c>
      <c r="F112" t="s">
        <v>994</v>
      </c>
      <c r="G112">
        <v>2</v>
      </c>
    </row>
    <row r="113" spans="2:7">
      <c r="B113" s="12" t="s">
        <v>11</v>
      </c>
      <c r="C113">
        <v>2021</v>
      </c>
      <c r="D113" t="s">
        <v>28</v>
      </c>
      <c r="E113" t="s">
        <v>989</v>
      </c>
      <c r="F113" t="s">
        <v>995</v>
      </c>
      <c r="G113">
        <v>2</v>
      </c>
    </row>
    <row r="114" spans="2:7">
      <c r="B114" s="12" t="s">
        <v>11</v>
      </c>
      <c r="C114">
        <v>2021</v>
      </c>
      <c r="D114" t="s">
        <v>28</v>
      </c>
      <c r="E114" t="s">
        <v>989</v>
      </c>
      <c r="F114" t="s">
        <v>918</v>
      </c>
      <c r="G114">
        <v>2</v>
      </c>
    </row>
    <row r="115" spans="2:7">
      <c r="B115" s="12" t="s">
        <v>11</v>
      </c>
      <c r="C115">
        <v>2021</v>
      </c>
      <c r="D115" t="s">
        <v>28</v>
      </c>
      <c r="E115" t="s">
        <v>989</v>
      </c>
      <c r="F115" t="s">
        <v>915</v>
      </c>
      <c r="G115">
        <v>2</v>
      </c>
    </row>
    <row r="116" spans="2:7">
      <c r="B116" s="12" t="s">
        <v>11</v>
      </c>
      <c r="C116">
        <v>2021</v>
      </c>
      <c r="D116" t="s">
        <v>28</v>
      </c>
      <c r="E116" t="s">
        <v>989</v>
      </c>
      <c r="F116" t="s">
        <v>890</v>
      </c>
      <c r="G116">
        <v>2</v>
      </c>
    </row>
    <row r="117" spans="2:7">
      <c r="B117" s="12" t="s">
        <v>11</v>
      </c>
      <c r="C117">
        <v>2021</v>
      </c>
      <c r="D117" t="s">
        <v>31</v>
      </c>
      <c r="E117" t="s">
        <v>996</v>
      </c>
      <c r="F117" t="s">
        <v>889</v>
      </c>
      <c r="G117">
        <v>2</v>
      </c>
    </row>
    <row r="118" spans="2:7">
      <c r="B118" s="12" t="s">
        <v>11</v>
      </c>
      <c r="C118">
        <v>2021</v>
      </c>
      <c r="D118" t="s">
        <v>31</v>
      </c>
      <c r="E118" t="s">
        <v>996</v>
      </c>
      <c r="F118" t="s">
        <v>915</v>
      </c>
      <c r="G118">
        <v>2</v>
      </c>
    </row>
    <row r="119" spans="2:7">
      <c r="B119" s="12" t="s">
        <v>11</v>
      </c>
      <c r="C119">
        <v>2021</v>
      </c>
      <c r="D119" t="s">
        <v>31</v>
      </c>
      <c r="E119" t="s">
        <v>996</v>
      </c>
      <c r="F119" t="s">
        <v>890</v>
      </c>
      <c r="G119">
        <v>2</v>
      </c>
    </row>
    <row r="120" spans="2:7">
      <c r="B120" s="12" t="s">
        <v>11</v>
      </c>
      <c r="C120">
        <v>2021</v>
      </c>
      <c r="D120" t="s">
        <v>997</v>
      </c>
      <c r="E120" t="s">
        <v>998</v>
      </c>
      <c r="F120" t="s">
        <v>890</v>
      </c>
      <c r="G120">
        <v>2</v>
      </c>
    </row>
    <row r="121" spans="2:7">
      <c r="B121" s="12" t="s">
        <v>11</v>
      </c>
      <c r="C121">
        <v>2021</v>
      </c>
      <c r="D121" t="s">
        <v>997</v>
      </c>
      <c r="E121" t="s">
        <v>998</v>
      </c>
      <c r="F121" t="s">
        <v>999</v>
      </c>
      <c r="G121">
        <v>2</v>
      </c>
    </row>
    <row r="122" spans="2:7">
      <c r="B122" s="12" t="s">
        <v>11</v>
      </c>
      <c r="C122">
        <v>2021</v>
      </c>
      <c r="D122" t="s">
        <v>997</v>
      </c>
      <c r="E122" t="s">
        <v>998</v>
      </c>
      <c r="F122" t="s">
        <v>1000</v>
      </c>
      <c r="G122">
        <v>2</v>
      </c>
    </row>
    <row r="123" spans="2:7">
      <c r="B123" s="12" t="s">
        <v>11</v>
      </c>
      <c r="C123">
        <v>2021</v>
      </c>
      <c r="D123" t="s">
        <v>997</v>
      </c>
      <c r="E123" t="s">
        <v>998</v>
      </c>
      <c r="F123" t="s">
        <v>1001</v>
      </c>
      <c r="G123">
        <v>2</v>
      </c>
    </row>
    <row r="124" spans="2:7">
      <c r="B124" s="12" t="s">
        <v>11</v>
      </c>
      <c r="C124">
        <v>2021</v>
      </c>
      <c r="D124" t="s">
        <v>997</v>
      </c>
      <c r="E124" t="s">
        <v>998</v>
      </c>
      <c r="F124" t="s">
        <v>909</v>
      </c>
      <c r="G124">
        <v>2</v>
      </c>
    </row>
    <row r="125" spans="2:7">
      <c r="B125" s="12" t="s">
        <v>11</v>
      </c>
      <c r="C125">
        <v>2021</v>
      </c>
      <c r="D125" t="s">
        <v>997</v>
      </c>
      <c r="E125" t="s">
        <v>998</v>
      </c>
      <c r="F125" t="s">
        <v>896</v>
      </c>
      <c r="G125">
        <v>2</v>
      </c>
    </row>
    <row r="126" spans="2:7">
      <c r="B126" s="12" t="s">
        <v>11</v>
      </c>
      <c r="C126">
        <v>2021</v>
      </c>
      <c r="D126" t="s">
        <v>997</v>
      </c>
      <c r="E126" t="s">
        <v>998</v>
      </c>
      <c r="F126" t="s">
        <v>1002</v>
      </c>
      <c r="G126">
        <v>2</v>
      </c>
    </row>
    <row r="127" spans="2:7">
      <c r="B127" s="12" t="s">
        <v>11</v>
      </c>
      <c r="C127">
        <v>2021</v>
      </c>
      <c r="D127" t="s">
        <v>997</v>
      </c>
      <c r="E127" t="s">
        <v>998</v>
      </c>
      <c r="F127" t="s">
        <v>1003</v>
      </c>
      <c r="G127">
        <v>2</v>
      </c>
    </row>
    <row r="128" spans="2:7">
      <c r="B128" s="12" t="s">
        <v>11</v>
      </c>
      <c r="C128">
        <v>2021</v>
      </c>
      <c r="D128" t="s">
        <v>997</v>
      </c>
      <c r="E128" t="s">
        <v>998</v>
      </c>
      <c r="F128" t="s">
        <v>925</v>
      </c>
      <c r="G128">
        <v>2</v>
      </c>
    </row>
    <row r="129" spans="2:7">
      <c r="B129" s="12" t="s">
        <v>11</v>
      </c>
      <c r="C129">
        <v>2021</v>
      </c>
      <c r="D129" t="s">
        <v>997</v>
      </c>
      <c r="E129" t="s">
        <v>998</v>
      </c>
      <c r="F129" t="s">
        <v>922</v>
      </c>
      <c r="G129">
        <v>2</v>
      </c>
    </row>
    <row r="130" spans="2:7">
      <c r="B130" s="12" t="s">
        <v>11</v>
      </c>
      <c r="C130">
        <v>2021</v>
      </c>
      <c r="D130" t="s">
        <v>997</v>
      </c>
      <c r="E130" t="s">
        <v>998</v>
      </c>
      <c r="F130" t="s">
        <v>1004</v>
      </c>
      <c r="G130">
        <v>2</v>
      </c>
    </row>
    <row r="131" spans="2:7">
      <c r="B131" s="12" t="s">
        <v>11</v>
      </c>
      <c r="C131">
        <v>2021</v>
      </c>
      <c r="D131" t="s">
        <v>997</v>
      </c>
      <c r="E131" t="s">
        <v>998</v>
      </c>
      <c r="F131" t="s">
        <v>918</v>
      </c>
      <c r="G131">
        <v>2</v>
      </c>
    </row>
    <row r="132" spans="2:7">
      <c r="B132" s="12" t="s">
        <v>11</v>
      </c>
      <c r="C132">
        <v>2021</v>
      </c>
      <c r="D132" t="s">
        <v>997</v>
      </c>
      <c r="E132" t="s">
        <v>998</v>
      </c>
      <c r="F132" t="s">
        <v>920</v>
      </c>
      <c r="G132">
        <v>2</v>
      </c>
    </row>
    <row r="133" spans="2:7">
      <c r="B133" s="12" t="s">
        <v>11</v>
      </c>
      <c r="C133">
        <v>2021</v>
      </c>
      <c r="D133" t="s">
        <v>997</v>
      </c>
      <c r="E133" t="s">
        <v>998</v>
      </c>
      <c r="F133" t="s">
        <v>1005</v>
      </c>
      <c r="G133">
        <v>2</v>
      </c>
    </row>
    <row r="134" spans="2:7">
      <c r="B134" s="12" t="s">
        <v>11</v>
      </c>
      <c r="C134">
        <v>2021</v>
      </c>
      <c r="D134" t="s">
        <v>997</v>
      </c>
      <c r="E134" t="s">
        <v>998</v>
      </c>
      <c r="F134" t="s">
        <v>1006</v>
      </c>
      <c r="G134">
        <v>2</v>
      </c>
    </row>
    <row r="135" spans="2:7">
      <c r="B135" s="12" t="s">
        <v>11</v>
      </c>
      <c r="C135">
        <v>2021</v>
      </c>
      <c r="D135" t="s">
        <v>997</v>
      </c>
      <c r="E135" t="s">
        <v>998</v>
      </c>
      <c r="F135" t="s">
        <v>1007</v>
      </c>
      <c r="G135">
        <v>2</v>
      </c>
    </row>
    <row r="136" spans="2:7">
      <c r="B136" s="12" t="s">
        <v>11</v>
      </c>
      <c r="C136">
        <v>2021</v>
      </c>
      <c r="D136" t="s">
        <v>997</v>
      </c>
      <c r="E136" t="s">
        <v>998</v>
      </c>
      <c r="F136" t="s">
        <v>1008</v>
      </c>
      <c r="G136">
        <v>2</v>
      </c>
    </row>
    <row r="137" spans="2:7">
      <c r="B137" s="12" t="s">
        <v>11</v>
      </c>
      <c r="C137">
        <v>2021</v>
      </c>
      <c r="D137" t="s">
        <v>997</v>
      </c>
      <c r="E137" t="s">
        <v>998</v>
      </c>
      <c r="F137" t="s">
        <v>1009</v>
      </c>
      <c r="G137">
        <v>2</v>
      </c>
    </row>
    <row r="138" spans="2:7">
      <c r="B138" s="12" t="s">
        <v>11</v>
      </c>
      <c r="C138">
        <v>2021</v>
      </c>
      <c r="D138" t="s">
        <v>997</v>
      </c>
      <c r="E138" t="s">
        <v>998</v>
      </c>
      <c r="F138" t="s">
        <v>889</v>
      </c>
      <c r="G138">
        <v>2</v>
      </c>
    </row>
    <row r="139" spans="2:7">
      <c r="B139" s="12" t="s">
        <v>11</v>
      </c>
      <c r="C139">
        <v>2021</v>
      </c>
      <c r="D139" t="s">
        <v>997</v>
      </c>
      <c r="E139" t="s">
        <v>998</v>
      </c>
      <c r="F139" t="s">
        <v>894</v>
      </c>
      <c r="G139">
        <v>2</v>
      </c>
    </row>
    <row r="140" spans="2:7">
      <c r="B140" s="12" t="s">
        <v>11</v>
      </c>
      <c r="C140">
        <v>2021</v>
      </c>
      <c r="D140" t="s">
        <v>997</v>
      </c>
      <c r="E140" t="s">
        <v>998</v>
      </c>
      <c r="F140" t="s">
        <v>1010</v>
      </c>
      <c r="G140">
        <v>2</v>
      </c>
    </row>
    <row r="141" spans="2:7">
      <c r="B141" s="12" t="s">
        <v>11</v>
      </c>
      <c r="C141">
        <v>2021</v>
      </c>
      <c r="D141" t="s">
        <v>997</v>
      </c>
      <c r="E141" t="s">
        <v>998</v>
      </c>
      <c r="F141" t="s">
        <v>982</v>
      </c>
      <c r="G141">
        <v>2</v>
      </c>
    </row>
    <row r="142" spans="2:7">
      <c r="B142" s="12" t="s">
        <v>11</v>
      </c>
      <c r="C142">
        <v>2021</v>
      </c>
      <c r="D142" t="s">
        <v>997</v>
      </c>
      <c r="E142" t="s">
        <v>998</v>
      </c>
      <c r="F142" t="s">
        <v>923</v>
      </c>
      <c r="G142">
        <v>2</v>
      </c>
    </row>
    <row r="143" spans="2:7">
      <c r="B143" s="12" t="s">
        <v>11</v>
      </c>
      <c r="C143">
        <v>2021</v>
      </c>
      <c r="D143" t="s">
        <v>997</v>
      </c>
      <c r="E143" t="s">
        <v>998</v>
      </c>
      <c r="F143" t="s">
        <v>1011</v>
      </c>
      <c r="G143">
        <v>2</v>
      </c>
    </row>
    <row r="144" spans="2:7">
      <c r="B144" s="12" t="s">
        <v>11</v>
      </c>
      <c r="C144">
        <v>2021</v>
      </c>
      <c r="D144" t="s">
        <v>997</v>
      </c>
      <c r="E144" t="s">
        <v>998</v>
      </c>
      <c r="F144" t="s">
        <v>895</v>
      </c>
      <c r="G144">
        <v>2</v>
      </c>
    </row>
    <row r="145" spans="2:7">
      <c r="B145" s="12" t="s">
        <v>11</v>
      </c>
      <c r="C145">
        <v>2021</v>
      </c>
      <c r="D145" t="s">
        <v>997</v>
      </c>
      <c r="E145" t="s">
        <v>998</v>
      </c>
      <c r="F145" t="s">
        <v>1012</v>
      </c>
      <c r="G145">
        <v>2</v>
      </c>
    </row>
    <row r="146" spans="2:7">
      <c r="B146" s="12" t="s">
        <v>11</v>
      </c>
      <c r="C146">
        <v>2021</v>
      </c>
      <c r="D146" t="s">
        <v>997</v>
      </c>
      <c r="E146" t="s">
        <v>998</v>
      </c>
      <c r="F146" t="s">
        <v>1013</v>
      </c>
      <c r="G146">
        <v>2</v>
      </c>
    </row>
    <row r="147" spans="2:7">
      <c r="B147" s="12" t="s">
        <v>11</v>
      </c>
      <c r="C147">
        <v>2021</v>
      </c>
      <c r="D147" t="s">
        <v>997</v>
      </c>
      <c r="E147" t="s">
        <v>998</v>
      </c>
      <c r="F147" t="s">
        <v>1014</v>
      </c>
      <c r="G147">
        <v>2</v>
      </c>
    </row>
    <row r="148" spans="2:7">
      <c r="B148" s="12" t="s">
        <v>11</v>
      </c>
      <c r="C148">
        <v>2021</v>
      </c>
      <c r="D148" t="s">
        <v>997</v>
      </c>
      <c r="E148" t="s">
        <v>998</v>
      </c>
      <c r="F148" t="s">
        <v>1015</v>
      </c>
      <c r="G148">
        <v>2</v>
      </c>
    </row>
    <row r="149" spans="2:7">
      <c r="B149" s="12" t="s">
        <v>11</v>
      </c>
      <c r="C149">
        <v>2021</v>
      </c>
      <c r="D149" t="s">
        <v>997</v>
      </c>
      <c r="E149" t="s">
        <v>998</v>
      </c>
      <c r="F149" t="s">
        <v>1016</v>
      </c>
      <c r="G149">
        <v>2</v>
      </c>
    </row>
    <row r="150" spans="2:7">
      <c r="B150" s="12" t="s">
        <v>11</v>
      </c>
      <c r="C150">
        <v>2021</v>
      </c>
      <c r="D150" t="s">
        <v>997</v>
      </c>
      <c r="E150" t="s">
        <v>998</v>
      </c>
      <c r="F150" t="s">
        <v>1017</v>
      </c>
      <c r="G150">
        <v>2</v>
      </c>
    </row>
    <row r="151" spans="2:7">
      <c r="B151" s="12" t="s">
        <v>11</v>
      </c>
      <c r="C151">
        <v>2021</v>
      </c>
      <c r="D151" t="s">
        <v>1018</v>
      </c>
      <c r="E151" t="s">
        <v>1019</v>
      </c>
      <c r="F151" t="s">
        <v>1020</v>
      </c>
      <c r="G151">
        <v>40</v>
      </c>
    </row>
    <row r="152" spans="2:7">
      <c r="B152" s="12" t="s">
        <v>11</v>
      </c>
      <c r="C152">
        <v>2021</v>
      </c>
      <c r="D152" t="s">
        <v>1018</v>
      </c>
      <c r="E152" t="s">
        <v>1021</v>
      </c>
      <c r="F152" t="s">
        <v>1022</v>
      </c>
      <c r="G152">
        <v>40</v>
      </c>
    </row>
    <row r="153" spans="2:7">
      <c r="B153" s="12" t="s">
        <v>11</v>
      </c>
      <c r="C153">
        <v>2021</v>
      </c>
      <c r="D153" t="s">
        <v>1018</v>
      </c>
      <c r="E153" t="s">
        <v>1023</v>
      </c>
      <c r="F153" t="s">
        <v>1022</v>
      </c>
      <c r="G153">
        <v>40</v>
      </c>
    </row>
    <row r="154" spans="2:7">
      <c r="B154" s="12" t="s">
        <v>11</v>
      </c>
      <c r="C154">
        <v>2021</v>
      </c>
      <c r="D154" t="s">
        <v>38</v>
      </c>
      <c r="E154" t="s">
        <v>1024</v>
      </c>
      <c r="F154" t="s">
        <v>1025</v>
      </c>
      <c r="G154">
        <v>1</v>
      </c>
    </row>
    <row r="155" spans="2:7">
      <c r="B155" s="12" t="s">
        <v>11</v>
      </c>
      <c r="C155">
        <v>2021</v>
      </c>
      <c r="D155" t="s">
        <v>38</v>
      </c>
      <c r="E155" t="s">
        <v>1024</v>
      </c>
      <c r="F155" t="s">
        <v>1026</v>
      </c>
      <c r="G155">
        <v>1</v>
      </c>
    </row>
    <row r="156" spans="2:7">
      <c r="B156" s="12" t="s">
        <v>11</v>
      </c>
      <c r="C156">
        <v>2021</v>
      </c>
      <c r="D156" t="s">
        <v>38</v>
      </c>
      <c r="E156" t="s">
        <v>1024</v>
      </c>
      <c r="F156" t="s">
        <v>920</v>
      </c>
      <c r="G156">
        <v>1</v>
      </c>
    </row>
    <row r="157" spans="2:7">
      <c r="B157" s="12" t="s">
        <v>11</v>
      </c>
      <c r="C157">
        <v>2021</v>
      </c>
      <c r="D157" t="s">
        <v>38</v>
      </c>
      <c r="E157" t="s">
        <v>1024</v>
      </c>
      <c r="F157" t="s">
        <v>1027</v>
      </c>
      <c r="G157">
        <v>1</v>
      </c>
    </row>
    <row r="158" spans="2:7">
      <c r="B158" s="12" t="s">
        <v>11</v>
      </c>
      <c r="C158">
        <v>2021</v>
      </c>
      <c r="D158" t="s">
        <v>38</v>
      </c>
      <c r="E158" t="s">
        <v>1024</v>
      </c>
      <c r="F158" t="s">
        <v>1028</v>
      </c>
      <c r="G158">
        <v>1</v>
      </c>
    </row>
    <row r="159" spans="2:7">
      <c r="B159" s="12" t="s">
        <v>11</v>
      </c>
      <c r="C159">
        <v>2021</v>
      </c>
      <c r="D159" t="s">
        <v>38</v>
      </c>
      <c r="E159" t="s">
        <v>1024</v>
      </c>
      <c r="F159" t="s">
        <v>999</v>
      </c>
      <c r="G159">
        <v>1</v>
      </c>
    </row>
    <row r="160" spans="2:7">
      <c r="B160" s="12" t="s">
        <v>11</v>
      </c>
      <c r="C160">
        <v>2021</v>
      </c>
      <c r="D160" t="s">
        <v>38</v>
      </c>
      <c r="E160" t="s">
        <v>1024</v>
      </c>
      <c r="F160" t="s">
        <v>889</v>
      </c>
      <c r="G160">
        <v>1</v>
      </c>
    </row>
    <row r="161" spans="2:7">
      <c r="B161" s="12" t="s">
        <v>11</v>
      </c>
      <c r="C161">
        <v>2021</v>
      </c>
      <c r="D161" t="s">
        <v>38</v>
      </c>
      <c r="E161" t="s">
        <v>1024</v>
      </c>
      <c r="F161" t="s">
        <v>1003</v>
      </c>
      <c r="G161">
        <v>1</v>
      </c>
    </row>
    <row r="162" spans="2:7">
      <c r="B162" s="12" t="s">
        <v>11</v>
      </c>
      <c r="C162">
        <v>2021</v>
      </c>
      <c r="D162" t="s">
        <v>38</v>
      </c>
      <c r="E162" t="s">
        <v>1024</v>
      </c>
      <c r="F162" t="s">
        <v>1029</v>
      </c>
      <c r="G162">
        <v>1</v>
      </c>
    </row>
    <row r="163" spans="2:7">
      <c r="B163" s="12" t="s">
        <v>11</v>
      </c>
      <c r="C163">
        <v>2021</v>
      </c>
      <c r="D163" t="s">
        <v>38</v>
      </c>
      <c r="E163" t="s">
        <v>1024</v>
      </c>
      <c r="F163" t="s">
        <v>1030</v>
      </c>
      <c r="G163">
        <v>1</v>
      </c>
    </row>
    <row r="164" spans="2:7">
      <c r="B164" s="12" t="s">
        <v>11</v>
      </c>
      <c r="C164">
        <v>2021</v>
      </c>
      <c r="D164" t="s">
        <v>38</v>
      </c>
      <c r="E164" t="s">
        <v>1024</v>
      </c>
      <c r="F164" t="s">
        <v>1031</v>
      </c>
      <c r="G164">
        <v>1</v>
      </c>
    </row>
    <row r="165" spans="2:7">
      <c r="B165" s="12" t="s">
        <v>11</v>
      </c>
      <c r="C165">
        <v>2021</v>
      </c>
      <c r="D165" t="s">
        <v>38</v>
      </c>
      <c r="E165" t="s">
        <v>1024</v>
      </c>
      <c r="F165" t="s">
        <v>1032</v>
      </c>
      <c r="G165">
        <v>1</v>
      </c>
    </row>
    <row r="166" spans="2:7">
      <c r="B166" s="12" t="s">
        <v>11</v>
      </c>
      <c r="C166">
        <v>2021</v>
      </c>
      <c r="D166" t="s">
        <v>38</v>
      </c>
      <c r="E166" t="s">
        <v>1024</v>
      </c>
      <c r="F166" t="s">
        <v>1033</v>
      </c>
      <c r="G166">
        <v>1</v>
      </c>
    </row>
    <row r="167" spans="2:7">
      <c r="B167" s="12" t="s">
        <v>11</v>
      </c>
      <c r="C167">
        <v>2021</v>
      </c>
      <c r="D167" t="s">
        <v>38</v>
      </c>
      <c r="E167" t="s">
        <v>1024</v>
      </c>
      <c r="F167" t="s">
        <v>1034</v>
      </c>
      <c r="G167">
        <v>1</v>
      </c>
    </row>
    <row r="168" spans="2:7">
      <c r="B168" s="12" t="s">
        <v>11</v>
      </c>
      <c r="C168">
        <v>2021</v>
      </c>
      <c r="D168" t="s">
        <v>38</v>
      </c>
      <c r="E168" t="s">
        <v>1024</v>
      </c>
      <c r="F168" t="s">
        <v>983</v>
      </c>
      <c r="G168">
        <v>1</v>
      </c>
    </row>
    <row r="169" spans="2:7">
      <c r="B169" s="12" t="s">
        <v>11</v>
      </c>
      <c r="C169">
        <v>2021</v>
      </c>
      <c r="D169" t="s">
        <v>38</v>
      </c>
      <c r="E169" t="s">
        <v>1024</v>
      </c>
      <c r="F169" t="s">
        <v>1035</v>
      </c>
      <c r="G169">
        <v>1</v>
      </c>
    </row>
    <row r="170" spans="2:7">
      <c r="B170" s="12" t="s">
        <v>11</v>
      </c>
      <c r="C170">
        <v>2021</v>
      </c>
      <c r="D170" t="s">
        <v>38</v>
      </c>
      <c r="E170" t="s">
        <v>1024</v>
      </c>
      <c r="F170" t="s">
        <v>980</v>
      </c>
      <c r="G170">
        <v>1</v>
      </c>
    </row>
    <row r="171" spans="2:7">
      <c r="B171" s="12" t="s">
        <v>11</v>
      </c>
      <c r="C171">
        <v>2021</v>
      </c>
      <c r="D171" t="s">
        <v>38</v>
      </c>
      <c r="E171" t="s">
        <v>1024</v>
      </c>
      <c r="F171" t="s">
        <v>909</v>
      </c>
      <c r="G171">
        <v>1</v>
      </c>
    </row>
    <row r="172" spans="2:7">
      <c r="B172" s="12" t="s">
        <v>11</v>
      </c>
      <c r="C172">
        <v>2021</v>
      </c>
      <c r="D172" t="s">
        <v>38</v>
      </c>
      <c r="E172" t="s">
        <v>1024</v>
      </c>
      <c r="F172" t="s">
        <v>901</v>
      </c>
      <c r="G172">
        <v>1</v>
      </c>
    </row>
    <row r="173" spans="2:7">
      <c r="B173" s="12" t="s">
        <v>11</v>
      </c>
      <c r="C173">
        <v>2021</v>
      </c>
      <c r="D173" t="s">
        <v>38</v>
      </c>
      <c r="E173" t="s">
        <v>1024</v>
      </c>
      <c r="F173" t="s">
        <v>1012</v>
      </c>
      <c r="G173">
        <v>1</v>
      </c>
    </row>
    <row r="174" spans="2:7">
      <c r="B174" s="12" t="s">
        <v>11</v>
      </c>
      <c r="C174">
        <v>2021</v>
      </c>
      <c r="D174" t="s">
        <v>38</v>
      </c>
      <c r="E174" t="s">
        <v>1024</v>
      </c>
      <c r="F174" t="s">
        <v>1036</v>
      </c>
      <c r="G174">
        <v>1</v>
      </c>
    </row>
    <row r="175" spans="2:7">
      <c r="B175" s="12" t="s">
        <v>11</v>
      </c>
      <c r="C175">
        <v>2021</v>
      </c>
      <c r="D175" t="s">
        <v>38</v>
      </c>
      <c r="E175" t="s">
        <v>1024</v>
      </c>
      <c r="F175" t="s">
        <v>1037</v>
      </c>
      <c r="G175">
        <v>1</v>
      </c>
    </row>
    <row r="176" spans="2:7">
      <c r="B176" s="12" t="s">
        <v>11</v>
      </c>
      <c r="C176">
        <v>2021</v>
      </c>
      <c r="D176" t="s">
        <v>38</v>
      </c>
      <c r="E176" t="s">
        <v>1024</v>
      </c>
      <c r="F176" t="s">
        <v>904</v>
      </c>
      <c r="G176">
        <v>1</v>
      </c>
    </row>
    <row r="177" spans="2:7">
      <c r="B177" s="12" t="s">
        <v>11</v>
      </c>
      <c r="C177">
        <v>2021</v>
      </c>
      <c r="D177" t="s">
        <v>38</v>
      </c>
      <c r="E177" t="s">
        <v>1024</v>
      </c>
      <c r="F177" t="s">
        <v>1038</v>
      </c>
      <c r="G177">
        <v>1</v>
      </c>
    </row>
    <row r="178" spans="2:7">
      <c r="B178" s="12" t="s">
        <v>11</v>
      </c>
      <c r="C178">
        <v>2021</v>
      </c>
      <c r="D178" t="s">
        <v>38</v>
      </c>
      <c r="E178" t="s">
        <v>1024</v>
      </c>
      <c r="F178" t="s">
        <v>1039</v>
      </c>
      <c r="G178">
        <v>1</v>
      </c>
    </row>
    <row r="179" spans="2:7">
      <c r="B179" s="12" t="s">
        <v>11</v>
      </c>
      <c r="C179">
        <v>2021</v>
      </c>
      <c r="D179" t="s">
        <v>38</v>
      </c>
      <c r="E179" t="s">
        <v>1024</v>
      </c>
      <c r="F179" t="s">
        <v>913</v>
      </c>
      <c r="G179">
        <v>1</v>
      </c>
    </row>
    <row r="180" spans="2:7">
      <c r="B180" s="12" t="s">
        <v>11</v>
      </c>
      <c r="C180">
        <v>2021</v>
      </c>
      <c r="D180" t="s">
        <v>38</v>
      </c>
      <c r="E180" t="s">
        <v>1024</v>
      </c>
      <c r="F180" t="s">
        <v>1040</v>
      </c>
      <c r="G180">
        <v>1</v>
      </c>
    </row>
    <row r="181" spans="2:7">
      <c r="B181" s="12" t="s">
        <v>11</v>
      </c>
      <c r="C181">
        <v>2021</v>
      </c>
      <c r="D181" t="s">
        <v>38</v>
      </c>
      <c r="E181" t="s">
        <v>1024</v>
      </c>
      <c r="F181" t="s">
        <v>1041</v>
      </c>
      <c r="G181">
        <v>1</v>
      </c>
    </row>
    <row r="182" spans="2:7">
      <c r="B182" s="12" t="s">
        <v>11</v>
      </c>
      <c r="C182">
        <v>2021</v>
      </c>
      <c r="D182" t="s">
        <v>38</v>
      </c>
      <c r="E182" t="s">
        <v>1024</v>
      </c>
      <c r="F182" t="s">
        <v>1042</v>
      </c>
      <c r="G182">
        <v>1</v>
      </c>
    </row>
    <row r="183" spans="2:7">
      <c r="B183" s="12" t="s">
        <v>11</v>
      </c>
      <c r="C183">
        <v>2021</v>
      </c>
      <c r="D183" t="s">
        <v>38</v>
      </c>
      <c r="E183" t="s">
        <v>1024</v>
      </c>
      <c r="F183" t="s">
        <v>1043</v>
      </c>
      <c r="G183">
        <v>1</v>
      </c>
    </row>
    <row r="184" spans="2:7">
      <c r="B184" s="12" t="s">
        <v>11</v>
      </c>
      <c r="C184">
        <v>2021</v>
      </c>
      <c r="D184" t="s">
        <v>38</v>
      </c>
      <c r="E184" t="s">
        <v>1024</v>
      </c>
      <c r="F184" t="s">
        <v>1044</v>
      </c>
      <c r="G184">
        <v>1</v>
      </c>
    </row>
    <row r="185" spans="2:7">
      <c r="B185" s="12" t="s">
        <v>11</v>
      </c>
      <c r="C185">
        <v>2021</v>
      </c>
      <c r="D185" t="s">
        <v>38</v>
      </c>
      <c r="E185" t="s">
        <v>1024</v>
      </c>
      <c r="F185" t="s">
        <v>1045</v>
      </c>
      <c r="G185">
        <v>1</v>
      </c>
    </row>
    <row r="186" spans="2:7">
      <c r="B186" s="12" t="s">
        <v>11</v>
      </c>
      <c r="C186">
        <v>2021</v>
      </c>
      <c r="D186" t="s">
        <v>38</v>
      </c>
      <c r="E186" t="s">
        <v>1024</v>
      </c>
      <c r="F186" t="s">
        <v>896</v>
      </c>
      <c r="G186">
        <v>1</v>
      </c>
    </row>
    <row r="187" spans="2:7">
      <c r="B187" s="12" t="s">
        <v>11</v>
      </c>
      <c r="C187">
        <v>2021</v>
      </c>
      <c r="D187" t="s">
        <v>38</v>
      </c>
      <c r="E187" t="s">
        <v>1024</v>
      </c>
      <c r="F187" t="s">
        <v>1046</v>
      </c>
      <c r="G187">
        <v>1</v>
      </c>
    </row>
    <row r="188" spans="2:7">
      <c r="B188" s="12" t="s">
        <v>11</v>
      </c>
      <c r="C188">
        <v>2021</v>
      </c>
      <c r="D188" t="s">
        <v>38</v>
      </c>
      <c r="E188" t="s">
        <v>1024</v>
      </c>
      <c r="F188" t="s">
        <v>923</v>
      </c>
      <c r="G188">
        <v>1</v>
      </c>
    </row>
    <row r="189" spans="2:7">
      <c r="B189" s="12" t="s">
        <v>11</v>
      </c>
      <c r="C189">
        <v>2021</v>
      </c>
      <c r="D189" t="s">
        <v>38</v>
      </c>
      <c r="E189" t="s">
        <v>1024</v>
      </c>
      <c r="F189" t="s">
        <v>895</v>
      </c>
      <c r="G189">
        <v>1</v>
      </c>
    </row>
    <row r="190" spans="2:7">
      <c r="B190" s="12" t="s">
        <v>11</v>
      </c>
      <c r="C190">
        <v>2021</v>
      </c>
      <c r="D190" t="s">
        <v>38</v>
      </c>
      <c r="E190" t="s">
        <v>1024</v>
      </c>
      <c r="F190" t="s">
        <v>1047</v>
      </c>
      <c r="G190">
        <v>1</v>
      </c>
    </row>
    <row r="191" spans="2:7">
      <c r="B191" s="12" t="s">
        <v>11</v>
      </c>
      <c r="C191">
        <v>2021</v>
      </c>
      <c r="D191" t="s">
        <v>38</v>
      </c>
      <c r="E191" t="s">
        <v>1024</v>
      </c>
      <c r="F191" t="s">
        <v>922</v>
      </c>
      <c r="G191">
        <v>1</v>
      </c>
    </row>
    <row r="192" spans="2:7">
      <c r="B192" s="12" t="s">
        <v>11</v>
      </c>
      <c r="C192">
        <v>2021</v>
      </c>
      <c r="D192" t="s">
        <v>38</v>
      </c>
      <c r="E192" t="s">
        <v>1024</v>
      </c>
      <c r="F192" t="s">
        <v>918</v>
      </c>
      <c r="G192">
        <v>1</v>
      </c>
    </row>
    <row r="193" spans="2:7">
      <c r="B193" s="12" t="s">
        <v>11</v>
      </c>
      <c r="C193">
        <v>2021</v>
      </c>
      <c r="D193" t="s">
        <v>38</v>
      </c>
      <c r="E193" t="s">
        <v>1024</v>
      </c>
      <c r="F193" t="s">
        <v>1048</v>
      </c>
      <c r="G193">
        <v>1</v>
      </c>
    </row>
    <row r="194" spans="2:7">
      <c r="B194" s="12" t="s">
        <v>11</v>
      </c>
      <c r="C194">
        <v>2021</v>
      </c>
      <c r="D194" t="s">
        <v>38</v>
      </c>
      <c r="E194" t="s">
        <v>1024</v>
      </c>
      <c r="F194" t="s">
        <v>1049</v>
      </c>
      <c r="G194">
        <v>1</v>
      </c>
    </row>
    <row r="195" spans="2:7">
      <c r="B195" s="12" t="s">
        <v>11</v>
      </c>
      <c r="C195">
        <v>2021</v>
      </c>
      <c r="D195" t="s">
        <v>38</v>
      </c>
      <c r="E195" t="s">
        <v>1024</v>
      </c>
      <c r="F195" t="s">
        <v>1050</v>
      </c>
      <c r="G195">
        <v>1</v>
      </c>
    </row>
    <row r="196" spans="2:7">
      <c r="B196" s="12" t="s">
        <v>11</v>
      </c>
      <c r="C196">
        <v>2021</v>
      </c>
      <c r="D196" t="s">
        <v>38</v>
      </c>
      <c r="E196" t="s">
        <v>1024</v>
      </c>
      <c r="F196" t="s">
        <v>898</v>
      </c>
      <c r="G196">
        <v>1</v>
      </c>
    </row>
    <row r="197" spans="2:7">
      <c r="B197" s="12" t="s">
        <v>11</v>
      </c>
      <c r="C197">
        <v>2021</v>
      </c>
      <c r="D197" t="s">
        <v>38</v>
      </c>
      <c r="E197" t="s">
        <v>1024</v>
      </c>
      <c r="F197" t="s">
        <v>1051</v>
      </c>
      <c r="G197">
        <v>1</v>
      </c>
    </row>
    <row r="198" spans="2:7">
      <c r="B198" s="12" t="s">
        <v>11</v>
      </c>
      <c r="C198">
        <v>2021</v>
      </c>
      <c r="D198" t="s">
        <v>38</v>
      </c>
      <c r="E198" t="s">
        <v>1024</v>
      </c>
      <c r="F198" t="s">
        <v>1052</v>
      </c>
      <c r="G198">
        <v>1</v>
      </c>
    </row>
    <row r="199" spans="2:7">
      <c r="B199" s="12" t="s">
        <v>11</v>
      </c>
      <c r="C199">
        <v>2021</v>
      </c>
      <c r="D199" t="s">
        <v>38</v>
      </c>
      <c r="E199" t="s">
        <v>1024</v>
      </c>
      <c r="F199" t="s">
        <v>1053</v>
      </c>
      <c r="G199">
        <v>1</v>
      </c>
    </row>
    <row r="200" spans="2:7">
      <c r="B200" s="12" t="s">
        <v>11</v>
      </c>
      <c r="C200">
        <v>2021</v>
      </c>
      <c r="D200" t="s">
        <v>38</v>
      </c>
      <c r="E200" t="s">
        <v>1024</v>
      </c>
      <c r="F200" t="s">
        <v>1054</v>
      </c>
      <c r="G200">
        <v>1</v>
      </c>
    </row>
    <row r="201" spans="2:7">
      <c r="B201" s="12" t="s">
        <v>11</v>
      </c>
      <c r="C201">
        <v>2021</v>
      </c>
      <c r="D201" t="s">
        <v>38</v>
      </c>
      <c r="E201" t="s">
        <v>1024</v>
      </c>
      <c r="F201" t="s">
        <v>1055</v>
      </c>
      <c r="G201">
        <v>1</v>
      </c>
    </row>
    <row r="202" spans="2:7">
      <c r="B202" s="12" t="s">
        <v>11</v>
      </c>
      <c r="C202">
        <v>2021</v>
      </c>
      <c r="D202" t="s">
        <v>38</v>
      </c>
      <c r="E202" t="s">
        <v>1024</v>
      </c>
      <c r="F202" t="s">
        <v>1056</v>
      </c>
      <c r="G202">
        <v>1</v>
      </c>
    </row>
    <row r="203" spans="2:7">
      <c r="B203" s="12" t="s">
        <v>11</v>
      </c>
      <c r="C203">
        <v>2021</v>
      </c>
      <c r="D203" t="s">
        <v>38</v>
      </c>
      <c r="E203" t="s">
        <v>1024</v>
      </c>
      <c r="F203" t="s">
        <v>1057</v>
      </c>
      <c r="G203">
        <v>1</v>
      </c>
    </row>
    <row r="204" spans="2:7">
      <c r="B204" s="12" t="s">
        <v>11</v>
      </c>
      <c r="C204">
        <v>2021</v>
      </c>
      <c r="D204" t="s">
        <v>38</v>
      </c>
      <c r="E204" t="s">
        <v>1024</v>
      </c>
      <c r="F204" t="s">
        <v>1058</v>
      </c>
      <c r="G204">
        <v>1</v>
      </c>
    </row>
    <row r="205" spans="2:7">
      <c r="B205" s="12" t="s">
        <v>11</v>
      </c>
      <c r="C205">
        <v>2021</v>
      </c>
      <c r="D205" t="s">
        <v>38</v>
      </c>
      <c r="E205" t="s">
        <v>1024</v>
      </c>
      <c r="F205" t="s">
        <v>982</v>
      </c>
      <c r="G205">
        <v>1</v>
      </c>
    </row>
    <row r="206" spans="2:7">
      <c r="B206" s="12" t="s">
        <v>11</v>
      </c>
      <c r="C206">
        <v>2021</v>
      </c>
      <c r="D206" t="s">
        <v>38</v>
      </c>
      <c r="E206" t="s">
        <v>1024</v>
      </c>
      <c r="F206" t="s">
        <v>1059</v>
      </c>
      <c r="G206">
        <v>1</v>
      </c>
    </row>
    <row r="207" spans="2:7">
      <c r="B207" s="12" t="s">
        <v>11</v>
      </c>
      <c r="C207">
        <v>2021</v>
      </c>
      <c r="D207" t="s">
        <v>38</v>
      </c>
      <c r="E207" t="s">
        <v>1024</v>
      </c>
      <c r="F207" t="s">
        <v>1060</v>
      </c>
      <c r="G207">
        <v>1</v>
      </c>
    </row>
    <row r="208" spans="2:7">
      <c r="B208" s="12" t="s">
        <v>11</v>
      </c>
      <c r="C208">
        <v>2021</v>
      </c>
      <c r="D208" t="s">
        <v>38</v>
      </c>
      <c r="E208" t="s">
        <v>1024</v>
      </c>
      <c r="F208" t="s">
        <v>1061</v>
      </c>
      <c r="G208">
        <v>1</v>
      </c>
    </row>
    <row r="209" spans="2:7">
      <c r="B209" s="12" t="s">
        <v>11</v>
      </c>
      <c r="C209">
        <v>2021</v>
      </c>
      <c r="D209" t="s">
        <v>38</v>
      </c>
      <c r="E209" t="s">
        <v>1024</v>
      </c>
      <c r="F209" t="s">
        <v>1062</v>
      </c>
      <c r="G209">
        <v>1</v>
      </c>
    </row>
    <row r="210" spans="2:7">
      <c r="B210" s="12" t="s">
        <v>11</v>
      </c>
      <c r="C210">
        <v>2021</v>
      </c>
      <c r="D210" t="s">
        <v>38</v>
      </c>
      <c r="E210" t="s">
        <v>1024</v>
      </c>
      <c r="F210" t="s">
        <v>1063</v>
      </c>
      <c r="G210">
        <v>1</v>
      </c>
    </row>
    <row r="211" spans="2:7">
      <c r="B211" s="12" t="s">
        <v>11</v>
      </c>
      <c r="C211">
        <v>2021</v>
      </c>
      <c r="D211" t="s">
        <v>38</v>
      </c>
      <c r="E211" t="s">
        <v>1024</v>
      </c>
      <c r="F211" t="s">
        <v>1017</v>
      </c>
      <c r="G211">
        <v>1</v>
      </c>
    </row>
    <row r="212" spans="2:7">
      <c r="B212" s="12" t="s">
        <v>11</v>
      </c>
      <c r="C212">
        <v>2021</v>
      </c>
      <c r="D212" t="s">
        <v>38</v>
      </c>
      <c r="E212" t="s">
        <v>1024</v>
      </c>
      <c r="F212" t="s">
        <v>1011</v>
      </c>
      <c r="G212">
        <v>1</v>
      </c>
    </row>
    <row r="213" spans="2:7">
      <c r="B213" s="12" t="s">
        <v>11</v>
      </c>
      <c r="C213">
        <v>2021</v>
      </c>
      <c r="D213" t="s">
        <v>38</v>
      </c>
      <c r="E213" t="s">
        <v>1024</v>
      </c>
      <c r="F213" t="s">
        <v>1064</v>
      </c>
      <c r="G213">
        <v>1</v>
      </c>
    </row>
    <row r="214" spans="2:7">
      <c r="B214" s="12" t="s">
        <v>11</v>
      </c>
      <c r="C214">
        <v>2021</v>
      </c>
      <c r="D214" t="s">
        <v>38</v>
      </c>
      <c r="E214" t="s">
        <v>1024</v>
      </c>
      <c r="F214" t="s">
        <v>1014</v>
      </c>
      <c r="G214">
        <v>1</v>
      </c>
    </row>
    <row r="215" spans="2:7">
      <c r="B215" s="12" t="s">
        <v>11</v>
      </c>
      <c r="C215">
        <v>2021</v>
      </c>
      <c r="D215" t="s">
        <v>38</v>
      </c>
      <c r="E215" t="s">
        <v>1024</v>
      </c>
      <c r="F215" t="s">
        <v>1016</v>
      </c>
      <c r="G215">
        <v>1</v>
      </c>
    </row>
    <row r="216" spans="2:7">
      <c r="B216" s="12" t="s">
        <v>11</v>
      </c>
      <c r="C216">
        <v>2021</v>
      </c>
      <c r="D216" t="s">
        <v>38</v>
      </c>
      <c r="E216" t="s">
        <v>1024</v>
      </c>
      <c r="F216" t="s">
        <v>1015</v>
      </c>
      <c r="G216">
        <v>1</v>
      </c>
    </row>
    <row r="217" spans="2:7">
      <c r="B217" s="12" t="s">
        <v>11</v>
      </c>
      <c r="C217">
        <v>2021</v>
      </c>
      <c r="D217" t="s">
        <v>38</v>
      </c>
      <c r="E217" t="s">
        <v>1024</v>
      </c>
      <c r="F217" t="s">
        <v>1065</v>
      </c>
      <c r="G217">
        <v>1</v>
      </c>
    </row>
    <row r="218" spans="2:7">
      <c r="B218" s="12" t="s">
        <v>11</v>
      </c>
      <c r="C218">
        <v>2021</v>
      </c>
      <c r="D218" t="s">
        <v>38</v>
      </c>
      <c r="E218" t="s">
        <v>1024</v>
      </c>
      <c r="F218" t="s">
        <v>1066</v>
      </c>
      <c r="G218">
        <v>1</v>
      </c>
    </row>
    <row r="219" spans="2:7">
      <c r="B219" s="12" t="s">
        <v>11</v>
      </c>
      <c r="C219">
        <v>2021</v>
      </c>
      <c r="D219" t="s">
        <v>38</v>
      </c>
      <c r="E219" t="s">
        <v>1024</v>
      </c>
      <c r="F219" t="s">
        <v>1067</v>
      </c>
      <c r="G219">
        <v>1</v>
      </c>
    </row>
    <row r="220" spans="2:7">
      <c r="B220" s="12" t="s">
        <v>11</v>
      </c>
      <c r="C220">
        <v>2021</v>
      </c>
      <c r="D220" t="s">
        <v>38</v>
      </c>
      <c r="E220" t="s">
        <v>1024</v>
      </c>
      <c r="F220" t="s">
        <v>1068</v>
      </c>
      <c r="G220">
        <v>1</v>
      </c>
    </row>
    <row r="221" spans="2:7">
      <c r="B221" s="12" t="s">
        <v>11</v>
      </c>
      <c r="C221">
        <v>2021</v>
      </c>
      <c r="D221" t="s">
        <v>38</v>
      </c>
      <c r="E221" t="s">
        <v>1024</v>
      </c>
      <c r="F221" t="s">
        <v>1002</v>
      </c>
      <c r="G221">
        <v>1</v>
      </c>
    </row>
    <row r="222" spans="2:7">
      <c r="B222" s="12" t="s">
        <v>11</v>
      </c>
      <c r="C222">
        <v>2021</v>
      </c>
      <c r="D222" t="s">
        <v>38</v>
      </c>
      <c r="E222" t="s">
        <v>1024</v>
      </c>
      <c r="F222" t="s">
        <v>1069</v>
      </c>
      <c r="G222">
        <v>1</v>
      </c>
    </row>
    <row r="223" spans="2:7">
      <c r="B223" s="12" t="s">
        <v>11</v>
      </c>
      <c r="C223">
        <v>2021</v>
      </c>
      <c r="D223" t="s">
        <v>38</v>
      </c>
      <c r="E223" t="s">
        <v>1024</v>
      </c>
      <c r="F223" t="s">
        <v>1070</v>
      </c>
      <c r="G223">
        <v>1</v>
      </c>
    </row>
    <row r="224" spans="2:7">
      <c r="B224" s="12" t="s">
        <v>11</v>
      </c>
      <c r="C224">
        <v>2021</v>
      </c>
      <c r="D224" t="s">
        <v>38</v>
      </c>
      <c r="E224" t="s">
        <v>1024</v>
      </c>
      <c r="F224" t="s">
        <v>1071</v>
      </c>
      <c r="G224">
        <v>1</v>
      </c>
    </row>
    <row r="225" spans="2:7">
      <c r="B225" s="12" t="s">
        <v>11</v>
      </c>
      <c r="C225">
        <v>2021</v>
      </c>
      <c r="D225" t="s">
        <v>38</v>
      </c>
      <c r="E225" t="s">
        <v>1024</v>
      </c>
      <c r="F225" t="s">
        <v>1072</v>
      </c>
      <c r="G225">
        <v>1</v>
      </c>
    </row>
    <row r="226" spans="2:7">
      <c r="B226" s="12" t="s">
        <v>11</v>
      </c>
      <c r="C226">
        <v>2021</v>
      </c>
      <c r="D226" t="s">
        <v>38</v>
      </c>
      <c r="E226" t="s">
        <v>1024</v>
      </c>
      <c r="F226" t="s">
        <v>1073</v>
      </c>
      <c r="G226">
        <v>1</v>
      </c>
    </row>
    <row r="227" spans="2:7">
      <c r="B227" s="12" t="s">
        <v>11</v>
      </c>
      <c r="C227">
        <v>2021</v>
      </c>
      <c r="D227" t="s">
        <v>38</v>
      </c>
      <c r="E227" t="s">
        <v>1024</v>
      </c>
      <c r="F227" t="s">
        <v>1074</v>
      </c>
      <c r="G227">
        <v>1</v>
      </c>
    </row>
    <row r="228" spans="2:7">
      <c r="B228" s="12" t="s">
        <v>11</v>
      </c>
      <c r="C228">
        <v>2021</v>
      </c>
      <c r="D228" t="s">
        <v>38</v>
      </c>
      <c r="E228" t="s">
        <v>1024</v>
      </c>
      <c r="F228" t="s">
        <v>1075</v>
      </c>
      <c r="G228">
        <v>1</v>
      </c>
    </row>
    <row r="229" spans="2:7">
      <c r="B229" s="12" t="s">
        <v>11</v>
      </c>
      <c r="C229">
        <v>2021</v>
      </c>
      <c r="D229" t="s">
        <v>38</v>
      </c>
      <c r="E229" t="s">
        <v>1024</v>
      </c>
      <c r="F229" t="s">
        <v>1076</v>
      </c>
      <c r="G229">
        <v>1</v>
      </c>
    </row>
    <row r="230" spans="2:7">
      <c r="B230" s="12" t="s">
        <v>11</v>
      </c>
      <c r="C230">
        <v>2021</v>
      </c>
      <c r="D230" t="s">
        <v>38</v>
      </c>
      <c r="E230" t="s">
        <v>1024</v>
      </c>
      <c r="F230" t="s">
        <v>1077</v>
      </c>
      <c r="G230">
        <v>1</v>
      </c>
    </row>
    <row r="231" spans="2:7">
      <c r="B231" s="12" t="s">
        <v>11</v>
      </c>
      <c r="C231">
        <v>2021</v>
      </c>
      <c r="D231" t="s">
        <v>38</v>
      </c>
      <c r="E231" t="s">
        <v>1024</v>
      </c>
      <c r="F231" t="s">
        <v>1078</v>
      </c>
      <c r="G231">
        <v>1</v>
      </c>
    </row>
    <row r="232" spans="2:7">
      <c r="B232" s="12" t="s">
        <v>11</v>
      </c>
      <c r="C232">
        <v>2021</v>
      </c>
      <c r="D232" t="s">
        <v>43</v>
      </c>
      <c r="E232" t="s">
        <v>1079</v>
      </c>
      <c r="F232" t="s">
        <v>890</v>
      </c>
      <c r="G232">
        <v>12</v>
      </c>
    </row>
    <row r="233" spans="2:7">
      <c r="B233" s="12" t="s">
        <v>11</v>
      </c>
      <c r="C233">
        <v>2021</v>
      </c>
      <c r="D233" t="s">
        <v>43</v>
      </c>
      <c r="E233" t="s">
        <v>1079</v>
      </c>
      <c r="F233" t="s">
        <v>918</v>
      </c>
      <c r="G233">
        <v>12</v>
      </c>
    </row>
    <row r="234" spans="2:7">
      <c r="B234" s="12" t="s">
        <v>11</v>
      </c>
      <c r="C234">
        <v>2021</v>
      </c>
      <c r="D234" t="s">
        <v>43</v>
      </c>
      <c r="E234" t="s">
        <v>1079</v>
      </c>
      <c r="F234" t="s">
        <v>1067</v>
      </c>
      <c r="G234">
        <v>12</v>
      </c>
    </row>
    <row r="235" spans="2:7">
      <c r="B235" s="12" t="s">
        <v>11</v>
      </c>
      <c r="C235">
        <v>2022</v>
      </c>
      <c r="D235" t="s">
        <v>31</v>
      </c>
      <c r="E235" t="s">
        <v>1080</v>
      </c>
      <c r="F235" t="s">
        <v>890</v>
      </c>
      <c r="G235">
        <v>1</v>
      </c>
    </row>
    <row r="236" spans="2:7">
      <c r="B236" s="12" t="s">
        <v>11</v>
      </c>
      <c r="C236">
        <v>2022</v>
      </c>
      <c r="D236" t="s">
        <v>31</v>
      </c>
      <c r="E236" t="s">
        <v>1080</v>
      </c>
      <c r="F236" t="s">
        <v>983</v>
      </c>
      <c r="G236">
        <v>1</v>
      </c>
    </row>
    <row r="237" spans="2:7">
      <c r="B237" s="12" t="s">
        <v>11</v>
      </c>
      <c r="C237">
        <v>2022</v>
      </c>
      <c r="D237" t="s">
        <v>31</v>
      </c>
      <c r="E237" t="s">
        <v>1080</v>
      </c>
      <c r="F237" t="s">
        <v>921</v>
      </c>
      <c r="G237">
        <v>1</v>
      </c>
    </row>
    <row r="238" spans="2:7">
      <c r="B238" s="12" t="s">
        <v>11</v>
      </c>
      <c r="C238">
        <v>2022</v>
      </c>
      <c r="D238" t="s">
        <v>31</v>
      </c>
      <c r="E238" t="s">
        <v>1080</v>
      </c>
      <c r="F238" t="s">
        <v>1033</v>
      </c>
      <c r="G238">
        <v>1</v>
      </c>
    </row>
    <row r="239" spans="2:7">
      <c r="B239" s="12" t="s">
        <v>11</v>
      </c>
      <c r="C239">
        <v>2022</v>
      </c>
      <c r="D239" t="s">
        <v>31</v>
      </c>
      <c r="E239" t="s">
        <v>1080</v>
      </c>
      <c r="F239" t="s">
        <v>920</v>
      </c>
      <c r="G239">
        <v>1</v>
      </c>
    </row>
    <row r="240" spans="2:7">
      <c r="B240" s="12" t="s">
        <v>11</v>
      </c>
      <c r="C240">
        <v>2022</v>
      </c>
      <c r="D240" t="s">
        <v>31</v>
      </c>
      <c r="E240" t="s">
        <v>1080</v>
      </c>
      <c r="F240" t="s">
        <v>923</v>
      </c>
      <c r="G240">
        <v>1</v>
      </c>
    </row>
    <row r="241" spans="2:7">
      <c r="B241" s="12" t="s">
        <v>11</v>
      </c>
      <c r="C241">
        <v>2022</v>
      </c>
      <c r="D241" t="s">
        <v>31</v>
      </c>
      <c r="E241" t="s">
        <v>1080</v>
      </c>
      <c r="F241" t="s">
        <v>1060</v>
      </c>
      <c r="G241">
        <v>1</v>
      </c>
    </row>
    <row r="242" spans="2:7">
      <c r="B242" s="12" t="s">
        <v>11</v>
      </c>
      <c r="C242">
        <v>2022</v>
      </c>
      <c r="D242" t="s">
        <v>31</v>
      </c>
      <c r="E242" t="s">
        <v>1080</v>
      </c>
      <c r="F242" t="s">
        <v>919</v>
      </c>
      <c r="G242">
        <v>1</v>
      </c>
    </row>
    <row r="243" spans="2:7">
      <c r="B243" s="12" t="s">
        <v>11</v>
      </c>
      <c r="C243">
        <v>2022</v>
      </c>
      <c r="D243" t="s">
        <v>31</v>
      </c>
      <c r="E243" t="s">
        <v>1080</v>
      </c>
      <c r="F243" t="s">
        <v>918</v>
      </c>
      <c r="G243">
        <v>1</v>
      </c>
    </row>
    <row r="244" spans="2:7">
      <c r="B244" s="12" t="s">
        <v>11</v>
      </c>
      <c r="C244">
        <v>2022</v>
      </c>
      <c r="D244" t="s">
        <v>31</v>
      </c>
      <c r="E244" t="s">
        <v>1080</v>
      </c>
      <c r="F244" t="s">
        <v>1081</v>
      </c>
      <c r="G244">
        <v>1</v>
      </c>
    </row>
    <row r="245" spans="2:7">
      <c r="B245" s="12" t="s">
        <v>11</v>
      </c>
      <c r="C245">
        <v>2022</v>
      </c>
      <c r="D245" t="s">
        <v>38</v>
      </c>
      <c r="E245" t="s">
        <v>1082</v>
      </c>
      <c r="F245" t="s">
        <v>901</v>
      </c>
      <c r="G245">
        <v>8</v>
      </c>
    </row>
    <row r="246" spans="2:7">
      <c r="B246" s="12" t="s">
        <v>11</v>
      </c>
      <c r="C246">
        <v>2022</v>
      </c>
      <c r="D246" t="s">
        <v>38</v>
      </c>
      <c r="E246" t="s">
        <v>1082</v>
      </c>
      <c r="F246" t="s">
        <v>1011</v>
      </c>
      <c r="G246">
        <v>8</v>
      </c>
    </row>
    <row r="247" spans="2:7">
      <c r="B247" s="12" t="s">
        <v>11</v>
      </c>
      <c r="C247">
        <v>2022</v>
      </c>
      <c r="D247" t="s">
        <v>38</v>
      </c>
      <c r="E247" t="s">
        <v>1082</v>
      </c>
      <c r="F247" t="s">
        <v>1083</v>
      </c>
      <c r="G247">
        <v>8</v>
      </c>
    </row>
    <row r="248" spans="2:7">
      <c r="B248" s="12" t="s">
        <v>11</v>
      </c>
      <c r="C248">
        <v>2022</v>
      </c>
      <c r="D248" t="s">
        <v>38</v>
      </c>
      <c r="E248" t="s">
        <v>1082</v>
      </c>
      <c r="F248" t="s">
        <v>1084</v>
      </c>
      <c r="G248">
        <v>8</v>
      </c>
    </row>
    <row r="249" spans="2:7">
      <c r="B249" s="12" t="s">
        <v>11</v>
      </c>
      <c r="C249">
        <v>2022</v>
      </c>
      <c r="D249" t="s">
        <v>38</v>
      </c>
      <c r="E249" t="s">
        <v>1082</v>
      </c>
      <c r="F249" t="s">
        <v>1085</v>
      </c>
      <c r="G249">
        <v>8</v>
      </c>
    </row>
    <row r="250" spans="2:7">
      <c r="B250" s="12" t="s">
        <v>11</v>
      </c>
      <c r="C250">
        <v>2022</v>
      </c>
      <c r="D250" t="s">
        <v>38</v>
      </c>
      <c r="E250" t="s">
        <v>1082</v>
      </c>
      <c r="F250" t="s">
        <v>909</v>
      </c>
      <c r="G250">
        <v>8</v>
      </c>
    </row>
    <row r="251" spans="2:7">
      <c r="B251" s="12" t="s">
        <v>11</v>
      </c>
      <c r="C251">
        <v>2022</v>
      </c>
      <c r="D251" t="s">
        <v>38</v>
      </c>
      <c r="E251" t="s">
        <v>1082</v>
      </c>
      <c r="F251" t="s">
        <v>1014</v>
      </c>
      <c r="G251">
        <v>8</v>
      </c>
    </row>
    <row r="252" spans="2:7">
      <c r="B252" s="12" t="s">
        <v>11</v>
      </c>
      <c r="C252">
        <v>2022</v>
      </c>
      <c r="D252" t="s">
        <v>38</v>
      </c>
      <c r="E252" t="s">
        <v>1086</v>
      </c>
      <c r="F252" t="s">
        <v>1087</v>
      </c>
      <c r="G252">
        <v>8</v>
      </c>
    </row>
    <row r="253" spans="2:7">
      <c r="B253" s="12" t="s">
        <v>11</v>
      </c>
      <c r="C253">
        <v>2022</v>
      </c>
      <c r="D253" t="s">
        <v>38</v>
      </c>
      <c r="E253" t="s">
        <v>1082</v>
      </c>
      <c r="F253" t="s">
        <v>1088</v>
      </c>
      <c r="G253">
        <v>8</v>
      </c>
    </row>
    <row r="254" spans="2:7">
      <c r="B254" s="12" t="s">
        <v>11</v>
      </c>
      <c r="C254">
        <v>2022</v>
      </c>
      <c r="D254" t="s">
        <v>38</v>
      </c>
      <c r="E254" t="s">
        <v>1082</v>
      </c>
      <c r="F254" t="s">
        <v>1089</v>
      </c>
      <c r="G254">
        <v>8</v>
      </c>
    </row>
    <row r="255" spans="2:7">
      <c r="B255" s="12" t="s">
        <v>11</v>
      </c>
      <c r="C255">
        <v>2022</v>
      </c>
      <c r="D255" t="s">
        <v>38</v>
      </c>
      <c r="E255" t="s">
        <v>1086</v>
      </c>
      <c r="F255" t="s">
        <v>1012</v>
      </c>
      <c r="G255">
        <v>8</v>
      </c>
    </row>
    <row r="256" spans="2:7">
      <c r="B256" s="12" t="s">
        <v>11</v>
      </c>
      <c r="C256">
        <v>2022</v>
      </c>
      <c r="D256" t="s">
        <v>38</v>
      </c>
      <c r="E256" t="s">
        <v>1082</v>
      </c>
      <c r="F256" t="s">
        <v>1090</v>
      </c>
      <c r="G256">
        <v>8</v>
      </c>
    </row>
    <row r="257" spans="2:7">
      <c r="B257" s="12" t="s">
        <v>11</v>
      </c>
      <c r="C257">
        <v>2022</v>
      </c>
      <c r="D257" t="s">
        <v>38</v>
      </c>
      <c r="E257" t="s">
        <v>1082</v>
      </c>
      <c r="F257" t="s">
        <v>1091</v>
      </c>
      <c r="G257">
        <v>8</v>
      </c>
    </row>
    <row r="258" spans="2:7">
      <c r="B258" s="12" t="s">
        <v>11</v>
      </c>
      <c r="C258">
        <v>2022</v>
      </c>
      <c r="D258" t="s">
        <v>38</v>
      </c>
      <c r="E258" t="s">
        <v>1082</v>
      </c>
      <c r="F258" t="s">
        <v>1092</v>
      </c>
      <c r="G258">
        <v>8</v>
      </c>
    </row>
    <row r="259" spans="2:7">
      <c r="B259" s="12" t="s">
        <v>11</v>
      </c>
      <c r="C259">
        <v>2022</v>
      </c>
      <c r="D259" t="s">
        <v>38</v>
      </c>
      <c r="E259" t="s">
        <v>1082</v>
      </c>
      <c r="F259" t="s">
        <v>982</v>
      </c>
      <c r="G259">
        <v>8</v>
      </c>
    </row>
    <row r="260" spans="2:7">
      <c r="B260" s="12" t="s">
        <v>11</v>
      </c>
      <c r="C260">
        <v>2022</v>
      </c>
      <c r="D260" t="s">
        <v>38</v>
      </c>
      <c r="E260" t="s">
        <v>1082</v>
      </c>
      <c r="F260" t="s">
        <v>1093</v>
      </c>
      <c r="G260">
        <v>8</v>
      </c>
    </row>
    <row r="261" spans="2:7">
      <c r="B261" s="12" t="s">
        <v>11</v>
      </c>
      <c r="C261">
        <v>2022</v>
      </c>
      <c r="D261" t="s">
        <v>38</v>
      </c>
      <c r="E261" t="s">
        <v>1082</v>
      </c>
      <c r="F261" t="s">
        <v>1094</v>
      </c>
      <c r="G261">
        <v>8</v>
      </c>
    </row>
    <row r="262" spans="2:7">
      <c r="B262" s="12" t="s">
        <v>11</v>
      </c>
      <c r="C262">
        <v>2022</v>
      </c>
      <c r="D262" t="s">
        <v>38</v>
      </c>
      <c r="E262" t="s">
        <v>1082</v>
      </c>
      <c r="F262" t="s">
        <v>1046</v>
      </c>
      <c r="G262">
        <v>8</v>
      </c>
    </row>
    <row r="263" spans="2:7">
      <c r="B263" s="12" t="s">
        <v>11</v>
      </c>
      <c r="C263">
        <v>2022</v>
      </c>
      <c r="D263" t="s">
        <v>38</v>
      </c>
      <c r="E263" t="s">
        <v>1082</v>
      </c>
      <c r="F263" t="s">
        <v>1056</v>
      </c>
      <c r="G263">
        <v>8</v>
      </c>
    </row>
    <row r="264" spans="2:7">
      <c r="B264" s="12" t="s">
        <v>11</v>
      </c>
      <c r="C264">
        <v>2022</v>
      </c>
      <c r="D264" t="s">
        <v>38</v>
      </c>
      <c r="E264" t="s">
        <v>1082</v>
      </c>
      <c r="F264" t="s">
        <v>1035</v>
      </c>
      <c r="G264">
        <v>8</v>
      </c>
    </row>
    <row r="265" spans="2:7">
      <c r="B265" s="12" t="s">
        <v>11</v>
      </c>
      <c r="C265">
        <v>2022</v>
      </c>
      <c r="D265" t="s">
        <v>38</v>
      </c>
      <c r="E265" t="s">
        <v>1086</v>
      </c>
      <c r="F265" t="s">
        <v>1095</v>
      </c>
      <c r="G265">
        <v>8</v>
      </c>
    </row>
    <row r="266" spans="2:7">
      <c r="B266" s="12" t="s">
        <v>11</v>
      </c>
      <c r="C266">
        <v>2022</v>
      </c>
      <c r="D266" t="s">
        <v>38</v>
      </c>
      <c r="E266" t="s">
        <v>1082</v>
      </c>
      <c r="F266" t="s">
        <v>1015</v>
      </c>
      <c r="G266">
        <v>8</v>
      </c>
    </row>
    <row r="267" spans="2:7">
      <c r="B267" s="12" t="s">
        <v>11</v>
      </c>
      <c r="C267">
        <v>2022</v>
      </c>
      <c r="D267" t="s">
        <v>38</v>
      </c>
      <c r="E267" t="s">
        <v>1082</v>
      </c>
      <c r="F267" t="s">
        <v>1053</v>
      </c>
      <c r="G267">
        <v>8</v>
      </c>
    </row>
    <row r="268" spans="2:7">
      <c r="B268" s="12" t="s">
        <v>11</v>
      </c>
      <c r="C268">
        <v>2022</v>
      </c>
      <c r="D268" t="s">
        <v>38</v>
      </c>
      <c r="E268" t="s">
        <v>1082</v>
      </c>
      <c r="F268" t="s">
        <v>1096</v>
      </c>
      <c r="G268">
        <v>8</v>
      </c>
    </row>
    <row r="269" spans="2:7">
      <c r="B269" s="12" t="s">
        <v>11</v>
      </c>
      <c r="C269">
        <v>2022</v>
      </c>
      <c r="D269" t="s">
        <v>38</v>
      </c>
      <c r="E269" t="s">
        <v>1082</v>
      </c>
      <c r="F269" t="s">
        <v>1097</v>
      </c>
      <c r="G269">
        <v>8</v>
      </c>
    </row>
    <row r="270" spans="2:7">
      <c r="B270" s="12" t="s">
        <v>11</v>
      </c>
      <c r="C270">
        <v>2022</v>
      </c>
      <c r="D270" t="s">
        <v>38</v>
      </c>
      <c r="E270" t="s">
        <v>1082</v>
      </c>
      <c r="F270" t="s">
        <v>1075</v>
      </c>
      <c r="G270">
        <v>8</v>
      </c>
    </row>
    <row r="271" spans="2:7">
      <c r="B271" s="12" t="s">
        <v>11</v>
      </c>
      <c r="C271">
        <v>2022</v>
      </c>
      <c r="D271" t="s">
        <v>38</v>
      </c>
      <c r="E271" t="s">
        <v>1082</v>
      </c>
      <c r="F271" t="s">
        <v>1098</v>
      </c>
      <c r="G271">
        <v>8</v>
      </c>
    </row>
    <row r="272" spans="2:7">
      <c r="B272" s="12" t="s">
        <v>11</v>
      </c>
      <c r="C272">
        <v>2022</v>
      </c>
      <c r="D272" t="s">
        <v>38</v>
      </c>
      <c r="E272" t="s">
        <v>1082</v>
      </c>
      <c r="F272" t="s">
        <v>895</v>
      </c>
      <c r="G272">
        <v>8</v>
      </c>
    </row>
    <row r="273" spans="2:7">
      <c r="B273" s="12" t="s">
        <v>11</v>
      </c>
      <c r="C273">
        <v>2022</v>
      </c>
      <c r="D273" t="s">
        <v>38</v>
      </c>
      <c r="E273" t="s">
        <v>1082</v>
      </c>
      <c r="F273" t="s">
        <v>1036</v>
      </c>
      <c r="G273">
        <v>8</v>
      </c>
    </row>
    <row r="274" spans="2:7">
      <c r="B274" s="12" t="s">
        <v>11</v>
      </c>
      <c r="C274">
        <v>2022</v>
      </c>
      <c r="D274" t="s">
        <v>38</v>
      </c>
      <c r="E274" t="s">
        <v>1086</v>
      </c>
      <c r="F274" t="s">
        <v>1027</v>
      </c>
      <c r="G274">
        <v>8</v>
      </c>
    </row>
    <row r="275" spans="2:7">
      <c r="B275" s="12" t="s">
        <v>11</v>
      </c>
      <c r="C275">
        <v>2022</v>
      </c>
      <c r="D275" t="s">
        <v>38</v>
      </c>
      <c r="E275" t="s">
        <v>1082</v>
      </c>
      <c r="F275" t="s">
        <v>1076</v>
      </c>
      <c r="G275">
        <v>8</v>
      </c>
    </row>
    <row r="276" spans="2:7">
      <c r="B276" s="12" t="s">
        <v>11</v>
      </c>
      <c r="C276">
        <v>2022</v>
      </c>
      <c r="D276" t="s">
        <v>38</v>
      </c>
      <c r="E276" t="s">
        <v>1086</v>
      </c>
      <c r="F276" t="s">
        <v>1051</v>
      </c>
      <c r="G276">
        <v>8</v>
      </c>
    </row>
    <row r="277" spans="2:7">
      <c r="B277" s="12" t="s">
        <v>11</v>
      </c>
      <c r="C277">
        <v>2022</v>
      </c>
      <c r="D277" t="s">
        <v>38</v>
      </c>
      <c r="E277" t="s">
        <v>1082</v>
      </c>
      <c r="F277" t="s">
        <v>1099</v>
      </c>
      <c r="G277">
        <v>8</v>
      </c>
    </row>
    <row r="278" spans="2:7">
      <c r="B278" s="12" t="s">
        <v>11</v>
      </c>
      <c r="C278">
        <v>2022</v>
      </c>
      <c r="D278" t="s">
        <v>38</v>
      </c>
      <c r="E278" t="s">
        <v>1082</v>
      </c>
      <c r="F278" t="s">
        <v>983</v>
      </c>
      <c r="G278">
        <v>8</v>
      </c>
    </row>
    <row r="279" spans="2:7">
      <c r="B279" s="12" t="s">
        <v>11</v>
      </c>
      <c r="C279">
        <v>2022</v>
      </c>
      <c r="D279" t="s">
        <v>38</v>
      </c>
      <c r="E279" t="s">
        <v>1082</v>
      </c>
      <c r="F279" t="s">
        <v>1037</v>
      </c>
      <c r="G279">
        <v>8</v>
      </c>
    </row>
    <row r="280" spans="2:7">
      <c r="B280" s="12" t="s">
        <v>11</v>
      </c>
      <c r="C280">
        <v>2022</v>
      </c>
      <c r="D280" t="s">
        <v>38</v>
      </c>
      <c r="E280" t="s">
        <v>1082</v>
      </c>
      <c r="F280" t="s">
        <v>1100</v>
      </c>
      <c r="G280">
        <v>8</v>
      </c>
    </row>
    <row r="281" spans="2:7">
      <c r="B281" s="12" t="s">
        <v>11</v>
      </c>
      <c r="C281">
        <v>2022</v>
      </c>
      <c r="D281" t="s">
        <v>38</v>
      </c>
      <c r="E281" t="s">
        <v>1086</v>
      </c>
      <c r="F281" t="s">
        <v>1101</v>
      </c>
      <c r="G281">
        <v>8</v>
      </c>
    </row>
    <row r="282" spans="2:7">
      <c r="B282" s="12" t="s">
        <v>11</v>
      </c>
      <c r="C282">
        <v>2022</v>
      </c>
      <c r="D282" t="s">
        <v>38</v>
      </c>
      <c r="E282" t="s">
        <v>1082</v>
      </c>
      <c r="F282" t="s">
        <v>1042</v>
      </c>
      <c r="G282">
        <v>8</v>
      </c>
    </row>
    <row r="283" spans="2:7">
      <c r="B283" s="12" t="s">
        <v>11</v>
      </c>
      <c r="C283">
        <v>2022</v>
      </c>
      <c r="D283" t="s">
        <v>38</v>
      </c>
      <c r="E283" t="s">
        <v>1082</v>
      </c>
      <c r="F283" t="s">
        <v>1102</v>
      </c>
      <c r="G283">
        <v>8</v>
      </c>
    </row>
    <row r="284" spans="2:7">
      <c r="B284" s="12" t="s">
        <v>11</v>
      </c>
      <c r="C284">
        <v>2022</v>
      </c>
      <c r="D284" t="s">
        <v>38</v>
      </c>
      <c r="E284" t="s">
        <v>1082</v>
      </c>
      <c r="F284" t="s">
        <v>1103</v>
      </c>
      <c r="G284">
        <v>8</v>
      </c>
    </row>
    <row r="285" spans="2:7">
      <c r="B285" s="12" t="s">
        <v>11</v>
      </c>
      <c r="C285">
        <v>2022</v>
      </c>
      <c r="D285" t="s">
        <v>38</v>
      </c>
      <c r="E285" t="s">
        <v>1086</v>
      </c>
      <c r="F285" t="s">
        <v>980</v>
      </c>
      <c r="G285">
        <v>8</v>
      </c>
    </row>
    <row r="286" spans="2:7">
      <c r="B286" s="12" t="s">
        <v>11</v>
      </c>
      <c r="C286">
        <v>2022</v>
      </c>
      <c r="D286" t="s">
        <v>38</v>
      </c>
      <c r="E286" t="s">
        <v>1082</v>
      </c>
      <c r="F286" t="s">
        <v>1049</v>
      </c>
      <c r="G286">
        <v>8</v>
      </c>
    </row>
    <row r="287" spans="2:7">
      <c r="B287" s="12" t="s">
        <v>11</v>
      </c>
      <c r="C287">
        <v>2022</v>
      </c>
      <c r="D287" t="s">
        <v>38</v>
      </c>
      <c r="E287" t="s">
        <v>1082</v>
      </c>
      <c r="F287" t="s">
        <v>904</v>
      </c>
      <c r="G287">
        <v>8</v>
      </c>
    </row>
    <row r="288" spans="2:7">
      <c r="B288" s="12" t="s">
        <v>11</v>
      </c>
      <c r="C288">
        <v>2022</v>
      </c>
      <c r="D288" t="s">
        <v>38</v>
      </c>
      <c r="E288" t="s">
        <v>1082</v>
      </c>
      <c r="F288" t="s">
        <v>999</v>
      </c>
      <c r="G288">
        <v>8</v>
      </c>
    </row>
    <row r="289" spans="2:7">
      <c r="B289" s="12" t="s">
        <v>11</v>
      </c>
      <c r="C289">
        <v>2022</v>
      </c>
      <c r="D289" t="s">
        <v>38</v>
      </c>
      <c r="E289" t="s">
        <v>1082</v>
      </c>
      <c r="F289" t="s">
        <v>1104</v>
      </c>
      <c r="G289">
        <v>8</v>
      </c>
    </row>
    <row r="290" spans="2:7">
      <c r="B290" s="12" t="s">
        <v>11</v>
      </c>
      <c r="C290">
        <v>2022</v>
      </c>
      <c r="D290" t="s">
        <v>38</v>
      </c>
      <c r="E290" t="s">
        <v>1082</v>
      </c>
      <c r="F290" t="s">
        <v>1105</v>
      </c>
      <c r="G290">
        <v>8</v>
      </c>
    </row>
    <row r="291" spans="2:7">
      <c r="B291" s="12" t="s">
        <v>11</v>
      </c>
      <c r="C291">
        <v>2022</v>
      </c>
      <c r="D291" t="s">
        <v>38</v>
      </c>
      <c r="E291" t="s">
        <v>1082</v>
      </c>
      <c r="F291" t="s">
        <v>1030</v>
      </c>
      <c r="G291">
        <v>8</v>
      </c>
    </row>
    <row r="292" spans="2:7">
      <c r="B292" s="12" t="s">
        <v>11</v>
      </c>
      <c r="C292">
        <v>2022</v>
      </c>
      <c r="D292" t="s">
        <v>38</v>
      </c>
      <c r="E292" t="s">
        <v>1086</v>
      </c>
      <c r="F292" t="s">
        <v>1106</v>
      </c>
      <c r="G292">
        <v>8</v>
      </c>
    </row>
    <row r="293" spans="2:7">
      <c r="B293" s="12" t="s">
        <v>11</v>
      </c>
      <c r="C293">
        <v>2022</v>
      </c>
      <c r="D293" t="s">
        <v>38</v>
      </c>
      <c r="E293" t="s">
        <v>1082</v>
      </c>
      <c r="F293" t="s">
        <v>1045</v>
      </c>
      <c r="G293">
        <v>8</v>
      </c>
    </row>
    <row r="294" spans="2:7">
      <c r="B294" s="12" t="s">
        <v>11</v>
      </c>
      <c r="C294">
        <v>2022</v>
      </c>
      <c r="D294" t="s">
        <v>38</v>
      </c>
      <c r="E294" t="s">
        <v>1082</v>
      </c>
      <c r="F294" t="s">
        <v>1048</v>
      </c>
      <c r="G294">
        <v>8</v>
      </c>
    </row>
    <row r="295" spans="2:7">
      <c r="B295" s="12" t="s">
        <v>11</v>
      </c>
      <c r="C295">
        <v>2022</v>
      </c>
      <c r="D295" t="s">
        <v>38</v>
      </c>
      <c r="E295" t="s">
        <v>1082</v>
      </c>
      <c r="F295" t="s">
        <v>1052</v>
      </c>
      <c r="G295">
        <v>8</v>
      </c>
    </row>
    <row r="296" spans="2:7">
      <c r="B296" s="12" t="s">
        <v>11</v>
      </c>
      <c r="C296">
        <v>2022</v>
      </c>
      <c r="D296" t="s">
        <v>38</v>
      </c>
      <c r="E296" t="s">
        <v>1082</v>
      </c>
      <c r="F296" t="s">
        <v>1107</v>
      </c>
      <c r="G296">
        <v>8</v>
      </c>
    </row>
    <row r="297" spans="2:7">
      <c r="B297" s="12" t="s">
        <v>11</v>
      </c>
      <c r="C297">
        <v>2022</v>
      </c>
      <c r="D297" t="s">
        <v>38</v>
      </c>
      <c r="E297" t="s">
        <v>1082</v>
      </c>
      <c r="F297" t="s">
        <v>1108</v>
      </c>
      <c r="G297">
        <v>8</v>
      </c>
    </row>
    <row r="298" spans="2:7">
      <c r="B298" s="12" t="s">
        <v>11</v>
      </c>
      <c r="C298">
        <v>2022</v>
      </c>
      <c r="D298" t="s">
        <v>38</v>
      </c>
      <c r="E298" t="s">
        <v>1082</v>
      </c>
      <c r="F298" t="s">
        <v>915</v>
      </c>
      <c r="G298">
        <v>8</v>
      </c>
    </row>
    <row r="299" spans="2:7">
      <c r="B299" s="12" t="s">
        <v>11</v>
      </c>
      <c r="C299">
        <v>2022</v>
      </c>
      <c r="D299" t="s">
        <v>38</v>
      </c>
      <c r="E299" t="s">
        <v>1082</v>
      </c>
      <c r="F299" t="s">
        <v>1109</v>
      </c>
      <c r="G299">
        <v>8</v>
      </c>
    </row>
    <row r="300" spans="2:7">
      <c r="B300" s="12" t="s">
        <v>11</v>
      </c>
      <c r="C300">
        <v>2022</v>
      </c>
      <c r="D300" t="s">
        <v>38</v>
      </c>
      <c r="E300" t="s">
        <v>1082</v>
      </c>
      <c r="F300" t="s">
        <v>1071</v>
      </c>
      <c r="G300">
        <v>8</v>
      </c>
    </row>
    <row r="301" spans="2:7">
      <c r="B301" s="12" t="s">
        <v>11</v>
      </c>
      <c r="C301">
        <v>2022</v>
      </c>
      <c r="D301" t="s">
        <v>38</v>
      </c>
      <c r="E301" t="s">
        <v>1082</v>
      </c>
      <c r="F301" t="s">
        <v>1077</v>
      </c>
      <c r="G301">
        <v>8</v>
      </c>
    </row>
    <row r="302" spans="2:7">
      <c r="B302" s="12" t="s">
        <v>11</v>
      </c>
      <c r="C302">
        <v>2022</v>
      </c>
      <c r="D302" t="s">
        <v>38</v>
      </c>
      <c r="E302" t="s">
        <v>1082</v>
      </c>
      <c r="F302" t="s">
        <v>1078</v>
      </c>
      <c r="G302">
        <v>8</v>
      </c>
    </row>
    <row r="303" spans="2:7">
      <c r="B303" s="12" t="s">
        <v>11</v>
      </c>
      <c r="C303">
        <v>2022</v>
      </c>
      <c r="D303" t="s">
        <v>38</v>
      </c>
      <c r="E303" t="s">
        <v>1086</v>
      </c>
      <c r="F303" t="s">
        <v>1062</v>
      </c>
      <c r="G303">
        <v>8</v>
      </c>
    </row>
    <row r="304" spans="2:7">
      <c r="B304" s="12" t="s">
        <v>11</v>
      </c>
      <c r="C304">
        <v>2022</v>
      </c>
      <c r="D304" t="s">
        <v>38</v>
      </c>
      <c r="E304" t="s">
        <v>1082</v>
      </c>
      <c r="F304" t="s">
        <v>1110</v>
      </c>
      <c r="G304">
        <v>8</v>
      </c>
    </row>
    <row r="305" spans="2:7">
      <c r="B305" s="12" t="s">
        <v>11</v>
      </c>
      <c r="C305">
        <v>2022</v>
      </c>
      <c r="D305" t="s">
        <v>38</v>
      </c>
      <c r="E305" t="s">
        <v>1082</v>
      </c>
      <c r="F305" t="s">
        <v>1002</v>
      </c>
      <c r="G305">
        <v>8</v>
      </c>
    </row>
    <row r="306" spans="2:7">
      <c r="B306" s="12" t="s">
        <v>11</v>
      </c>
      <c r="C306">
        <v>2022</v>
      </c>
      <c r="D306" t="s">
        <v>38</v>
      </c>
      <c r="E306" t="s">
        <v>1082</v>
      </c>
      <c r="F306" t="s">
        <v>1111</v>
      </c>
      <c r="G306">
        <v>8</v>
      </c>
    </row>
    <row r="307" spans="2:7">
      <c r="B307" s="12" t="s">
        <v>11</v>
      </c>
      <c r="C307">
        <v>2022</v>
      </c>
      <c r="D307" t="s">
        <v>38</v>
      </c>
      <c r="E307" t="s">
        <v>1082</v>
      </c>
      <c r="F307" t="s">
        <v>1112</v>
      </c>
      <c r="G307">
        <v>8</v>
      </c>
    </row>
    <row r="308" spans="2:7">
      <c r="B308" s="12" t="s">
        <v>11</v>
      </c>
      <c r="C308">
        <v>2022</v>
      </c>
      <c r="D308" t="s">
        <v>38</v>
      </c>
      <c r="E308" t="s">
        <v>1082</v>
      </c>
      <c r="F308" t="s">
        <v>1113</v>
      </c>
      <c r="G308">
        <v>8</v>
      </c>
    </row>
    <row r="309" spans="2:7">
      <c r="B309" s="12" t="s">
        <v>11</v>
      </c>
      <c r="C309">
        <v>2022</v>
      </c>
      <c r="D309" t="s">
        <v>38</v>
      </c>
      <c r="E309" t="s">
        <v>1082</v>
      </c>
      <c r="F309" t="s">
        <v>1114</v>
      </c>
      <c r="G309">
        <v>8</v>
      </c>
    </row>
    <row r="310" spans="2:7">
      <c r="B310" s="12" t="s">
        <v>11</v>
      </c>
      <c r="C310">
        <v>2022</v>
      </c>
      <c r="D310" t="s">
        <v>38</v>
      </c>
      <c r="E310" t="s">
        <v>1082</v>
      </c>
      <c r="F310" t="s">
        <v>1115</v>
      </c>
      <c r="G310">
        <v>8</v>
      </c>
    </row>
    <row r="311" spans="2:7">
      <c r="B311" s="12" t="s">
        <v>11</v>
      </c>
      <c r="C311">
        <v>2022</v>
      </c>
      <c r="D311" t="s">
        <v>38</v>
      </c>
      <c r="E311" t="s">
        <v>1082</v>
      </c>
      <c r="F311" t="s">
        <v>1044</v>
      </c>
      <c r="G311">
        <v>8</v>
      </c>
    </row>
    <row r="312" spans="2:7">
      <c r="B312" s="12" t="s">
        <v>11</v>
      </c>
      <c r="C312">
        <v>2022</v>
      </c>
      <c r="D312" t="s">
        <v>38</v>
      </c>
      <c r="E312" t="s">
        <v>1082</v>
      </c>
      <c r="F312" t="s">
        <v>923</v>
      </c>
      <c r="G312">
        <v>8</v>
      </c>
    </row>
    <row r="313" spans="2:7">
      <c r="B313" s="12" t="s">
        <v>11</v>
      </c>
      <c r="C313">
        <v>2022</v>
      </c>
      <c r="D313" t="s">
        <v>38</v>
      </c>
      <c r="E313" t="s">
        <v>1082</v>
      </c>
      <c r="F313" t="s">
        <v>1116</v>
      </c>
      <c r="G313">
        <v>8</v>
      </c>
    </row>
    <row r="314" spans="2:7">
      <c r="B314" s="12" t="s">
        <v>11</v>
      </c>
      <c r="C314">
        <v>2022</v>
      </c>
      <c r="D314" t="s">
        <v>38</v>
      </c>
      <c r="E314" t="s">
        <v>1082</v>
      </c>
      <c r="F314" t="s">
        <v>1117</v>
      </c>
      <c r="G314">
        <v>8</v>
      </c>
    </row>
    <row r="315" spans="2:7">
      <c r="B315" s="12" t="s">
        <v>11</v>
      </c>
      <c r="C315">
        <v>2022</v>
      </c>
      <c r="D315" t="s">
        <v>38</v>
      </c>
      <c r="E315" t="s">
        <v>1082</v>
      </c>
      <c r="F315" t="s">
        <v>1118</v>
      </c>
      <c r="G315">
        <v>8</v>
      </c>
    </row>
    <row r="316" spans="2:7">
      <c r="B316" s="12" t="s">
        <v>11</v>
      </c>
      <c r="C316">
        <v>2022</v>
      </c>
      <c r="D316" t="s">
        <v>38</v>
      </c>
      <c r="E316" t="s">
        <v>1082</v>
      </c>
      <c r="F316" t="s">
        <v>1119</v>
      </c>
      <c r="G316">
        <v>8</v>
      </c>
    </row>
    <row r="317" spans="2:7">
      <c r="B317" s="12" t="s">
        <v>11</v>
      </c>
      <c r="C317">
        <v>2022</v>
      </c>
      <c r="D317" t="s">
        <v>38</v>
      </c>
      <c r="E317" t="s">
        <v>1086</v>
      </c>
      <c r="F317" t="s">
        <v>1068</v>
      </c>
      <c r="G317">
        <v>8</v>
      </c>
    </row>
    <row r="318" spans="2:7">
      <c r="B318" s="12" t="s">
        <v>11</v>
      </c>
      <c r="C318">
        <v>2022</v>
      </c>
      <c r="D318" t="s">
        <v>38</v>
      </c>
      <c r="E318" t="s">
        <v>1082</v>
      </c>
      <c r="F318" t="s">
        <v>918</v>
      </c>
      <c r="G318">
        <v>8</v>
      </c>
    </row>
    <row r="319" spans="2:7">
      <c r="B319" s="12" t="s">
        <v>11</v>
      </c>
      <c r="C319">
        <v>2022</v>
      </c>
      <c r="D319" t="s">
        <v>38</v>
      </c>
      <c r="E319" t="s">
        <v>1082</v>
      </c>
      <c r="F319" t="s">
        <v>1120</v>
      </c>
      <c r="G319">
        <v>8</v>
      </c>
    </row>
    <row r="320" spans="2:7">
      <c r="B320" s="12" t="s">
        <v>11</v>
      </c>
      <c r="C320">
        <v>2022</v>
      </c>
      <c r="D320" t="s">
        <v>38</v>
      </c>
      <c r="E320" t="s">
        <v>1082</v>
      </c>
      <c r="F320" t="s">
        <v>1041</v>
      </c>
      <c r="G320">
        <v>8</v>
      </c>
    </row>
    <row r="321" spans="2:7">
      <c r="B321" s="12" t="s">
        <v>11</v>
      </c>
      <c r="C321">
        <v>2022</v>
      </c>
      <c r="D321" t="s">
        <v>38</v>
      </c>
      <c r="E321" t="s">
        <v>1082</v>
      </c>
      <c r="F321" t="s">
        <v>1055</v>
      </c>
      <c r="G321">
        <v>8</v>
      </c>
    </row>
    <row r="322" spans="2:7">
      <c r="B322" s="12" t="s">
        <v>11</v>
      </c>
      <c r="C322">
        <v>2022</v>
      </c>
      <c r="D322" t="s">
        <v>38</v>
      </c>
      <c r="E322" t="s">
        <v>1082</v>
      </c>
      <c r="F322" t="s">
        <v>1121</v>
      </c>
      <c r="G322">
        <v>8</v>
      </c>
    </row>
    <row r="323" spans="2:7">
      <c r="B323" s="12" t="s">
        <v>11</v>
      </c>
      <c r="C323">
        <v>2022</v>
      </c>
      <c r="D323" t="s">
        <v>38</v>
      </c>
      <c r="E323" t="s">
        <v>1082</v>
      </c>
      <c r="F323" t="s">
        <v>1122</v>
      </c>
      <c r="G323">
        <v>8</v>
      </c>
    </row>
    <row r="324" spans="2:7">
      <c r="B324" s="12" t="s">
        <v>11</v>
      </c>
      <c r="C324">
        <v>2022</v>
      </c>
      <c r="D324" t="s">
        <v>38</v>
      </c>
      <c r="E324" t="s">
        <v>1082</v>
      </c>
      <c r="F324" t="s">
        <v>1123</v>
      </c>
      <c r="G324">
        <v>8</v>
      </c>
    </row>
    <row r="325" spans="2:7">
      <c r="B325" s="12" t="s">
        <v>11</v>
      </c>
      <c r="C325">
        <v>2022</v>
      </c>
      <c r="D325" t="s">
        <v>38</v>
      </c>
      <c r="E325" t="s">
        <v>1082</v>
      </c>
      <c r="F325" t="s">
        <v>1124</v>
      </c>
      <c r="G325">
        <v>8</v>
      </c>
    </row>
    <row r="326" spans="2:7">
      <c r="B326" s="12" t="s">
        <v>11</v>
      </c>
      <c r="C326">
        <v>2022</v>
      </c>
      <c r="D326" t="s">
        <v>38</v>
      </c>
      <c r="E326" t="s">
        <v>1086</v>
      </c>
      <c r="F326" t="s">
        <v>898</v>
      </c>
      <c r="G326">
        <v>8</v>
      </c>
    </row>
    <row r="327" spans="2:7">
      <c r="B327" s="12" t="s">
        <v>11</v>
      </c>
      <c r="C327">
        <v>2022</v>
      </c>
      <c r="D327" t="s">
        <v>38</v>
      </c>
      <c r="E327" t="s">
        <v>1086</v>
      </c>
      <c r="F327" t="s">
        <v>894</v>
      </c>
      <c r="G327">
        <v>8</v>
      </c>
    </row>
    <row r="328" spans="2:7">
      <c r="B328" s="12" t="s">
        <v>11</v>
      </c>
      <c r="C328">
        <v>2022</v>
      </c>
      <c r="D328" t="s">
        <v>38</v>
      </c>
      <c r="E328" t="s">
        <v>1082</v>
      </c>
      <c r="F328" t="s">
        <v>1125</v>
      </c>
      <c r="G328">
        <v>8</v>
      </c>
    </row>
    <row r="329" spans="2:7">
      <c r="B329" s="12" t="s">
        <v>11</v>
      </c>
      <c r="C329">
        <v>2022</v>
      </c>
      <c r="D329" t="s">
        <v>38</v>
      </c>
      <c r="E329" t="s">
        <v>1082</v>
      </c>
      <c r="F329" t="s">
        <v>1126</v>
      </c>
      <c r="G329">
        <v>8</v>
      </c>
    </row>
    <row r="330" spans="2:7">
      <c r="B330" s="12" t="s">
        <v>11</v>
      </c>
      <c r="C330">
        <v>2022</v>
      </c>
      <c r="D330" t="s">
        <v>38</v>
      </c>
      <c r="E330" t="s">
        <v>1082</v>
      </c>
      <c r="F330" t="s">
        <v>1127</v>
      </c>
      <c r="G330">
        <v>8</v>
      </c>
    </row>
    <row r="331" spans="2:7">
      <c r="B331" s="12" t="s">
        <v>11</v>
      </c>
      <c r="C331">
        <v>2022</v>
      </c>
      <c r="D331" t="s">
        <v>38</v>
      </c>
      <c r="E331" t="s">
        <v>1086</v>
      </c>
      <c r="F331" t="s">
        <v>913</v>
      </c>
      <c r="G331">
        <v>8</v>
      </c>
    </row>
    <row r="332" spans="2:7">
      <c r="B332" s="12" t="s">
        <v>11</v>
      </c>
      <c r="C332">
        <v>2022</v>
      </c>
      <c r="D332" t="s">
        <v>47</v>
      </c>
      <c r="E332" t="s">
        <v>1128</v>
      </c>
      <c r="F332" t="s">
        <v>925</v>
      </c>
      <c r="G332">
        <v>8</v>
      </c>
    </row>
    <row r="333" spans="2:7">
      <c r="B333" s="12" t="s">
        <v>11</v>
      </c>
      <c r="C333">
        <v>2022</v>
      </c>
      <c r="D333" t="s">
        <v>47</v>
      </c>
      <c r="E333" t="s">
        <v>1128</v>
      </c>
      <c r="F333" t="s">
        <v>1104</v>
      </c>
      <c r="G333">
        <v>8</v>
      </c>
    </row>
    <row r="334" spans="2:7">
      <c r="B334" s="12" t="s">
        <v>11</v>
      </c>
      <c r="C334">
        <v>2022</v>
      </c>
      <c r="D334" t="s">
        <v>47</v>
      </c>
      <c r="E334" t="s">
        <v>1128</v>
      </c>
      <c r="F334" t="s">
        <v>922</v>
      </c>
      <c r="G334">
        <v>8</v>
      </c>
    </row>
    <row r="335" spans="2:7">
      <c r="B335" s="12" t="s">
        <v>11</v>
      </c>
      <c r="C335">
        <v>2022</v>
      </c>
      <c r="D335" t="s">
        <v>47</v>
      </c>
      <c r="E335" t="s">
        <v>1128</v>
      </c>
      <c r="F335" t="s">
        <v>1129</v>
      </c>
      <c r="G335">
        <v>8</v>
      </c>
    </row>
    <row r="336" spans="2:7">
      <c r="B336" s="12" t="s">
        <v>11</v>
      </c>
      <c r="C336">
        <v>2022</v>
      </c>
      <c r="D336" t="s">
        <v>47</v>
      </c>
      <c r="E336" t="s">
        <v>1128</v>
      </c>
      <c r="F336" t="s">
        <v>1130</v>
      </c>
      <c r="G336">
        <v>8</v>
      </c>
    </row>
    <row r="337" spans="2:7">
      <c r="B337" s="12" t="s">
        <v>11</v>
      </c>
      <c r="C337">
        <v>2022</v>
      </c>
      <c r="D337" t="s">
        <v>47</v>
      </c>
      <c r="E337" t="s">
        <v>1131</v>
      </c>
      <c r="F337" t="s">
        <v>1132</v>
      </c>
      <c r="G337">
        <v>8</v>
      </c>
    </row>
    <row r="338" spans="2:7">
      <c r="B338" s="12" t="s">
        <v>11</v>
      </c>
      <c r="C338">
        <v>2022</v>
      </c>
      <c r="D338" t="s">
        <v>47</v>
      </c>
      <c r="E338" t="s">
        <v>1131</v>
      </c>
      <c r="F338" t="s">
        <v>1133</v>
      </c>
      <c r="G338">
        <v>8</v>
      </c>
    </row>
    <row r="339" spans="2:7">
      <c r="B339" s="12" t="s">
        <v>11</v>
      </c>
      <c r="C339">
        <v>2022</v>
      </c>
      <c r="D339" t="s">
        <v>47</v>
      </c>
      <c r="E339" t="s">
        <v>1131</v>
      </c>
      <c r="F339" t="s">
        <v>1134</v>
      </c>
      <c r="G339">
        <v>8</v>
      </c>
    </row>
    <row r="340" spans="2:7">
      <c r="B340" s="12" t="s">
        <v>11</v>
      </c>
      <c r="C340">
        <v>2022</v>
      </c>
      <c r="D340" t="s">
        <v>47</v>
      </c>
      <c r="E340" t="s">
        <v>1131</v>
      </c>
      <c r="F340" t="s">
        <v>1135</v>
      </c>
      <c r="G340">
        <v>8</v>
      </c>
    </row>
    <row r="341" spans="2:7">
      <c r="B341" s="12" t="s">
        <v>11</v>
      </c>
      <c r="C341">
        <v>2022</v>
      </c>
      <c r="D341" t="s">
        <v>47</v>
      </c>
      <c r="E341" t="s">
        <v>1131</v>
      </c>
      <c r="F341" t="s">
        <v>1136</v>
      </c>
      <c r="G341">
        <v>8</v>
      </c>
    </row>
    <row r="342" spans="2:7">
      <c r="B342" s="12" t="s">
        <v>11</v>
      </c>
      <c r="C342">
        <v>2022</v>
      </c>
      <c r="D342" t="s">
        <v>47</v>
      </c>
      <c r="E342" t="s">
        <v>1131</v>
      </c>
      <c r="F342" t="s">
        <v>1137</v>
      </c>
      <c r="G342">
        <v>8</v>
      </c>
    </row>
    <row r="343" spans="2:7">
      <c r="B343" s="12" t="s">
        <v>11</v>
      </c>
      <c r="C343">
        <v>2022</v>
      </c>
      <c r="D343" t="s">
        <v>47</v>
      </c>
      <c r="E343" t="s">
        <v>1131</v>
      </c>
      <c r="F343" t="s">
        <v>1138</v>
      </c>
      <c r="G343">
        <v>8</v>
      </c>
    </row>
    <row r="344" spans="2:7">
      <c r="B344" s="12" t="s">
        <v>11</v>
      </c>
      <c r="C344">
        <v>2022</v>
      </c>
      <c r="D344" t="s">
        <v>47</v>
      </c>
      <c r="E344" t="s">
        <v>1131</v>
      </c>
      <c r="F344" t="s">
        <v>1139</v>
      </c>
      <c r="G344">
        <v>8</v>
      </c>
    </row>
    <row r="345" spans="2:7">
      <c r="B345" s="12" t="s">
        <v>11</v>
      </c>
      <c r="C345">
        <v>2022</v>
      </c>
      <c r="D345" t="s">
        <v>47</v>
      </c>
      <c r="E345" t="s">
        <v>1131</v>
      </c>
      <c r="F345" t="s">
        <v>1140</v>
      </c>
      <c r="G345">
        <v>8</v>
      </c>
    </row>
    <row r="346" spans="2:7">
      <c r="B346" s="12" t="s">
        <v>11</v>
      </c>
      <c r="C346">
        <v>2022</v>
      </c>
      <c r="D346" t="s">
        <v>47</v>
      </c>
      <c r="E346" t="s">
        <v>1131</v>
      </c>
      <c r="F346" t="s">
        <v>1141</v>
      </c>
      <c r="G346">
        <v>8</v>
      </c>
    </row>
    <row r="347" spans="2:7">
      <c r="B347" s="12" t="s">
        <v>11</v>
      </c>
      <c r="C347">
        <v>2022</v>
      </c>
      <c r="D347" t="s">
        <v>47</v>
      </c>
      <c r="E347" t="s">
        <v>1131</v>
      </c>
      <c r="F347" t="s">
        <v>1142</v>
      </c>
      <c r="G347">
        <v>8</v>
      </c>
    </row>
    <row r="348" spans="2:7">
      <c r="B348" s="12" t="s">
        <v>11</v>
      </c>
      <c r="C348">
        <v>2022</v>
      </c>
      <c r="D348" t="s">
        <v>47</v>
      </c>
      <c r="E348" t="s">
        <v>1131</v>
      </c>
      <c r="F348" t="s">
        <v>1143</v>
      </c>
      <c r="G348">
        <v>8</v>
      </c>
    </row>
    <row r="349" spans="2:7">
      <c r="B349" s="12" t="s">
        <v>11</v>
      </c>
      <c r="C349">
        <v>2022</v>
      </c>
      <c r="D349" t="s">
        <v>47</v>
      </c>
      <c r="E349" t="s">
        <v>1131</v>
      </c>
      <c r="F349" t="s">
        <v>1144</v>
      </c>
      <c r="G349">
        <v>8</v>
      </c>
    </row>
    <row r="350" spans="2:7">
      <c r="B350" s="12" t="s">
        <v>11</v>
      </c>
      <c r="C350">
        <v>2022</v>
      </c>
      <c r="D350" t="s">
        <v>47</v>
      </c>
      <c r="E350" t="s">
        <v>1128</v>
      </c>
      <c r="F350" t="s">
        <v>917</v>
      </c>
      <c r="G350">
        <v>8</v>
      </c>
    </row>
    <row r="351" spans="2:7">
      <c r="B351" s="12" t="s">
        <v>11</v>
      </c>
      <c r="C351">
        <v>2022</v>
      </c>
      <c r="D351" t="s">
        <v>47</v>
      </c>
      <c r="E351" t="s">
        <v>1128</v>
      </c>
      <c r="F351" t="s">
        <v>889</v>
      </c>
      <c r="G351">
        <v>8</v>
      </c>
    </row>
    <row r="352" spans="2:7">
      <c r="B352" s="12" t="s">
        <v>11</v>
      </c>
      <c r="C352">
        <v>2022</v>
      </c>
      <c r="D352" t="s">
        <v>47</v>
      </c>
      <c r="E352" t="s">
        <v>1128</v>
      </c>
      <c r="F352" t="s">
        <v>890</v>
      </c>
      <c r="G352">
        <v>8</v>
      </c>
    </row>
    <row r="353" spans="2:7">
      <c r="B353" s="12" t="s">
        <v>11</v>
      </c>
      <c r="C353">
        <v>2022</v>
      </c>
      <c r="D353" t="s">
        <v>47</v>
      </c>
      <c r="E353" t="s">
        <v>1128</v>
      </c>
      <c r="F353" t="s">
        <v>1145</v>
      </c>
      <c r="G353">
        <v>8</v>
      </c>
    </row>
    <row r="354" spans="2:7">
      <c r="B354" s="12" t="s">
        <v>11</v>
      </c>
      <c r="C354">
        <v>2022</v>
      </c>
      <c r="D354" t="s">
        <v>47</v>
      </c>
      <c r="E354" t="s">
        <v>1128</v>
      </c>
      <c r="F354" t="s">
        <v>1033</v>
      </c>
      <c r="G354">
        <v>8</v>
      </c>
    </row>
    <row r="355" spans="2:7">
      <c r="B355" s="12" t="s">
        <v>11</v>
      </c>
      <c r="C355">
        <v>2022</v>
      </c>
      <c r="D355" t="s">
        <v>47</v>
      </c>
      <c r="E355" t="s">
        <v>1128</v>
      </c>
      <c r="F355" t="s">
        <v>891</v>
      </c>
      <c r="G355">
        <v>8</v>
      </c>
    </row>
    <row r="356" spans="2:7">
      <c r="B356" s="12" t="s">
        <v>11</v>
      </c>
      <c r="C356">
        <v>2022</v>
      </c>
      <c r="D356" t="s">
        <v>47</v>
      </c>
      <c r="E356" t="s">
        <v>1128</v>
      </c>
      <c r="F356" t="s">
        <v>1146</v>
      </c>
      <c r="G356">
        <v>8</v>
      </c>
    </row>
  </sheetData>
  <sheetProtection algorithmName="SHA-512" hashValue="ATawbJvWTuSDsJ9NOqEqTPrwoWn8PwtWNd0dYJ0sauqH/pPIJ49n4ORnY5rSaS/59Mfa5EsCVo8KD0kGrOVWGQ==" saltValue="+6Lh/e7GSJKjgM253MGopQ==" spinCount="100000" sheet="1" objects="1" scenarios="1"/>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14023E7CF848194CA0E2D2D7D50FCAF9" ma:contentTypeVersion="11" ma:contentTypeDescription="Crée un document." ma:contentTypeScope="" ma:versionID="d73911d034d240ac51bdfcd6d19a3009">
  <xsd:schema xmlns:xsd="http://www.w3.org/2001/XMLSchema" xmlns:xs="http://www.w3.org/2001/XMLSchema" xmlns:p="http://schemas.microsoft.com/office/2006/metadata/properties" xmlns:ns2="fc288605-4a35-4521-9eb0-c284366d5508" xmlns:ns3="6bd0a82c-e91b-4314-908c-6f94a632a4c8" targetNamespace="http://schemas.microsoft.com/office/2006/metadata/properties" ma:root="true" ma:fieldsID="b6b09fb00a6d91a5ce51ad2e430b1dbf" ns2:_="" ns3:_="">
    <xsd:import namespace="fc288605-4a35-4521-9eb0-c284366d5508"/>
    <xsd:import namespace="6bd0a82c-e91b-4314-908c-6f94a632a4c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288605-4a35-4521-9eb0-c284366d55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2b495d93-be9d-4ae1-acf4-0baee6def7e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d0a82c-e91b-4314-908c-6f94a632a4c8"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4" nillable="true" ma:displayName="Taxonomy Catch All Column" ma:hidden="true" ma:list="{6e6f7618-9780-4364-9b76-e1688c8e9554}" ma:internalName="TaxCatchAll" ma:showField="CatchAllData" ma:web="6bd0a82c-e91b-4314-908c-6f94a632a4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
</file>

<file path=customXml/item7.xml>��
</file>

<file path=customXml/item8.xml><?xml version="1.0" encoding="utf-8"?>
<?mso-contentType ?>
<FormTemplates xmlns="http://schemas.microsoft.com/sharepoint/v3/contenttype/forms">
  <Display>DocumentLibraryForm</Display>
  <Edit>DocumentLibraryForm</Edit>
  <New>DocumentLibraryForm</New>
</FormTemplates>
</file>

<file path=customXml/item9.xml><?xml version="1.0" encoding="utf-8"?>
<p:properties xmlns:p="http://schemas.microsoft.com/office/2006/metadata/properties" xmlns:xsi="http://www.w3.org/2001/XMLSchema-instance" xmlns:pc="http://schemas.microsoft.com/office/infopath/2007/PartnerControls">
  <documentManagement>
    <lcf76f155ced4ddcb4097134ff3c332f xmlns="fc288605-4a35-4521-9eb0-c284366d5508">
      <Terms xmlns="http://schemas.microsoft.com/office/infopath/2007/PartnerControls"/>
    </lcf76f155ced4ddcb4097134ff3c332f>
    <TaxCatchAll xmlns="6bd0a82c-e91b-4314-908c-6f94a632a4c8" xsi:nil="true"/>
    <SharedWithUsers xmlns="6bd0a82c-e91b-4314-908c-6f94a632a4c8">
      <UserInfo>
        <DisplayName>Tsiky RAZAFINDRAKOTO</DisplayName>
        <AccountId>112</AccountId>
        <AccountType/>
      </UserInfo>
    </SharedWithUsers>
  </documentManagement>
</p:properties>
</file>

<file path=customXml/itemProps1.xml><?xml version="1.0" encoding="utf-8"?>
<ds:datastoreItem xmlns:ds="http://schemas.openxmlformats.org/officeDocument/2006/customXml" ds:itemID="{4AC224EB-C798-43DA-87D4-73889BFA5D8B}">
  <ds:schemaRefs>
    <ds:schemaRef ds:uri="http://gemini/pivotcustomization/SandboxNonEmpty"/>
  </ds:schemaRefs>
</ds:datastoreItem>
</file>

<file path=customXml/itemProps2.xml><?xml version="1.0" encoding="utf-8"?>
<ds:datastoreItem xmlns:ds="http://schemas.openxmlformats.org/officeDocument/2006/customXml" ds:itemID="{42D6D418-BC0A-478E-B59C-9783DB31280D}">
  <ds:schemaRefs>
    <ds:schemaRef ds:uri="http://gemini/pivotcustomization/IsSandboxEmbedded"/>
  </ds:schemaRefs>
</ds:datastoreItem>
</file>

<file path=customXml/itemProps3.xml><?xml version="1.0" encoding="utf-8"?>
<ds:datastoreItem xmlns:ds="http://schemas.openxmlformats.org/officeDocument/2006/customXml" ds:itemID="{B213AF28-2365-47C3-974F-521A74E16086}">
  <ds:schemaRefs>
    <ds:schemaRef ds:uri="http://gemini/pivotcustomization/RelationshipAutoDetectionEnabled"/>
  </ds:schemaRefs>
</ds:datastoreItem>
</file>

<file path=customXml/itemProps4.xml><?xml version="1.0" encoding="utf-8"?>
<ds:datastoreItem xmlns:ds="http://schemas.openxmlformats.org/officeDocument/2006/customXml" ds:itemID="{4BC0C33F-D1CF-4332-8180-D3DD14ECBF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288605-4a35-4521-9eb0-c284366d5508"/>
    <ds:schemaRef ds:uri="6bd0a82c-e91b-4314-908c-6f94a632a4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AE4D00B3-195F-45A0-9CF4-0AE780FDD1ED}">
  <ds:schemaRefs>
    <ds:schemaRef ds:uri="http://schemas.microsoft.com/DataMashup"/>
  </ds:schemaRefs>
</ds:datastoreItem>
</file>

<file path=customXml/itemProps6.xml><?xml version="1.0" encoding="utf-8"?>
<ds:datastoreItem xmlns:ds="http://schemas.openxmlformats.org/officeDocument/2006/customXml" ds:itemID="{CDCE443D-EF35-46C5-B0D1-EE9F33C185CC}">
  <ds:schemaRefs>
    <ds:schemaRef ds:uri="http://gemini/pivotcustomization/PowerPivotVersion"/>
  </ds:schemaRefs>
</ds:datastoreItem>
</file>

<file path=customXml/itemProps7.xml><?xml version="1.0" encoding="utf-8"?>
<ds:datastoreItem xmlns:ds="http://schemas.openxmlformats.org/officeDocument/2006/customXml" ds:itemID="{12E4DE87-7EB0-47A7-A921-6D3EB88E7377}">
  <ds:schemaRefs>
    <ds:schemaRef ds:uri="http://gemini/pivotcustomization/ErrorCache"/>
  </ds:schemaRefs>
</ds:datastoreItem>
</file>

<file path=customXml/itemProps8.xml><?xml version="1.0" encoding="utf-8"?>
<ds:datastoreItem xmlns:ds="http://schemas.openxmlformats.org/officeDocument/2006/customXml" ds:itemID="{8F8C1CA8-3ABB-4984-B57E-E585113EFDE6}">
  <ds:schemaRefs>
    <ds:schemaRef ds:uri="http://schemas.microsoft.com/sharepoint/v3/contenttype/forms"/>
  </ds:schemaRefs>
</ds:datastoreItem>
</file>

<file path=customXml/itemProps9.xml><?xml version="1.0" encoding="utf-8"?>
<ds:datastoreItem xmlns:ds="http://schemas.openxmlformats.org/officeDocument/2006/customXml" ds:itemID="{A2B4211A-3B0B-4B25-A982-8DFE607ADB9D}">
  <ds:schemaRefs>
    <ds:schemaRef ds:uri="http://schemas.microsoft.com/office/2006/metadata/properties"/>
    <ds:schemaRef ds:uri="http://schemas.microsoft.com/office/infopath/2007/PartnerControls"/>
    <ds:schemaRef ds:uri="fc288605-4a35-4521-9eb0-c284366d5508"/>
    <ds:schemaRef ds:uri="6bd0a82c-e91b-4314-908c-6f94a632a4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Feuilles de calcul</vt:lpstr>
      </vt:variant>
      <vt:variant>
        <vt:i4>25</vt:i4>
      </vt:variant>
    </vt:vector>
  </HeadingPairs>
  <TitlesOfParts>
    <vt:vector size="25" baseType="lpstr">
      <vt:lpstr>Sales</vt:lpstr>
      <vt:lpstr>Procurement</vt:lpstr>
      <vt:lpstr>Achat - Purchase FP</vt:lpstr>
      <vt:lpstr>Monthly Production data</vt:lpstr>
      <vt:lpstr>Monthly Production shutdown</vt:lpstr>
      <vt:lpstr>T_Maint_Innofaso</vt:lpstr>
      <vt:lpstr>compilation</vt:lpstr>
      <vt:lpstr>analyse-maint-corrective</vt:lpstr>
      <vt:lpstr>Dispo jan25</vt:lpstr>
      <vt:lpstr>Dispo fevr25</vt:lpstr>
      <vt:lpstr>Dispo mars25</vt:lpstr>
      <vt:lpstr>Dispoavril25</vt:lpstr>
      <vt:lpstr>DispoMai25</vt:lpstr>
      <vt:lpstr>Dispojuin25</vt:lpstr>
      <vt:lpstr>Dispojuil25</vt:lpstr>
      <vt:lpstr>Dispaout25</vt:lpstr>
      <vt:lpstr>Sept25</vt:lpstr>
      <vt:lpstr>Oct25</vt:lpstr>
      <vt:lpstr>Nov25</vt:lpstr>
      <vt:lpstr>Dec25</vt:lpstr>
      <vt:lpstr>Recap de dispo</vt:lpstr>
      <vt:lpstr>n</vt:lpstr>
      <vt:lpstr>Maintenance</vt:lpstr>
      <vt:lpstr>Management- staff</vt:lpstr>
      <vt:lpstr>Management-training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Annabelle LANDAIS</dc:creator>
  <cp:keywords/>
  <dc:description/>
  <cp:lastModifiedBy>Salif SAWADOGO</cp:lastModifiedBy>
  <cp:revision/>
  <cp:lastPrinted>2025-07-09T11:24:19Z</cp:lastPrinted>
  <dcterms:created xsi:type="dcterms:W3CDTF">2022-10-13T08:34:09Z</dcterms:created>
  <dcterms:modified xsi:type="dcterms:W3CDTF">2026-04-15T14:10:25Z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0x01010014023E7CF848194CA0E2D2D7D50FCAF9</vt:lpwstr>
  </property>
  <property fmtid="{D5CDD505-2E9C-101B-9397-08002B2CF9AE}" pid="3" name="MediaServiceImageTags">
    <vt:lpwstr/>
  </property>
</Properties>
</file>